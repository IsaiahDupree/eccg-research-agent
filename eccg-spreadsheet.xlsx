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Chart Data" sheetId="2" r:id="rId5"/>
  </sheets>
  <definedNames>
    <definedName hidden="1" localSheetId="0" name="_xlnm._FilterDatabase">Index!$A$1:$F$4540</definedName>
  </definedNames>
  <calcPr/>
  <extLst>
    <ext uri="GoogleSheetsCustomDataVersion2">
      <go:sheetsCustomData xmlns:go="http://customooxmlschemas.google.com/" r:id="rId6" roundtripDataChecksum="0Mxu4LGf9dKpOigt9pX6tsA4wfU+9iXCu1oGxIi9WxE="/>
    </ext>
  </extLst>
</workbook>
</file>

<file path=xl/sharedStrings.xml><?xml version="1.0" encoding="utf-8"?>
<sst xmlns="http://schemas.openxmlformats.org/spreadsheetml/2006/main" count="12965" uniqueCount="8561">
  <si>
    <t>http://ahornung.net/files/pub/2014-vmv-siliconretina-saner.pdf</t>
  </si>
  <si>
    <t>http://arxiv.org/abs/1803.10106</t>
  </si>
  <si>
    <t>http://arxiv.org/abs/2112.01933</t>
  </si>
  <si>
    <t>http://arxiv.org/abs/2202.13076</t>
  </si>
  <si>
    <t>http://arxiv.org/abs/2203.06145</t>
  </si>
  <si>
    <t>Neuromorphic Data Augmentation for Training Spiking Neural Networks</t>
  </si>
  <si>
    <t>Conference</t>
  </si>
  <si>
    <t>ECCV 2022</t>
  </si>
  <si>
    <t>http://arxiv.org/abs/2203.12247</t>
  </si>
  <si>
    <t>Ev-TTA: Test-Time Adaptation for Event-Based Object Recognition</t>
  </si>
  <si>
    <t>CVPR 2022</t>
  </si>
  <si>
    <t>http://arxiv.org/abs/2206.12455</t>
  </si>
  <si>
    <t>Ev-NeRF: Event Based Neural Radiance Field</t>
  </si>
  <si>
    <t>WACV 2023</t>
  </si>
  <si>
    <t>http://arxiv.org/abs/2207.04007</t>
  </si>
  <si>
    <t>Event Collapse in Contrast Maximization Frameworks</t>
  </si>
  <si>
    <t>Journal</t>
  </si>
  <si>
    <t>Sensors 2022</t>
  </si>
  <si>
    <t>http://arxiv.org/abs/2207.07332</t>
  </si>
  <si>
    <t>Stereo Co-capture System for Recording and Tracking Fish with Frame- and Event Cameras</t>
  </si>
  <si>
    <t>ICPRW 2022</t>
  </si>
  <si>
    <t>http://arxiv.org/abs/2207.11605</t>
  </si>
  <si>
    <t>Event-based RGB-D sensing with structured light</t>
  </si>
  <si>
    <t>http://arxiv.org/abs/2207.13345</t>
  </si>
  <si>
    <t>Traffic Sign Detection With Event Cameras and DCNN</t>
  </si>
  <si>
    <t>SPA 2022</t>
  </si>
  <si>
    <t>http://arxiv.org/abs/2208.01710</t>
  </si>
  <si>
    <t>Smart Visual Beacons with Asynchronous Optical Communications using Event Cameras</t>
  </si>
  <si>
    <t>IROS 2022</t>
  </si>
  <si>
    <t>http://arxiv.org/abs/2208.02253</t>
  </si>
  <si>
    <t>LaneSNNs: Spiking Neural Networks for Lane Detection on the Loihi Neuromorphic Processor</t>
  </si>
  <si>
    <t>http://arxiv.org/abs/2208.08721</t>
  </si>
  <si>
    <t>Temporal Up-Sampling for Asynchronous Events</t>
  </si>
  <si>
    <t>ICME 2022</t>
  </si>
  <si>
    <t>http://arxiv.org/abs/2208.10581</t>
  </si>
  <si>
    <t>EBSnoR: Event-Based Snow Removal by Optimal Dwell Time Thresholding</t>
  </si>
  <si>
    <t>preprint 2022</t>
  </si>
  <si>
    <t>http://arxiv.org/abs/2209.04362</t>
  </si>
  <si>
    <t>EDeNN: Event Decay Neural Networks for low latency vision</t>
  </si>
  <si>
    <t>BMVC 2023</t>
  </si>
  <si>
    <t>http://arxiv.org/abs/2209.08323</t>
  </si>
  <si>
    <t>RGB-Event Fusion for Moving Object Detection in Autonomous Driving</t>
  </si>
  <si>
    <t>ICRA 2023</t>
  </si>
  <si>
    <t>http://arxiv.org/abs/2209.08602</t>
  </si>
  <si>
    <t>ASAP: Adaptive Transmission Scheme for Online Processing of Event-based Algorithms</t>
  </si>
  <si>
    <t>AURO 2022</t>
  </si>
  <si>
    <t>http://arxiv.org/abs/2209.12160</t>
  </si>
  <si>
    <t>PL-EVIO: Robust Monocular Event-based Visual Inertial Odometry with Point and Line Features</t>
  </si>
  <si>
    <t>http://arxiv.org/abs/2210.01244</t>
  </si>
  <si>
    <t>Event-based Temporally Dense Optical Flow Estimation with Sequential Neural Networks</t>
  </si>
  <si>
    <t>http://arxiv.org/abs/2211.00509</t>
  </si>
  <si>
    <t>Self-Supervised Intensity-Event Stereo Matching</t>
  </si>
  <si>
    <t>JIST 2022</t>
  </si>
  <si>
    <t>http://arxiv.org/abs/2305.02888</t>
  </si>
  <si>
    <t>Neuromorphic Sensing for Yawn Detection in Driver Drowsiness</t>
  </si>
  <si>
    <t>preprint 2023</t>
  </si>
  <si>
    <t>http://arxiv.org/abs/2407.20446</t>
  </si>
  <si>
    <t>MEVDT: Multi-Modal Event-Based Vehicle Detection and Tracking Dataset</t>
  </si>
  <si>
    <t>Data in Brief 2024</t>
  </si>
  <si>
    <t>http://arxiv.org/abs/2408.07996</t>
  </si>
  <si>
    <t>Monte Carlo Path Tracing and Statistical Event Detection for Event Camera Simulation</t>
  </si>
  <si>
    <t>ICCP 2024</t>
  </si>
  <si>
    <t>http://arxiv.org/abs/2410.06698</t>
  </si>
  <si>
    <t>Fourier-based Action Recognition for Wildlife Behavior Quantification with Event Cameras</t>
  </si>
  <si>
    <t>AISY 2024</t>
  </si>
  <si>
    <t>http://arxiv.org/abs/2411.03303</t>
  </si>
  <si>
    <t>Monocular Event-Based Vision for Obstacle Avoidance with a Quadrotor</t>
  </si>
  <si>
    <t>CoRL 2024</t>
  </si>
  <si>
    <t>http://arxiv.org/abs/2504.04124</t>
  </si>
  <si>
    <t>EMF: Event Meta Formers for Event-based Real-time Traffic Object Detection</t>
  </si>
  <si>
    <t>preprint 2025</t>
  </si>
  <si>
    <t>http://arxiv.org/abs/2504.05830</t>
  </si>
  <si>
    <t>Human Activity Recognition using RGB-Event based Sensors: A Multi-modal Heat Conduction Model and A Benchmark Dataset</t>
  </si>
  <si>
    <t>http://arxiv.org/abs/2504.12576</t>
  </si>
  <si>
    <t>CM3AE: A Unified RGB Frame and Event-Voxel/-Frame Pre-training Framework</t>
  </si>
  <si>
    <t>http://arxiv.org/abs/2505.11165</t>
  </si>
  <si>
    <t>Maximizing Asynchronicity in Event-based Neural Networks</t>
  </si>
  <si>
    <t>http://arxiv.org/abs/2506.18443</t>
  </si>
  <si>
    <t>Radar and Event Camera Fusion for Agile Robot Ego-Motion Estimation</t>
  </si>
  <si>
    <t>http://arxiv.org/abs/2507.22438</t>
  </si>
  <si>
    <t>From Sharp to Blur: Unsupervised Domain Adaptation for 2D Human Pose Estimation Under Extreme Motion Blur Using Event Cameras</t>
  </si>
  <si>
    <t>ICCV 2025</t>
  </si>
  <si>
    <t>http://arxiv.org/abs/2507.22733</t>
  </si>
  <si>
    <t>A Linear N-Point Solver for Structure and Motion from Asynchronous Tracks</t>
  </si>
  <si>
    <t>http://arxiv.org/pdf/2503.23725</t>
  </si>
  <si>
    <t>Exploring Temporal Dynamics in Event-based Eye Tracker</t>
  </si>
  <si>
    <t>CVPRW 2025</t>
  </si>
  <si>
    <t>http://belbachir.info/PDF/icdsc2007.pdf</t>
  </si>
  <si>
    <t>http://belbachir.info/PDF/itsc2006.pdf</t>
  </si>
  <si>
    <t>http://bicv.github.io/toc/index.html</t>
  </si>
  <si>
    <t>http://bmvc2018.org/contents/papers/0280.pdf</t>
  </si>
  <si>
    <t>Adaptive Time-Slice Block-Matching Optical Flow Algorithm for Dynamic Vision Sensors</t>
  </si>
  <si>
    <t>BMVC 2018</t>
  </si>
  <si>
    <t>http://bmvc2018.org/contents/papers/0814.pdf</t>
  </si>
  <si>
    <t>Long-term object tracking with a moving event camera</t>
  </si>
  <si>
    <t>http://bmvc2018.org/contents/supplementary/video/0814_video.mp4</t>
  </si>
  <si>
    <t>http://capocaccia.iniforum.ch</t>
  </si>
  <si>
    <t>http://ci.idm.pku.edu.cn/CVPR21a.pdf</t>
  </si>
  <si>
    <t>EventZoom: Learning To Denoise and Super Resolve Neuromorphic Events</t>
  </si>
  <si>
    <t>CVPR 2021</t>
  </si>
  <si>
    <t>http://citeseerx.ist.psu.edu/viewdoc/download?doi=10.1.1.192.1326&amp;rep=rep1&amp;type=pdf</t>
  </si>
  <si>
    <t>http://citeseerx.ist.psu.edu/viewdoc/download?doi=10.1.1.385.424&amp;rep=rep1&amp;type=pdf</t>
  </si>
  <si>
    <t>http://citeseerx.ist.psu.edu/viewdoc/download?doi=10.1.1.690.7666&amp;rep=rep1&amp;type=pdf</t>
  </si>
  <si>
    <t>http://citeseerx.ist.psu.edu/viewdoc/download?doi=10.1.1.839.4932&amp;rep=rep1&amp;type=pdf</t>
  </si>
  <si>
    <t>http://compneuro.uwaterloo.ca/files/publications/galluppi.2014.pdf</t>
  </si>
  <si>
    <t>http://compphotolab.northwestern.edu/wordpress/wp-content/uploads/2015/04/dvs_031.pdf</t>
  </si>
  <si>
    <t>http://dgyblog.com/projects-term/dvs-dataset.html</t>
  </si>
  <si>
    <t>http://dnt.kr.hsnr.de/DVS-OUTLAB</t>
  </si>
  <si>
    <t>http://docplayer.org/docview/27/9947799/#file=/storage/27/9947799/9947799.pdf</t>
  </si>
  <si>
    <t>http://doi.org/10.1002/aisy.202400353</t>
  </si>
  <si>
    <t>http://doi.org/10.1007/978-3-319-46466-4_21</t>
  </si>
  <si>
    <t>Real-Time 3D Reconstruction and 6-DoF Tracking with an Event Camera</t>
  </si>
  <si>
    <t>ECCV 2016</t>
  </si>
  <si>
    <t>http://doi.org/10.1007/978-3-642-24028-7_62</t>
  </si>
  <si>
    <t>http://doi.org/10.1007/978-3-642-39402-7_14</t>
  </si>
  <si>
    <t>http://doi.org/10.1007/s11063-015-9434-5</t>
  </si>
  <si>
    <t>http://doi.org/10.1038/srep40703</t>
  </si>
  <si>
    <t>http://doi.org/10.1088/1361-6501/adc1e7</t>
  </si>
  <si>
    <t>Event-based reconstruction of time-resolved centreline deformation of flapping flags</t>
  </si>
  <si>
    <t>Meas. Sci. Tech 2025</t>
  </si>
  <si>
    <t>http://doi.org/10.1088/1742-6596/3109/1/012072</t>
  </si>
  <si>
    <t>Event-camera enhanced RatSLAM: A Multi-View Projection-Based Loop Closure Detection Method</t>
  </si>
  <si>
    <t>JPhysConfSer 2025</t>
  </si>
  <si>
    <t>http://doi.org/10.1088/2634-4386/adc6b4</t>
  </si>
  <si>
    <t>Neuromorphic Imaging Cytometry on Human Blood Cells</t>
  </si>
  <si>
    <t>NCE 2025</t>
  </si>
  <si>
    <t>http://doi.org/10.1088/2634-4386/addb6c</t>
  </si>
  <si>
    <t>BAM-SLDK: Biologically inspired Attention Mechanism with Spiking Learnable Delayed Kernel synapses</t>
  </si>
  <si>
    <t>http://doi.org/10.1109/CVPRW.2017.51</t>
  </si>
  <si>
    <t>Improved Cooperative Stereo Matching for Dynamic Vision Sensors with Ground Truth Evaluation</t>
  </si>
  <si>
    <t>CVPRW 2017</t>
  </si>
  <si>
    <t>http://doi.org/10.1109/ICAR.2017.8023661</t>
  </si>
  <si>
    <t>http://doi.org/10.1109/ISCAS.2014.6865714</t>
  </si>
  <si>
    <t>http://doi.org/10.1109/JSSC.2007.914337</t>
  </si>
  <si>
    <t>http://doi.org/10.1109/JSSC.2010.2085952</t>
  </si>
  <si>
    <t>http://doi.org/10.1109/RADIOELEK.2017.7937602</t>
  </si>
  <si>
    <t>http://doi.org/10.1109/ROBIO.2012.6491077</t>
  </si>
  <si>
    <t>http://doi.org/10.1109/TCI.2019.2948787</t>
  </si>
  <si>
    <t>DAViS Camera Optical Flow</t>
  </si>
  <si>
    <t>TCI 2019</t>
  </si>
  <si>
    <t>http://doi.org/10.1109/TITS.2023.3312355</t>
  </si>
  <si>
    <t>http://doi.org/10.1109/WACV.2016.7477561</t>
  </si>
  <si>
    <t>Direct face detection and video reconstruction from event cameras</t>
  </si>
  <si>
    <t>WACV 2016</t>
  </si>
  <si>
    <t>http://doi.org/10.1111/j.1365-2818.2011.03565.x</t>
  </si>
  <si>
    <t>http://doi.org/10.1177/02783649241273554</t>
  </si>
  <si>
    <t>Dataset and Benchmark: Novel Sensors for Autonomous Vehicle Perception</t>
  </si>
  <si>
    <t>IJRR 2024</t>
  </si>
  <si>
    <t>http://doi.org/10.20944/preprints202405.1094.v1</t>
  </si>
  <si>
    <t>Application of Event Cameras and Neuromorphic Computing to VSLAM: A Survey</t>
  </si>
  <si>
    <t>preprint 2024</t>
  </si>
  <si>
    <t>http://doi.org/10.5220/0002057604660471</t>
  </si>
  <si>
    <t>http://doi.org/10.5220/0013126600003912</t>
  </si>
  <si>
    <t>Low Latency Pedestrian Detection Based on Dynamic Vision Sensor and RGB Camera Fusion</t>
  </si>
  <si>
    <t>VISAPP 2025</t>
  </si>
  <si>
    <t>http://doi.org/10.5220/0013388400003912</t>
  </si>
  <si>
    <t>An Event Camera Simulator for Arbitrary Viewpoints Based on Neural Radiance Fields</t>
  </si>
  <si>
    <t>http://doi.org/10.5772/12941</t>
  </si>
  <si>
    <t>http://doi.org/10.5772/intechopen.1006712</t>
  </si>
  <si>
    <t>Neuromorphic Computing: Cutting-Edge Advances and Future Directions</t>
  </si>
  <si>
    <t>http://dx.doi.org/10.1007/978-3-031-19830-4_20</t>
  </si>
  <si>
    <t>http://dx.doi.org/10.1088/0957-0233/25/5/055108</t>
  </si>
  <si>
    <t>http://dx.doi.org/10.1109/CVPR52688.2022.01205</t>
  </si>
  <si>
    <t>http://dx.doi.org/10.1109/CVPR52688.2022.01723</t>
  </si>
  <si>
    <t>http://dx.doi.org/10.1109/CVPRW56347.2022.00070</t>
  </si>
  <si>
    <t>http://dx.doi.org/10.1109/ICIP.2015.7350936</t>
  </si>
  <si>
    <t>Computationally efficient, real-time motion recognition based on bio-inspired visual and cognitive processing</t>
  </si>
  <si>
    <t>ICIP 2015</t>
  </si>
  <si>
    <t>http://dx.doi.org/10.1109/ICIP.2016.7532633</t>
  </si>
  <si>
    <t>Performance improvement of deep learning based gesture recognition using spatiotemporal demosaicing technique</t>
  </si>
  <si>
    <t>ICIP 2016</t>
  </si>
  <si>
    <t>http://dx.doi.org/10.1109/ICRA.2015.7139876</t>
  </si>
  <si>
    <t>Lifetime Estimation of Events from Dynamic Vision Sensors</t>
  </si>
  <si>
    <t>ICRA 2015</t>
  </si>
  <si>
    <t>http://dx.doi.org/10.1109/IROS.2013.6696960</t>
  </si>
  <si>
    <t>http://dx.doi.org/10.1109/IROS51168.2021.9636824</t>
  </si>
  <si>
    <t>http://dx.doi.org/10.1109/ISCAS.2017.8050412</t>
  </si>
  <si>
    <t>http://dx.doi.org/10.1109/ISCAS.2018.8351411</t>
  </si>
  <si>
    <t>http://dx.doi.org/10.1109/isscc42615.2023.10067476</t>
  </si>
  <si>
    <t>http://dx.doi.org/10.1109/ISSCC42615.2023.10067520</t>
  </si>
  <si>
    <t>http://dx.doi.org/10.1109/JPROC.2014.2313954</t>
  </si>
  <si>
    <t>http://dx.doi.org/10.1109/LRA.2018.2849882</t>
  </si>
  <si>
    <t>Asynchronous Corner Detection and Tracking for Event Cameras in Real Time</t>
  </si>
  <si>
    <t>RAL 2018</t>
  </si>
  <si>
    <t>http://dx.doi.org/10.1109/LRA.2022.3145053</t>
  </si>
  <si>
    <t>http://dx.doi.org/10.1109/LRA.2022.3187826</t>
  </si>
  <si>
    <t>http://dx.doi.org/10.1109/TCI.2020.2964255</t>
  </si>
  <si>
    <t>Robust Motion Compensation for Event Cameras With Smooth Constraint</t>
  </si>
  <si>
    <t>TCI 2020</t>
  </si>
  <si>
    <t>http://dx.doi.org/10.1109/TCSII.2018.2824899</t>
  </si>
  <si>
    <t>http://dx.doi.org/10.1109/TNNLS.2016.2536741</t>
  </si>
  <si>
    <t>http://dx.doi.org/10.1109/TPAMI.2017.2769655</t>
  </si>
  <si>
    <t>Event-based, 6-DOF Camera Tracking from Photometric Depth Maps</t>
  </si>
  <si>
    <t>TPAMI 2018</t>
  </si>
  <si>
    <t>http://dx.doi.org/10.1109/TPAMI.2023.3326538</t>
  </si>
  <si>
    <t>http://dx.doi.org/10.1155/2022/2673191</t>
  </si>
  <si>
    <t>Mixed Event-Frame Vision System for Daytime Preceding Vehicle Taillight Signal Measurement</t>
  </si>
  <si>
    <t>JAT 2022</t>
  </si>
  <si>
    <t>http://dx.doi.org/10.1299/mej.24-00447</t>
  </si>
  <si>
    <t>Guidance navigation and control for approaching upper-stage rocket body using illumination-robust event camera</t>
  </si>
  <si>
    <t>MEJ 2025</t>
  </si>
  <si>
    <t>http://dx.doi.org/10.15607/RSS.2015.XI.036</t>
  </si>
  <si>
    <t>Continuous-Time Trajectory Estimation for Event-based Vision Sensors</t>
  </si>
  <si>
    <t>RSS 2015</t>
  </si>
  <si>
    <t>http://dx.doi.org/10.2312/vmv.20141280</t>
  </si>
  <si>
    <t>http://dx.doi.org/10.23919/ICIF.2018.8455718</t>
  </si>
  <si>
    <t>http://dx.doi.org/10.3389/fnins.2015.00046</t>
  </si>
  <si>
    <t>http://dx.doi.org/10.3389/fnins.2015.00481</t>
  </si>
  <si>
    <t>http://dx.doi.org/10.3389/fnins.2016.00115</t>
  </si>
  <si>
    <t>http://dx.doi.org/10.3389/frobt.2025.1674421</t>
  </si>
  <si>
    <t>Efficient and real-time perception: a survey on end-to-end event-based object detection in autonomous driving</t>
  </si>
  <si>
    <t>FROBT 2025</t>
  </si>
  <si>
    <t>http://dx.doi.org/10.3929/ethz-a-010344783</t>
  </si>
  <si>
    <t>http://dx.doi.org/10.3929/ethz-a-010402138</t>
  </si>
  <si>
    <t>http://dx.doi.org/10.4108/icst.bict.2014.257904</t>
  </si>
  <si>
    <t>http://dx.doi.org/10.48550/arXiv.2511.18037</t>
  </si>
  <si>
    <t>http://dx.doi.org/10.5220/0004949302140219</t>
  </si>
  <si>
    <t>http://ebvds.neurocomputing.systems/EBSLAM3D/index.html</t>
  </si>
  <si>
    <t>http://encevis.de/documents/Paper/2011_06_20-25.pdf</t>
  </si>
  <si>
    <t>http://eu.wiley.com/WileyCDA/WileyTitle/productCd-1118927621.html</t>
  </si>
  <si>
    <t>http://gvv.mpi-inf.mpg.de/projects/Event-based_Non-rigid_3D_Tracking</t>
  </si>
  <si>
    <t>http://hdl.handle.net/10044/1/59704</t>
  </si>
  <si>
    <t>http://hdl.handle.net/10220/46625</t>
  </si>
  <si>
    <t>http://hdl.handle.net/11380/1185831</t>
  </si>
  <si>
    <t>http://hdl.handle.net/11567/1047290</t>
  </si>
  <si>
    <t>http://hdl.handle.net/20.500.11794/100283</t>
  </si>
  <si>
    <t>http://hdl.handle.net/2078.1/thesis:26663</t>
  </si>
  <si>
    <t>http://hdl.handle.net/2268.2/20133</t>
  </si>
  <si>
    <t>Dendritic arithmetic and dynamics for neuromorphic temporal pattern detection</t>
  </si>
  <si>
    <t>Thesis</t>
  </si>
  <si>
    <t>MS Thesis 2024</t>
  </si>
  <si>
    <t>http://html.rhhz.net/jqr/html/20220510.htm</t>
  </si>
  <si>
    <t>An End-to-End Weakly Supervised Network Architecture for Event-based Visual Place Recognition</t>
  </si>
  <si>
    <t xml:space="preserve">CNKI ROBOT 2022 </t>
  </si>
  <si>
    <t>http://ieeexplore.ieee.org/document/9444460</t>
  </si>
  <si>
    <t>Neutron-Induced, Single-Event Effects on Neuromorphic Event-Based Vision Sensor: A First Step and Tools to Space Applications</t>
  </si>
  <si>
    <t>IEEE Access 2021</t>
  </si>
  <si>
    <t>http://ieeexplore.ieee.org/document/9622228</t>
  </si>
  <si>
    <t>Low-Latency and Scene-Robust Optical Flow Stream and Angular Velocity Estimation</t>
  </si>
  <si>
    <t>http://image-sensors-world.blogspot.com/2022/12/2023-international-solid-state-circuits.html</t>
  </si>
  <si>
    <t>1.22μm 35.6Mpixel RGB Hybrid Event-Based Vision Sensor with 4.88μm-Pitch Event Pixels and up to 10K Event Frame Rate by Adaptive Control on Event Sparsity</t>
  </si>
  <si>
    <t>ISSCC 2023</t>
  </si>
  <si>
    <t>http://imse-cnm.csic.es</t>
  </si>
  <si>
    <t>http://innovative-sensing.mit.edu</t>
  </si>
  <si>
    <t>http://jaerproject.org</t>
  </si>
  <si>
    <t>http://jos.org.cn/jos/article/abstract/7023</t>
  </si>
  <si>
    <t>Event Fusion-based Spatial Attentive and Temporal Memorable Network for Video Deraining</t>
  </si>
  <si>
    <t>J. Software 2023</t>
  </si>
  <si>
    <t>http://mavlab.tudelft.nl/ssl_e2v</t>
  </si>
  <si>
    <t>http://nbn-resolving.de/urn:nbn:de:bvb:91-diss-20140701-1173294-0-6</t>
  </si>
  <si>
    <t>http://ncs.ethz.ch/pubs/pdf/Indiveri_etal15.pdf</t>
  </si>
  <si>
    <t>http://openaccess.thecvf.com/content_cvpr_2017_workshops/w4/papers/Piatkowska_Improved_Cooperative_Stereo_CVPR_2017_paper.pdf</t>
  </si>
  <si>
    <t>http://openaccess.thecvf.com/content_cvpr_2017/papers/Amir_A_Low_Power_CVPR_2017_paper.pdf</t>
  </si>
  <si>
    <t>http://openaccess.thecvf.com/content_cvpr_2017/papers/Zhu_Event-Based_Visual_Inertial_CVPR_2017_paper.pdf</t>
  </si>
  <si>
    <t>http://openaccess.thecvf.com/content_cvpr_2018/papers/Andreopoulos_A_Low_Power_CVPR_2018_paper.pdf</t>
  </si>
  <si>
    <t>A Low Power, High Throughput, Fully Event-Based Stereo System</t>
  </si>
  <si>
    <t>CVPR 2018</t>
  </si>
  <si>
    <t>http://openaccess.thecvf.com/content_cvpr_2018/papers/Maqueda_Event-Based_Vision_Meets_CVPR_2018_paper.pdf</t>
  </si>
  <si>
    <t>Event-based Vision meets Deep Learning on Steering Prediction for Self-driving Cars</t>
  </si>
  <si>
    <t>http://openaccess.thecvf.com/content_cvpr_2018/papers/Sironi_HATS_Histograms_of_CVPR_2018_paper.pdf</t>
  </si>
  <si>
    <t>HATS: Histograms of Averaged Time Surfaces for Robust Event-based Object Classification</t>
  </si>
  <si>
    <t>http://openaccess.thecvf.com/content_CVPR_2019/html/Manderscheid_Speed_Invariant_Time_Surface_for_Learning_to_Detect_Corner_Points_CVPR_2019_paper.html</t>
  </si>
  <si>
    <t>http://openaccess.thecvf.com/content_CVPR_2019/html/Sekikawa_EventNet_Asynchronous_Recursive_Event_Processing_CVPR_2019_paper.html</t>
  </si>
  <si>
    <t>EventNet: Asynchronous Recursive Event Processing</t>
  </si>
  <si>
    <t>CVPR 2019</t>
  </si>
  <si>
    <t>http://openaccess.thecvf.com/content_CVPR_2019/html/Stoffregen_Event_Cameras_Contrast_Maximization_and_Reward_Functions_An_Analysis_CVPR_2019_paper.html</t>
  </si>
  <si>
    <t>Event Cameras, Contrast Maximization and Reward Functions: An Analysis</t>
  </si>
  <si>
    <t>http://openaccess.thecvf.com/content_CVPR_2019/html/Wang_EV-Gait_Event-Based_Robust_Gait_Recognition_Using_Dynamic_Vision_Sensors_CVPR_2019_paper.html</t>
  </si>
  <si>
    <t>EV-Gait: Event-Based Robust Gait Recognition Using Dynamic Vision Sensors</t>
  </si>
  <si>
    <t>http://openaccess.thecvf.com/content_CVPR_2019/html/Zhu_Unsupervised_Event-Based_Learning_of_Optical_Flow_Depth_and_Egomotion_CVPR_2019_paper.html</t>
  </si>
  <si>
    <t>Unsupervised Event-Based Learning of Optical Flow, Depth, and Egomotion</t>
  </si>
  <si>
    <t>http://openaccess.thecvf.com/content_CVPR_2019/papers/Pan_Bringing_a_Blurry_Frame_Alive_at_High_Frame-Rate_With_an_CVPR_2019_paper.pdf</t>
  </si>
  <si>
    <t>http://openaccess.thecvf.com/content_CVPR_2019/papers/Sekikawa_EventNet_Asynchronous_Recursive_Event_Processing_CVPR_2019_paper.pdf</t>
  </si>
  <si>
    <t>http://openaccess.thecvf.com/content_CVPR_2019/papers/Wang_EV-Gait_Event-Based_Robust_Gait_Recognition_Using_Dynamic_Vision_Sensors_CVPR_2019_paper.pdf</t>
  </si>
  <si>
    <t>http://openaccess.thecvf.com/content_CVPR_2019/papers/Wang_Event-Based_High_Dynamic_Range_Image_and_Very_High_Frame_Rate_CVPR_2019_paper.pdf</t>
  </si>
  <si>
    <t>http://openaccess.thecvf.com/content_CVPR_2019/papers/Zhu_Unsupervised_Event-Based_Learning_of_Optical_Flow_Depth_and_Egomotion_CVPR_2019_paper.pdf</t>
  </si>
  <si>
    <t>http://openaccess.thecvf.com/content_CVPR_2020/html/Baldwin_Event_Probability_Mask_EPM_and_Event_Denoising_Convolutional_Neural_Network_CVPR_2020_paper.html</t>
  </si>
  <si>
    <t>http://openaccess.thecvf.com/content_CVPR_2020/html/Han_Neuromorphic_Camera_Guided_High_Dynamic_Range_Imaging_CVPR_2020_paper.html</t>
  </si>
  <si>
    <t>http://openaccess.thecvf.com/content_CVPR_2020/html/Mitrokhin_Learning_Visual_Motion_Segmentation_Using_Event_Surfaces_CVPR_2020_paper.html</t>
  </si>
  <si>
    <t>http://openaccess.thecvf.com/content_CVPR_2020/papers/Han_Neuromorphic_Camera_Guided_High_Dynamic_Range_Imaging_CVPR_2020_paper.pdf</t>
  </si>
  <si>
    <t>Neuromorphic Camera Guided High Dynamic Range Imaging</t>
  </si>
  <si>
    <t>CVPR 2020</t>
  </si>
  <si>
    <t>http://openaccess.thecvf.com/content_CVPR_2020/papers/I._Learning_to_Super_Resolve_Intensity_Images_From_Events_CVPR_2020_paper.pdf</t>
  </si>
  <si>
    <t>http://openaccess.thecvf.com/content_CVPR_2020/papers/Jiang_Learning_Event-Based_Motion_Deblurring_CVPR_2020_paper.pdf</t>
  </si>
  <si>
    <t>http://openaccess.thecvf.com/content_CVPR_2020/papers/Mitrokhin_Learning_Visual_Motion_Segmentation_Using_Event_Surfaces_CVPR_2020_paper.pdf</t>
  </si>
  <si>
    <t>Learning Visual Motion Segmentation Using Event Surfaces</t>
  </si>
  <si>
    <t>http://openaccess.thecvf.com/content_CVPR_2020/papers/Pan_Single_Image_Optical_Flow_Estimation_With_an_Event_Camera_CVPR_2020_paper.pdf</t>
  </si>
  <si>
    <t>http://openaccess.thecvf.com/content_CVPR_2020/papers/Wang_EventSR_From_Asynchronous_Events_to_Image_Reconstruction_Restoration_and_Super-Resolution_CVPR_2020_paper.pdf</t>
  </si>
  <si>
    <t>http://openaccess.thecvf.com/content_cvpr_workshops_2014/W17/papers/Eibensteiner_A_High-Performance_Hardware_2014_CVPR_paper.pdf</t>
  </si>
  <si>
    <t>http://openaccess.thecvf.com/content_CVPRW_2019/papers/EventVision/Alonso_EV-SegNet_Semantic_Segmentation_for_Event-Based_Cameras_CVPRW_2019_paper.pdf</t>
  </si>
  <si>
    <t>http://openaccess.thecvf.com/content_CVPRW_2019/papers/EventVision/Calabrese_DHP19_Dynamic_Vision_Sensor_3D_Human_Pose_Dataset_CVPRW_2019_paper.pdf</t>
  </si>
  <si>
    <t>http://openaccess.thecvf.com/content_CVPRW_2019/papers/EventVision/Cannici_Asynchronous_Convolutional_Networks_for_Object_Detection_in_Neuromorphic_Cameras_CVPRW_2019_paper.pdf</t>
  </si>
  <si>
    <t>http://openaccess.thecvf.com/content_CVPRW_2019/papers/EventVision/Chaney_Learning_Event-Based_Height_From_Plane_and_Parallax_CVPRW_2019_paper.pdf</t>
  </si>
  <si>
    <t>Learning Event-based Height from Plane and Parallax</t>
  </si>
  <si>
    <t>IROS 2019</t>
  </si>
  <si>
    <t>http://openaccess.thecvf.com/content_CVPRW_2019/papers/EventVision/Cheng_DET_A_High-Resolution_DVS_Dataset_for_Lane_Extraction_CVPRW_2019_paper.pdf</t>
  </si>
  <si>
    <t>http://openaccess.thecvf.com/content_CVPRW_2019/papers/EventVision/Chin_Star_Tracking_Using_an_Event_Camera_CVPRW_2019_paper.pdf</t>
  </si>
  <si>
    <t>http://openaccess.thecvf.com/content_CVPRW_2019/papers/EventVision/Liu_Live_Demonstration_A_Real-Time_Event-Based_Fast_Corner_Detection_Demo_Based_CVPRW_2019_paper.pdf</t>
  </si>
  <si>
    <t>http://openaccess.thecvf.com/content_CVPRW_2019/papers/EventVision/Nguyen_Real-Time_6DOF_Pose_Relocalization_for_Event_Cameras_With_Stacked_Spatial_CVPRW_2019_paper.pdf</t>
  </si>
  <si>
    <t>http://openaccess.thecvf.com/content_CVPRW_2019/papers/EventVision/Renner_Event-Based_Attention_and_Tracking_on_Neuromorphic_Hardware_CVPRW_2019_paper.pdf</t>
  </si>
  <si>
    <t>http://openaccess.thecvf.com/content_CVPRW_2020/html/w6/Low_SOFEA_A_Non-Iterative_and_Robust_Optical_Flow_Estimation_Algorithm_for_CVPRW_2020_paper.html</t>
  </si>
  <si>
    <t>SOFEA: A Non-Iterative and Robust Optical Flow Estimation Algorithm for Dynamic Vision Sensors</t>
  </si>
  <si>
    <t>CVPRW 2020</t>
  </si>
  <si>
    <t>http://openaccess.thecvf.com/content_CVPRW_2020/papers/w6/Low_SOFEA_A_Non-Iterative_and_Robust_Optical_Flow_Estimation_Algorithm_for_CVPRW_2020_paper.pdf</t>
  </si>
  <si>
    <t>http://openaccess.thecvf.com/content_ECCVW_2018/papers/11134/Zhu_Unsupervised_Event-based_Optical_Flow_using_Motion_Compensation_ECCVW_2018_paper.pdf</t>
  </si>
  <si>
    <t>http://openaccess.thecvf.com/content_ICCV_2019/html/Bi_Graph-Based_Object_Classification_for_Neuromorphic_Vision_Sensing_ICCV_2019_paper.html</t>
  </si>
  <si>
    <t>Graph-Based Object Classification for Neuromorphic Vision Sensing</t>
  </si>
  <si>
    <t>ICCV 2019</t>
  </si>
  <si>
    <t>http://openaccess.thecvf.com/content_ICCV_2019/papers/Bi_Graph-Based_Object_Classification_for_Neuromorphic_Vision_Sensing_ICCV_2019_paper.pdf</t>
  </si>
  <si>
    <t>http://openaccess.thecvf.com/content_ICCV_2019/papers/Gehrig_End-to-End_Learning_of_Representations_for_Asynchronous_Event-Based_Data_ICCV_2019_paper.pdf</t>
  </si>
  <si>
    <t>http://openaccess.thecvf.com/content_ICCVW_2019/html/PBDL/Wang_Event-Driven_Video_Frame_Synthesis_ICCVW_2019_paper.html</t>
  </si>
  <si>
    <t>Event-Driven Video Frame Synthesis</t>
  </si>
  <si>
    <t>ICCVW 2019</t>
  </si>
  <si>
    <t>http://openaccess.thecvf.com/content_ICCVW_2019/papers/CEFRL/Gao_Event-Based_Incremental_Broad_Learning_System_for_Object_Classification_ICCVW_2019_paper.pdf</t>
  </si>
  <si>
    <t>Event-Based Incremental Broad Learning System for Object Classification</t>
  </si>
  <si>
    <t>http://openaccess.thecvf.com/content_ICCVW_2019/papers/PBDL/Wang_Event-Driven_Video_Frame_Synthesis_ICCVW_2019_paper.pdf</t>
  </si>
  <si>
    <t>http://openaccess.thecvf.com/content_WACV_2020/papers/Bagchi_Event-based_Star_Tracking_via_Multiresolution_Progressive_Hough_Transforms_WACV_2020_paper.pdf</t>
  </si>
  <si>
    <t>Event-based Star Tracking via Multiresolution Progressive Hough Transforms</t>
  </si>
  <si>
    <t>WACV 2020</t>
  </si>
  <si>
    <t>http://openaccess.thecvf.com/content_WACV_2020/papers/Nagata_QR-code_Reconstruction_from_Event_Data_via_Optimization_in_Code_Subspace_WACV_2020_paper.pdf</t>
  </si>
  <si>
    <t>QR-code Reconstruction from Event Data via Optimization in Code Subspace</t>
  </si>
  <si>
    <t>http://openaccess.thecvf.com/content_WACV_2020/papers/Scheerlinck_Fast_Image_Reconstruction_with_an_Event_Camera_WACV_2020_paper.pdf</t>
  </si>
  <si>
    <t>http://openaccess.thecvf.com/content_WACV_2020/papers/Seok_Robust_Feature_Tracking_in_DVS_Event_Stream_using_Bezier_Mapping_WACV_2020_paper.pdf</t>
  </si>
  <si>
    <t>Robust Feature Tracking in DVS Event Stream using Bezier Mapping</t>
  </si>
  <si>
    <t>http://openaccess.thecvf.com/content_WACVW_2020/papers/w5/Ramesh_Boosted_Kernelized_Correlation_Filters_for_Event-based_Face_Detection_WACVW_2020_paper.pdf</t>
  </si>
  <si>
    <t>Boosted Kernelized Correlation Filters for Event-based Face Detection</t>
  </si>
  <si>
    <t>WACVW 2020</t>
  </si>
  <si>
    <t>http://paperreading.club/page?id=136659</t>
  </si>
  <si>
    <t>Fusing Event-based Camera and Radar for SLAM Using Spiking Neural Networks with Continual STDP Learning</t>
  </si>
  <si>
    <t>http://papers.nips.cc/paper/2889-aer-building-blocks-for-multi-layer-multi-chip-neuromorphic-vision-systems.pdf</t>
  </si>
  <si>
    <t>http://people.csail.mit.edu/yuan_wz/OtherProj/Event_ICRA16.pdf</t>
  </si>
  <si>
    <t>Fast Localization and Tracking using Event Sensors</t>
  </si>
  <si>
    <t>ICRA 2016</t>
  </si>
  <si>
    <t>http://prg.cs.umd.edu</t>
  </si>
  <si>
    <t>http://prg.cs.umd.edu/BetterFlow.html</t>
  </si>
  <si>
    <t>http://ras.papercept.net/images/temp/IROS/files/2483.pdf</t>
  </si>
  <si>
    <t>http://rcl.ece.iastate.edu/sites/default/files/papers/PivJon20A.pdf</t>
  </si>
  <si>
    <t>http://repositum.tuwien.ac.at/obvutwhs/download/pdf/1310930?originalFilename=true</t>
  </si>
  <si>
    <t>http://repositum.tuwien.ac.at/obvutwhs/download/pdf/1621666?originalFilename=true</t>
  </si>
  <si>
    <t>http://repositum.tuwien.ac.at/obvutwhs/download/pdf/1623095?originalFilename=true</t>
  </si>
  <si>
    <t>http://repositum.tuwien.ac.at/obvutwhs/download/pdf/1623418?originalFilename=true</t>
  </si>
  <si>
    <t>http://research.ibm.com/dvsgesture/):</t>
  </si>
  <si>
    <t>http://resolver.caltech.edu/CaltechETD:etd-07022004-144710</t>
  </si>
  <si>
    <t>http://resolver.caltech.edu/CaltechTHESIS:09122011-094355148</t>
  </si>
  <si>
    <t>http://resolver.tudelft.nl/uuid:aa13959b-79b9-4dfc-b5e0-7c501d9d3e2f</t>
  </si>
  <si>
    <t>http://rllab.snu.ac.kr/publications/papers/2022_iccas_eventpointnet.pdf</t>
  </si>
  <si>
    <t>EventPointNet: Robust Keypoint Detection with Neuromorphic Camera Data</t>
  </si>
  <si>
    <t>ICCAS 2022</t>
  </si>
  <si>
    <t>http://rpg.ifi.uzh.ch/CED.html</t>
  </si>
  <si>
    <t>http://rpg.ifi.uzh.ch/CVPR19_event_vision_workshop_files/docs/2019CVPRW_Asynchronous_Convolutional_Networks_for_Object_Detection_in_Neuromorphic_Cameras.pdf</t>
  </si>
  <si>
    <t>Asynchronous Convolutional Networks for Object Detection in Neuromorphic Cameras,</t>
  </si>
  <si>
    <t>CVPRW 2019</t>
  </si>
  <si>
    <t>http://rpg.ifi.uzh.ch/CVPR19_event_vision_workshop_files/docs/2019CVPRW_DET_A%20High-resolution_DVS%20Dataset_for_Lane%20Extraction.pdf</t>
  </si>
  <si>
    <t>DET: A High-resolution DVS Dataset for Lane Extraction,</t>
  </si>
  <si>
    <t>http://rpg.ifi.uzh.ch/CVPR19_event_vision_workshop_files/docs/2019CVPRW_DHP19_Dynamic_Vision_Sensor_3D_Human_Pose_Dataset.pdf</t>
  </si>
  <si>
    <t>DHP19: Dynamic Vision Sensor 3D Human Pose Dataset,</t>
  </si>
  <si>
    <t>http://rpg.ifi.uzh.ch/CVPR19_event_vision_workshop_files/docs/2019CVPRW_Event-based_attention_and_tracking_on_neuromorphic_hardware.pdf</t>
  </si>
  <si>
    <t>Event-based attention and tracking on neuromorphic hardware,</t>
  </si>
  <si>
    <t>http://rpg.ifi.uzh.ch/CVPR19_event_vision_workshop_files/docs/2019CVPRW_EvSegNet_Semantic_Segmentation_for_Event-based_Cameras.pdf</t>
  </si>
  <si>
    <t>EV-SegNet: Semantic Segmentation for Event-based Cameras,</t>
  </si>
  <si>
    <t>http://rpg.ifi.uzh.ch/CVPR19_event_vision_workshop_files/docs/2019CVPRW_Learning_Event-based_Height_from_Plane_and_Parallax.pdf</t>
  </si>
  <si>
    <t>Learning Event-based Height from Plane and Parallax,</t>
  </si>
  <si>
    <t>http://rpg.ifi.uzh.ch/CVPR19_event_vision_workshop_files/docs/2019CVPRW_Real-Time_6DOF_Pose_Relocalization_for_Event_Cameras.pdf</t>
  </si>
  <si>
    <t>Real-Time 6DOF Pose Relocalization for Event Cameras with Stacked Spatial LSTM Networks,</t>
  </si>
  <si>
    <t>http://rpg.ifi.uzh.ch/CVPR19_event_vision_workshop_files/docs/2019CVPRW_Star_Tracking_using_an_Event_Camera.pdf</t>
  </si>
  <si>
    <t>Star Tracking using an Event Camera,</t>
  </si>
  <si>
    <t>http://rpg.ifi.uzh.ch/CVPR19_event_vision_workshop.html</t>
  </si>
  <si>
    <t>http://rpg.ifi.uzh.ch/davis_data.html</t>
  </si>
  <si>
    <t>The Event-Camera Dataset and Simulator: Event-based Data for Pose Estimation, Visual Odometry, and SLAM</t>
  </si>
  <si>
    <t>IJRR 2017</t>
  </si>
  <si>
    <t>http://rpg.ifi.uzh.ch/direct_event_camera_tracking/index.html</t>
  </si>
  <si>
    <t>http://rpg.ifi.uzh.ch/docs/3DV20_Hidalgo.pdf</t>
  </si>
  <si>
    <t>http://rpg.ifi.uzh.ch/docs/3DV21_Muglikar_ESL_poster.pdf</t>
  </si>
  <si>
    <t>http://rpg.ifi.uzh.ch/docs/3DV21_Muglikar_ESL.pdf</t>
  </si>
  <si>
    <t>http://rpg.ifi.uzh.ch/docs/BMVC16_Rebecq.pdf</t>
  </si>
  <si>
    <t>http://rpg.ifi.uzh.ch/docs/BMVC17_Mueggler.pdf</t>
  </si>
  <si>
    <t>Fast Event-based Corner Detection</t>
  </si>
  <si>
    <t>BMVC 2017</t>
  </si>
  <si>
    <t>http://rpg.ifi.uzh.ch/docs/BMVC17_Rebecq.pdf</t>
  </si>
  <si>
    <t>Real-time Visual-Inertial Odometry for Event Cameras using Keyframe-based Nonlinear Optimization</t>
  </si>
  <si>
    <t>http://rpg.ifi.uzh.ch/docs/CORL18_Rebecq.pdf</t>
  </si>
  <si>
    <t>ESIM: an Open Event Camera Simulator</t>
  </si>
  <si>
    <t>CoRL 2018</t>
  </si>
  <si>
    <t>http://rpg.ifi.uzh.ch/docs/CVPR18_Gallego.pdf</t>
  </si>
  <si>
    <t>http://rpg.ifi.uzh.ch/docs/CVPR18_Maqueda.pdf</t>
  </si>
  <si>
    <t>http://rpg.ifi.uzh.ch/docs/CVPR19_Gallego.pdf</t>
  </si>
  <si>
    <t>http://rpg.ifi.uzh.ch/docs/CVPR19_Rebecq.pdf</t>
  </si>
  <si>
    <t>Events-to-Video: Bringing Modern Computer Vision to Event Cameras</t>
  </si>
  <si>
    <t>http://rpg.ifi.uzh.ch/docs/CVPR19workshop/CVPRW19_CED_pitch.pdf</t>
  </si>
  <si>
    <t>http://rpg.ifi.uzh.ch/docs/CVPR19workshop/CVPRW19_Eric_Ryu_Samsung.pdf</t>
  </si>
  <si>
    <t>http://rpg.ifi.uzh.ch/docs/CVPR19workshop/CVPRW19_Insightness.pdf</t>
  </si>
  <si>
    <t>http://rpg.ifi.uzh.ch/docs/CVPR20_Gehrig.pdf</t>
  </si>
  <si>
    <t>Video to Events: Recycling Video Datasets for Event Cameras</t>
  </si>
  <si>
    <t>http://rpg.ifi.uzh.ch/docs/CVPRW19_Scheerlinck.pdf</t>
  </si>
  <si>
    <t>CED: Color Event Camera Dataset,</t>
  </si>
  <si>
    <t>http://rpg.ifi.uzh.ch/docs/CVPRW21_Muglikar.pdf</t>
  </si>
  <si>
    <t>http://rpg.ifi.uzh.ch/docs/EBCCSP16_Braendli.pdf</t>
  </si>
  <si>
    <t>http://rpg.ifi.uzh.ch/docs/EBCCSP16_Tedaldi.pdf</t>
  </si>
  <si>
    <t>http://rpg.ifi.uzh.ch/docs/ECCV18_Gehrig_poster.pdf</t>
  </si>
  <si>
    <t>http://rpg.ifi.uzh.ch/docs/ECCV18_Gehrig.pdf</t>
  </si>
  <si>
    <t>Asynchronous, Photometric Feature Tracking using Events and Frames</t>
  </si>
  <si>
    <t>ECCV 2018</t>
  </si>
  <si>
    <t>http://rpg.ifi.uzh.ch/docs/ECCV18_Zhou.pdf</t>
  </si>
  <si>
    <t>Semi-Dense 3D Reconstruction with a Stereo Event Camera</t>
  </si>
  <si>
    <t>http://rpg.ifi.uzh.ch/docs/ECMR15_Mueggler.pdf</t>
  </si>
  <si>
    <t>http://rpg.ifi.uzh.ch/docs/EventVisionSurvey.pdf</t>
  </si>
  <si>
    <t>Event-based Vision: A Survey</t>
  </si>
  <si>
    <t>Survey paper</t>
  </si>
  <si>
    <t>Gallego, G., Delbruck, T., Orchard, G., Bartolozzi, C., Taba, B., Censi, A., Leutenegger, S., Davison, A., Conradt, J., Daniilidis, K., Scaramuzza, D.</t>
  </si>
  <si>
    <t>http://rpg.ifi.uzh.ch/docs/EventVisionSurvey.pdf)_</t>
  </si>
  <si>
    <t>http://rpg.ifi.uzh.ch/docs/ICCV19_Gehrig.pdf</t>
  </si>
  <si>
    <t>End-to-End Learning of Representations for Asynchronous Event-Based Data</t>
  </si>
  <si>
    <t>http://rpg.ifi.uzh.ch/docs/ICCV19_Stoffregen.pdf</t>
  </si>
  <si>
    <t>Event-Based Motion Segmentation by Motion Compensation,</t>
  </si>
  <si>
    <t>http://rpg.ifi.uzh.ch/docs/ICRA14_Censi.pdf</t>
  </si>
  <si>
    <t>http://rpg.ifi.uzh.ch/docs/ICRA15_Mueggler.pdf</t>
  </si>
  <si>
    <t>http://rpg.ifi.uzh.ch/docs/ICRA17workshop/Insightness.pdf</t>
  </si>
  <si>
    <t>http://rpg.ifi.uzh.ch/docs/ICRA19_Bryner.pdf</t>
  </si>
  <si>
    <t>Event-based, Direct Camera Tracking from a Photometric 3D Map using Nonlinear Optimization</t>
  </si>
  <si>
    <t>ICRA 2019</t>
  </si>
  <si>
    <t>http://rpg.ifi.uzh.ch/docs/ICRA19_Delmerico.pdf</t>
  </si>
  <si>
    <t>http://rpg.ifi.uzh.ch/docs/ICRA20_Gehrig.pdf</t>
  </si>
  <si>
    <t>http://rpg.ifi.uzh.ch/docs/ICRA20_Sugimoto.pdf</t>
  </si>
  <si>
    <t>http://rpg.ifi.uzh.ch/docs/ICRA21_Vitale.pdf</t>
  </si>
  <si>
    <t>http://rpg.ifi.uzh.ch/docs/IJCV17_Rebecq.pdf</t>
  </si>
  <si>
    <t>http://rpg.ifi.uzh.ch/docs/IJCV19_Gehrig.pdf</t>
  </si>
  <si>
    <t>http://rpg.ifi.uzh.ch/docs/IROS13_Censi.pdf</t>
  </si>
  <si>
    <t>http://rpg.ifi.uzh.ch/docs/IROS14_Mueggler.pdf</t>
  </si>
  <si>
    <t>http://rpg.ifi.uzh.ch/docs/IROS16_Kueng.pdf</t>
  </si>
  <si>
    <t>http://rpg.ifi.uzh.ch/docs/PAMI17_Gallego.pdf</t>
  </si>
  <si>
    <t>http://rpg.ifi.uzh.ch/docs/PhD17_Mueggler.pdf</t>
  </si>
  <si>
    <t>http://rpg.ifi.uzh.ch/docs/PhD19_Rebecq.pdf</t>
  </si>
  <si>
    <t>http://rpg.ifi.uzh.ch/docs/RAL16_EVO.pdf</t>
  </si>
  <si>
    <t>http://rpg.ifi.uzh.ch/docs/RAL16_Gallego.pdf</t>
  </si>
  <si>
    <t>http://rpg.ifi.uzh.ch/docs/RAL18_VidalRebecq.pdf</t>
  </si>
  <si>
    <t>http://rpg.ifi.uzh.ch/docs/RAL19_Falanga.pdf</t>
  </si>
  <si>
    <t>How Fast is Too Fast? The Role of Perception Latency in High-Speed Sense and Avoid</t>
  </si>
  <si>
    <t>RAL 2019</t>
  </si>
  <si>
    <t>http://rpg.ifi.uzh.ch/docs/RAL21_Gehrig.pdf</t>
  </si>
  <si>
    <t>http://rpg.ifi.uzh.ch/docs/RAL21_Sun.pdf</t>
  </si>
  <si>
    <t>Autonomous Quadrotor Flight Despite Rotor Failure with Onboard Vision Sensors: Frames vs. Events</t>
  </si>
  <si>
    <t>RAL 2021</t>
  </si>
  <si>
    <t>http://rpg.ifi.uzh.ch/docs/RSS15_Mueggler.pdf</t>
  </si>
  <si>
    <t>http://rpg.ifi.uzh.ch/docs/TPAMI19_Rebecq.pdf</t>
  </si>
  <si>
    <t>http://rpg.ifi.uzh.ch/docs/TRO18_Mueggler.pdf</t>
  </si>
  <si>
    <t>Continuous-Time Visual-Inertial Odometry for Event Cameras</t>
  </si>
  <si>
    <t>TRO 2018</t>
  </si>
  <si>
    <t>http://rpg.ifi.uzh.ch/dsec.html</t>
  </si>
  <si>
    <t>http://rpg.ifi.uzh.ch/E2VID</t>
  </si>
  <si>
    <t>http://rpg.ifi.uzh.ch/ICRA17_event_vision_workshop.html</t>
  </si>
  <si>
    <t>http://rpg.ifi.uzh.ch/RAMNet.html</t>
  </si>
  <si>
    <t>Combining Events and Frames Using Recurrent Asynchronous Multimodal Networks for Monocular Depth Prediction</t>
  </si>
  <si>
    <t>http://rpg.ifi.uzh.ch/research_dvs.html</t>
  </si>
  <si>
    <t>http://rpg.ifi.uzh.ch/timelens</t>
  </si>
  <si>
    <t>TimeLens: Event-based Video Frame Interpolation</t>
  </si>
  <si>
    <t>http://rpg.ifi.uzh.ch/TimeLens.html</t>
  </si>
  <si>
    <t>http://rpg.ifi.uzh.ch/uzh-fpv.html</t>
  </si>
  <si>
    <t>Are We Ready for Autonomous Drone Racing? The UZH-FPV Drone Racing Dataset</t>
  </si>
  <si>
    <t>http://sar-lab.net/event-based-vehicle-detection-and-tracking-dataset</t>
  </si>
  <si>
    <t>http://sensors.ini.ch/datasets</t>
  </si>
  <si>
    <t>http://sensors.ini.uzh.ch/databases.html</t>
  </si>
  <si>
    <t>http://sinapse.nus.edu.sg</t>
  </si>
  <si>
    <t>http://sira.diei.unipg.it/supplementary/public/Datasets/MA-VIED</t>
  </si>
  <si>
    <t>http://snowplow.apps.clarivate.com/r/tp2?u=https%3A%2F%2Fwww.webofscience.com%2Fapi%2Fgateway%3FGWVersion%3D2%26SrcAuth%3DAlerting%26AlertId%3D3e688ea3-a952-4989-9914-5feeda2d9365%26KeyQueryID%3D554329ff-57f1-41eb-9e66-1a3d503c580f%26SrcApp%3Dprofile%26DestApp%3DWOS_CPL%26DestLinkType%3DFullRecord%26KeyUT%3DWOS%3A001264457400001&amp;co=%7B%22schema%22%3A%22iglu%3Acom.snowplowanalytics.snowplow%2Fcontexts%2Fjsonschema%2F1-0-0%22%2C%22data%22%3A%5B%7B%22schema%22%3A%22iglu%3Acom.clarivate.userintel%2Femail_engine%2Fjsonschema%2F1-0-0%22%2C%22data%22%3A%7B%22emailInstId%22%3A%22904d9e10-c530-40d1-8260-99f2b1d29f89%22%2C%22eventType%22%3A%22track_link%22%2C%22linkType%22%3A%22alert-wos-click-on-record-link%22%2C%22linkId%22%3A%22%22%7D%7D%5D%7D&amp;e=se&amp;aid=email-eng&amp;se_ac=alert-wos-click-on-record-link</t>
  </si>
  <si>
    <t>Beyond supervision: An unsupervised spatio-temporal point cloud noise modeling for event vision sensor</t>
  </si>
  <si>
    <t>PR 2024</t>
  </si>
  <si>
    <t>http://tum.neurocomputing.systems/fileadmin/w00bqs/www/publications/pp/2015SS-PP-RealTimeDVSOpticFlow.pdf</t>
  </si>
  <si>
    <t>http://vi.kaist.ac.kr</t>
  </si>
  <si>
    <t>http://vi.kaist.ac.kr/wp-content/uploads/2021/03/EventSeg_S_Tlearning.pdf</t>
  </si>
  <si>
    <t>EvDistill: Asynchronous Events To End-Task Learning via Bidirectional Reconstruction-Guided Cross-Modal Knowledge Distillation</t>
  </si>
  <si>
    <t>http://vis-www.cs.umass.edu/motionSegmentation/website_ICCV21/ICCV2021-paper.pdf</t>
  </si>
  <si>
    <t>http://vis-www.cs.umass.edu/motionSegmentation/website_ICCV21/index.html</t>
  </si>
  <si>
    <t>http://wiki.ros.org/camera_calibration/Tutorials/MonocularCalibration</t>
  </si>
  <si>
    <t>http://wp.doc.ic.ac.uk/pb2114/datasets</t>
  </si>
  <si>
    <t>http://www.araa.asn.au/acra/acra2017/papers/pap127s1-file1.pdf</t>
  </si>
  <si>
    <t>http://www.arxiv.org/abs/2407.06838</t>
  </si>
  <si>
    <t>Event Trojan: Asynchronous Event-based Backdoor Attacks</t>
  </si>
  <si>
    <t>ECCV 2024</t>
  </si>
  <si>
    <t>http://www.arxiv.org/abs/2407.20708</t>
  </si>
  <si>
    <t>Integer-Valued Training and Spike-driven Inference Spiking Neural Network for High-performance and Energy-efficient Object Detection</t>
  </si>
  <si>
    <t>http://www.arxiv.org/abs/2504.04029</t>
  </si>
  <si>
    <t>Simultaneous Motion And Noise Estimation with Event Cameras</t>
  </si>
  <si>
    <t>http://www.arxiv.org/abs/2506.02547</t>
  </si>
  <si>
    <t>Probabilistic Online Event Downsampling</t>
  </si>
  <si>
    <t>http://www.arxiv.org/abs/2506.04817</t>
  </si>
  <si>
    <t>Spike-TBR: a Noise Resilient Neuromorphic Event Representation</t>
  </si>
  <si>
    <t>http://www.arxiv.org/abs/2507.11931</t>
  </si>
  <si>
    <t>Dark-EvGS: Event Camera as an Eye for Radiance Field in the Dark</t>
  </si>
  <si>
    <t>http://www.arxiv.org/abs/2507.15150</t>
  </si>
  <si>
    <t>Event-based Graph Representation with Spatial and Motion Vectors for Asynchronous Object Detection</t>
  </si>
  <si>
    <t>http://www.belbachir.info/PDF/cvpr1_2010.pdf</t>
  </si>
  <si>
    <t>http://www.belbachir.info/PDF/cvpr2_2010.pdf</t>
  </si>
  <si>
    <t>http://www.belbachir.info/PDF/cvpr3_2010.pdf</t>
  </si>
  <si>
    <t>http://www.belbachir.info/PDF/dsp2006.pdf</t>
  </si>
  <si>
    <t>http://www.belbachir.info/PDF/icdsc2010.pdf</t>
  </si>
  <si>
    <t>http://www.bmva.org/bmvc/2014/papers/paper066/</t>
  </si>
  <si>
    <t>Simultaneous Mosaicing and Tracking with an Event Camera</t>
  </si>
  <si>
    <t>BMVC 2014</t>
  </si>
  <si>
    <t>http://www.bmva.org/bmvc/2016/papers/paper009</t>
  </si>
  <si>
    <t>http://www.bmva.org/bmvc/2016/papers/paper009/</t>
  </si>
  <si>
    <t>Real-Time Intensity-Image Reconstruction for Event Cameras Using Manifold Regularisation</t>
  </si>
  <si>
    <t>BMVC 2016</t>
  </si>
  <si>
    <t>http://www.bmva.org/bmvc/2016/papers/paper009/paper009.pdf</t>
  </si>
  <si>
    <t>http://www.bmva.org/bmvc/2016/papers/paper063</t>
  </si>
  <si>
    <t>http://www.bmva.org/bmvc/2016/papers/paper063/</t>
  </si>
  <si>
    <t>EMVS: Event-based Multi-View Stereo,</t>
  </si>
  <si>
    <t>http://www.celepixel.com</t>
  </si>
  <si>
    <t>http://www.cfar.umd.edu/~fer/postscript/contourmotion-dvs-final.pdf</t>
  </si>
  <si>
    <t>http://www.cv-foundation.org/openaccess/content_cvpr_2015/papers/Schraml_Event-Driven_Stereo_Matching_2015_CVPR_paper.pdf</t>
  </si>
  <si>
    <t>http://www.cv-foundation.org/openaccess/content_cvpr_2016/papers/Bardow_Simultaneous_Optical_Flow_CVPR_2016_paper.pdf</t>
  </si>
  <si>
    <t>Simultaneous Optical Flow and Intensity Estimation from an Event Camera</t>
  </si>
  <si>
    <t>CVPR 2016</t>
  </si>
  <si>
    <t>http://www.cv-foundation.org/openaccess/content_cvpr_workshops_2014/W13/papers/Belbachir_A_Novel_HDR_2014_CVPR_paper.pdf</t>
  </si>
  <si>
    <t>http://www.cv-foundation.org/openaccess/content_iccv_2015/papers/Barranco_Contour_Detection_and_ICCV_2015_paper.pdf</t>
  </si>
  <si>
    <t>http://www.ecva.net/papers/eccv_2020/papers_ECCV/papers/123500154-supp.pdf</t>
  </si>
  <si>
    <t>http://www.ecva.net/papers/eccv_2020/papers_ECCV/papers/123500154.pdf</t>
  </si>
  <si>
    <t>Entropy Minimisation Framework for Event-based Vision Model Estimation</t>
  </si>
  <si>
    <t>ECCV 2020</t>
  </si>
  <si>
    <t>http://www.ecva.net/papers/eccv_2020/papers_ECCV/papers/123510494.pdf</t>
  </si>
  <si>
    <t>Jointly learning visual motion and confidence from local patches in event cameras</t>
  </si>
  <si>
    <t>http://www.ecva.net/papers/eccv_2020/papers_ECCV/papers/123530681.pdf</t>
  </si>
  <si>
    <t>Learning Event-Driven Video Deblurring and Interpolation</t>
  </si>
  <si>
    <t>http://www.ecva.net/papers/eccv_2020/papers_ECCV/papers/123630647.pdf</t>
  </si>
  <si>
    <t>Learning to See in the Dark with Events</t>
  </si>
  <si>
    <t>http://www.ecva.net/papers/eccv_2020/papers_ECCV/papers/123710052.pdf</t>
  </si>
  <si>
    <t>Globally-Optimal Event Camera Motion Estimation</t>
  </si>
  <si>
    <t>http://www.ecva.net/papers/eccv_2020/papers_ECCV/papers/123740035.pdf</t>
  </si>
  <si>
    <t>Stereo Event-based Particle Tracking Velocimetry for 3D Fluid Flow Reconstruction</t>
  </si>
  <si>
    <t>http://www.eurecom.fr/en/publication/7789</t>
  </si>
  <si>
    <t>TIME-E2V: Overcoming limitations of E2VID</t>
  </si>
  <si>
    <t>http://www.frontiersin.org/articles/10.3389/fnbot.2018.00004/full#supplementary-material</t>
  </si>
  <si>
    <t>http://www.garrickorchard.com/code/hfirst</t>
  </si>
  <si>
    <t>http://www.garrickorchard.com/datasets/n-caltech101</t>
  </si>
  <si>
    <t>http://www.garrickorchard.com/datasets/n-mnist</t>
  </si>
  <si>
    <t>http://www.hvrl.ics.keio.ac.jp</t>
  </si>
  <si>
    <t>http://www.ifd.mavt.ethz.ch/research/group-roesgen/dynamic-vision-sensors.html</t>
  </si>
  <si>
    <t>http://www.ini.uzh.ch/~tobi/papers/lichtsteinerThesis2006.pdf</t>
  </si>
  <si>
    <t>http://www.ini.uzh.ch/~tobi/papers/mishathesis.pdf</t>
  </si>
  <si>
    <t>http://www.ini.uzh.ch/admin/extras/doc_get.php?id=42580</t>
  </si>
  <si>
    <t>http://www.ini.uzh.ch/admin/extras/doc_get.php?id=65634</t>
  </si>
  <si>
    <t>http://www.insightness.com</t>
  </si>
  <si>
    <t>http://www.insightness.com/?p=361</t>
  </si>
  <si>
    <t>http://www.iri.upc.edu/people/cetto/William_thesis/Chamorro_phdthesis.pdf</t>
  </si>
  <si>
    <t>http://www.kutter-fonds.ethz.ch/App_Themes/default/datalinks/2016_MT_Horstschaefer1.pdf</t>
  </si>
  <si>
    <t>http://www.kutter-fonds.ethz.ch/App_Themes/default/datalinks/BasilHuber_UniZ_MT2014.pdf</t>
  </si>
  <si>
    <t>http://www.lidarhumanmotion.net/reli11d/</t>
  </si>
  <si>
    <t>RELI11D: A Comprehensive Multimodal Human Motion Dataset and Method</t>
  </si>
  <si>
    <t>CVPR 2024</t>
  </si>
  <si>
    <t>http://www.prophesee.ai</t>
  </si>
  <si>
    <t>http://www.prophesee.ai/dataset-n-cars/):</t>
  </si>
  <si>
    <t>http://www.research.ibm.com/articles/brain-chip.shtml</t>
  </si>
  <si>
    <t>http://www.rit.edu/kgcoe/iros15workshop/papers/IROS2015-WASRoP-Invited-04-slides.pdf</t>
  </si>
  <si>
    <t>http://www.roboticsproceedings.org/rss13/p35.pdf</t>
  </si>
  <si>
    <t>A neuromorphic controller for a robotic vehicle equipped with a Dynamic Vision Sensor</t>
  </si>
  <si>
    <t>RSS 2017</t>
  </si>
  <si>
    <t>http://www.roboticsproceedings.org/rss14/p62.pdf</t>
  </si>
  <si>
    <t>EV-FlowNet: Self-Supervised Optical Flow Estimation for Event-based Cameras,</t>
  </si>
  <si>
    <t>RSS 2018</t>
  </si>
  <si>
    <t>http://www.roboticsproceedings.org/rss15/p45.html</t>
  </si>
  <si>
    <t>Cross-Modal Learning Filters for RGB-Neuromorphic Wormhole Learning</t>
  </si>
  <si>
    <t>RSS 2019</t>
  </si>
  <si>
    <t>http://www.roboticsproceedings.org/rss16/p020.pdf</t>
  </si>
  <si>
    <t>http://www.roboticsproceedings.org/rss16/p074.pdf</t>
  </si>
  <si>
    <t>http://www.roboticsproceedings.org/rss17/p074.pdf</t>
  </si>
  <si>
    <t>EVPropNet: Detecting Drones By Finding Propellers For Mid-Air Landing And Following</t>
  </si>
  <si>
    <t>RSS 2021</t>
  </si>
  <si>
    <t>http://www.rtc.us.es</t>
  </si>
  <si>
    <t>http://www.samsung.com</t>
  </si>
  <si>
    <t>http://www.theses.fr/2014PA066593.pdf</t>
  </si>
  <si>
    <t>http://www.zora.uzh.ch/107736/1/fnins-07-00275.pdf</t>
  </si>
  <si>
    <t>http://www.zora.uzh.ch/107801/1/fnins-07-00223.pdf</t>
  </si>
  <si>
    <t>http://www.zora.uzh.ch/121743/1/RelationalNetSensor.pdf</t>
  </si>
  <si>
    <t>http://www.zora.uzh.ch/60624/1/Drazen_EIF_2011.pdf</t>
  </si>
  <si>
    <t>http://www.zora.uzh.ch/75315/1/Lee_et_al_Live_demonstration.pdf</t>
  </si>
  <si>
    <t>http://www2.imse-cnm.csic.es/caviar/MNISTDVS.html</t>
  </si>
  <si>
    <t>http://www2.imse-cnm.csic.es/caviar/POKERDVS.html</t>
  </si>
  <si>
    <t>http://www2.imse-cnm.csic.es/caviar/SLOWPOKERDVS.html</t>
  </si>
  <si>
    <t>http://www2.imse-cnm.csic.es/neuromorphs/index.php/SL-ANIMALS-DVS-Database</t>
  </si>
  <si>
    <t>https://2025.ic-dsp.org/special-session-4</t>
  </si>
  <si>
    <t>https://4dqv.mpi-inf.mpg.de/E3DGS/</t>
  </si>
  <si>
    <t>E-3DGS: Event-Based Novel View Rendering of Large-Scale Scenes Using 3D Gaussian Splatting</t>
  </si>
  <si>
    <t>3DV 2025</t>
  </si>
  <si>
    <t>https://4dqv.mpi-inf.mpg.de/Ev4DGS/</t>
  </si>
  <si>
    <t>Ev4DGS: Novel-view Rendering of Non-Rigid Objects from Monocular Event Streams</t>
  </si>
  <si>
    <t>BMVC 2025</t>
  </si>
  <si>
    <t>https://accedacris.ulpgc.es/handle/10553/118706</t>
  </si>
  <si>
    <t>Caracterización de cámaras neuromórficas para comunicaciones OCC</t>
  </si>
  <si>
    <t>MS Thesis</t>
  </si>
  <si>
    <t>https://adamdhines.github.io/static/papers/LENS.pdf</t>
  </si>
  <si>
    <t>https://addi.ehu.es/bitstream/handle/10810/75434/TFM%20BotanaJorge.pdf?sequence=2&amp;isAllowed=y</t>
  </si>
  <si>
    <t>CONFIGURACIÓN DE UN SISTEMA DE VISIÓN NEUROMÓRFICA DESDE UNA PLATAFORMA LINUX</t>
  </si>
  <si>
    <t>https://ai-ctx.com/products/dynap</t>
  </si>
  <si>
    <t>https://amostech.com/TechnicalPapers/2017/Optical-Systems/Cohen.pdf</t>
  </si>
  <si>
    <t>https://amostech.com/TechnicalPapers/2018/Poster/Cohen.pdf</t>
  </si>
  <si>
    <t>https://amostech.com/TechnicalPapers/2019/Optical-Systems-&amp;-Instrumentation/Ralph.pdf</t>
  </si>
  <si>
    <t>https://amostech.com/TechnicalPapers/2022/Optical-Systems_Instrumentation/Oliver.pdf</t>
  </si>
  <si>
    <t>Event-based sensor multiple hypothesis tracker for space domain awareness</t>
  </si>
  <si>
    <t>AMOS 2022</t>
  </si>
  <si>
    <t>https://amostech.com/TechnicalPapers/2022/Poster/Tinch.pdf</t>
  </si>
  <si>
    <t>Event-based Detection, Tracking, and Recognition of Unresolved Moving Objects</t>
  </si>
  <si>
    <t>https://amt.copernicus.org/articles/17/335/2024/</t>
  </si>
  <si>
    <t>Measuring diameters and velocities of artificial raindrops with a neuromorphic event camera</t>
  </si>
  <si>
    <t>AMT 2024</t>
  </si>
  <si>
    <t>https://aoki-medialab.jp/home-en</t>
  </si>
  <si>
    <t>https://apps.dtic.mil/docs/citations/AD1076268</t>
  </si>
  <si>
    <t>https://apps.dtic.mil/sti/citations/AD1102920</t>
  </si>
  <si>
    <t>Event-Based Visual Inertial Odometry Using Smart Features</t>
  </si>
  <si>
    <t>MS Thesis 2020</t>
  </si>
  <si>
    <t>https://apps.dtic.mil/sti/citations/AD1116489</t>
  </si>
  <si>
    <t>Co-Calibration and Registration of Color and Event Cameras</t>
  </si>
  <si>
    <t>ARL 2020</t>
  </si>
  <si>
    <t>https://apps.dtic.mil/sti/citations/AD1129088</t>
  </si>
  <si>
    <t>A Comparative Evaluation of the Fast Optical Pulse Response of Event-Based Cameras</t>
  </si>
  <si>
    <t>MS Thesis 2021</t>
  </si>
  <si>
    <t>https://apps.dtic.mil/sti/citations/AD1158545</t>
  </si>
  <si>
    <t>Apparatus and Techniques for the Deployment and Characterization of Event-Based Sensors</t>
  </si>
  <si>
    <t>Tech Rep 2022</t>
  </si>
  <si>
    <t>https://apps.dtic.mil/sti/pdfs/AD1116559.pdf</t>
  </si>
  <si>
    <t>Characterization of the High-Speed Detection Limits of a Neuromorphic Vision Sensor</t>
  </si>
  <si>
    <t>preprint 2020</t>
  </si>
  <si>
    <t>https://apps.dtic.mil/sti/pdfs/AD1170138.pdf</t>
  </si>
  <si>
    <t>Exploring the Use of Event Based Imaging Sensors on Turbulence ...</t>
  </si>
  <si>
    <t>https://apps.dtic.mil/sti/tr/pdf/AD1116489.pdf</t>
  </si>
  <si>
    <t>Co-calibration and Registration of Color and Event Cameras</t>
  </si>
  <si>
    <t>https://apps.dtic.mil/sti/trecms/pdf/AD1219229.pdf</t>
  </si>
  <si>
    <t>Scalable Hardware and Software Procedures for N-ocular Event-Based Stereo System Calibration</t>
  </si>
  <si>
    <t>https://arc.aiaa.org/doi/abs/10.2514/1.J064591</t>
  </si>
  <si>
    <t>Event-Based Measurement of Aeroelastic Structure in High-Speed Flow</t>
  </si>
  <si>
    <t>AIAAJ 2024</t>
  </si>
  <si>
    <t>https://arc.aiaa.org/doi/abs/10.2514/6.2024-2492</t>
  </si>
  <si>
    <t>AsyncELF: Development of Event-Based 3D Imaging for Hypersonic FSI Measurements</t>
  </si>
  <si>
    <t>AIAA 2024</t>
  </si>
  <si>
    <t>https://arc.aiaa.org/doi/abs/10.2514/6.2024-2663</t>
  </si>
  <si>
    <t>Toward Event-Based Noise-Robust High Density Particle Velocimetry</t>
  </si>
  <si>
    <t>https://arc.aiaa.org/doi/abs/10.2514/6.2024-2795</t>
  </si>
  <si>
    <t>EventStream: Spatiotemporal Event Clustering for Feature Detection and Tracking</t>
  </si>
  <si>
    <t>https://arc.aiaa.org/doi/pdf/10.2514/6.2024-2659</t>
  </si>
  <si>
    <t>Analysis of Event-Based Camera's Potential for In-Flight Measurement on Hypersonic Test Vehicles</t>
  </si>
  <si>
    <t>https://arclab.hku.hk</t>
  </si>
  <si>
    <t>https://arxiv.org/abs/1703.05161</t>
  </si>
  <si>
    <t>https://arxiv.org/abs/1707.07188</t>
  </si>
  <si>
    <t>https://arxiv.org/abs/1708.09011</t>
  </si>
  <si>
    <t>https://arxiv.org/abs/1801.10202</t>
  </si>
  <si>
    <t>https://arxiv.org/abs/1802.02398</t>
  </si>
  <si>
    <t>https://arxiv.org/abs/1802.06898</t>
  </si>
  <si>
    <t>https://arxiv.org/abs/1803.07913</t>
  </si>
  <si>
    <t>https://arxiv.org/abs/1803.09025</t>
  </si>
  <si>
    <t>Realtime Time Synchronized Event-based Stereo</t>
  </si>
  <si>
    <t>https://arxiv.org/abs/1807.09480</t>
  </si>
  <si>
    <t>Attention Mechanisms for Object Recognition With Event-Based Cameras</t>
  </si>
  <si>
    <t>WACV 2019</t>
  </si>
  <si>
    <t>https://arxiv.org/abs/1807.10936</t>
  </si>
  <si>
    <t>https://arxiv.org/abs/1810.08646</t>
  </si>
  <si>
    <t>SLAYER: Spike Layer Error Reassignment in time</t>
  </si>
  <si>
    <t>NeurIPS 2018</t>
  </si>
  <si>
    <t>https://arxiv.org/abs/1811.08230</t>
  </si>
  <si>
    <t>Event-based High Dynamic Range Image and Very High Frame Rate Video Generation using Conditional Generative Adversarial Networks</t>
  </si>
  <si>
    <t>https://arxiv.org/abs/1811.10180</t>
  </si>
  <si>
    <t>Bringing a Blurry Frame Alive at High Frame-Rate with an Event Camera</t>
  </si>
  <si>
    <t>https://arxiv.org/abs/1812.07045</t>
  </si>
  <si>
    <t>https://arxiv.org/abs/1902.06820</t>
  </si>
  <si>
    <t>https://arxiv.org/abs/1902.09680</t>
  </si>
  <si>
    <t>https://arxiv.org/abs/1903.07520</t>
  </si>
  <si>
    <t>EV-IMO: Motion Segmentation Dataset and Learning Pipeline for Event Cameras</t>
  </si>
  <si>
    <t>https://arxiv.org/abs/1903.11332</t>
  </si>
  <si>
    <t>Speed Invariant Time Surface for Learning to Detect Corner Points with Event-Based Cameras</t>
  </si>
  <si>
    <t>https://arxiv.org/abs/1904.04805</t>
  </si>
  <si>
    <t>https://arxiv.org/abs/1905.07419</t>
  </si>
  <si>
    <t>https://arxiv.org/abs/1906.10925</t>
  </si>
  <si>
    <t>FA-Harris: A Fast and Asynchronous Corner Detector for Event Cameras</t>
  </si>
  <si>
    <t>https://arxiv.org/abs/1908.11618</t>
  </si>
  <si>
    <t>Multi-grained Spatio-Temporal Features Perceived Network for Event-based Lip-Reading</t>
  </si>
  <si>
    <t>https://arxiv.org/abs/1912.01196</t>
  </si>
  <si>
    <t>Learning to Super Resolve Intensity Images from Events</t>
  </si>
  <si>
    <t>https://arxiv.org/abs/2001.03455</t>
  </si>
  <si>
    <t>A Differentiable Recurrent Surface for Asynchronous Event-Based Data</t>
  </si>
  <si>
    <t>https://arxiv.org/abs/2001.08499</t>
  </si>
  <si>
    <t>https://arxiv.org/abs/2003.06696</t>
  </si>
  <si>
    <t>Spike-FlowNet: Event-based Optical Flow Estimation with Energy-Efficient Hybrid Neural Networks</t>
  </si>
  <si>
    <t>https://arxiv.org/abs/2003.08282</t>
  </si>
  <si>
    <t>Event Probability Mask (EPM) and Event Denoising Convolutional NeuralNetwork (EDnCNN) for Neuromorphic Cameras</t>
  </si>
  <si>
    <t>https://arxiv.org/abs/2003.09078</t>
  </si>
  <si>
    <t>https://arxiv.org/abs/2003.10959</t>
  </si>
  <si>
    <t>Learning to Exploit Multiple Vision Modalities by Using Grafted Networks</t>
  </si>
  <si>
    <t>https://arxiv.org/abs/2003.12680</t>
  </si>
  <si>
    <t>Distance Surface for Event-Based Optical Flow</t>
  </si>
  <si>
    <t>ICCP 2020</t>
  </si>
  <si>
    <t>https://arxiv.org/abs/2004.00801</t>
  </si>
  <si>
    <t>Exploration of Reinforcement Learning for Event Camera using Car-like Robots</t>
  </si>
  <si>
    <t>ICRAW 2020</t>
  </si>
  <si>
    <t>https://arxiv.org/abs/2004.03156</t>
  </si>
  <si>
    <t>Real-time Classification from Short Event-Camera Streams using Input-filtering Neural ODEs</t>
  </si>
  <si>
    <t>https://arxiv.org/abs/2004.13652</t>
  </si>
  <si>
    <t>Event-based Robotic Grasping Detection with Neuromorphic Vision Sensor and Event-Stream Dataset</t>
  </si>
  <si>
    <t>FNBOT 2020</t>
  </si>
  <si>
    <t>https://arxiv.org/abs/2005.08605</t>
  </si>
  <si>
    <t>https://arxiv.org/abs/2006.02826</t>
  </si>
  <si>
    <t>https://arxiv.org/abs/2006.06158</t>
  </si>
  <si>
    <t>https://arxiv.org/abs/2007.08336</t>
  </si>
  <si>
    <t>Event Enhanced High-Quality Image Recovery</t>
  </si>
  <si>
    <t>https://arxiv.org/abs/2009.00855</t>
  </si>
  <si>
    <t>e-TLD: Event-based Framework for Dynamic Object Tracking</t>
  </si>
  <si>
    <t>TCSVT 2021</t>
  </si>
  <si>
    <t>https://arxiv.org/abs/2009.07083</t>
  </si>
  <si>
    <t>Event-Driven Visual-Tactile Sensing and Learning for Robots</t>
  </si>
  <si>
    <t>RSS 2020</t>
  </si>
  <si>
    <t>https://arxiv.org/abs/2009.08020</t>
  </si>
  <si>
    <t>LDNet: End-to-End Lane Detection Approach using a Dynamic Vision Sensor</t>
  </si>
  <si>
    <t>IEEE T-ITS 2021</t>
  </si>
  <si>
    <t>https://arxiv.org/abs/2009.08283</t>
  </si>
  <si>
    <t>Back to Event Basics: Self-Supervised Learning of Image Reconstruction for Event Cameras via Photometric Constancy</t>
  </si>
  <si>
    <t>https://arxiv.org/abs/2009.11044</t>
  </si>
  <si>
    <t>Unsupervised Feature Learning for Event Data: Direct vs Inverse Problem Formulation</t>
  </si>
  <si>
    <t>ICPR 2020</t>
  </si>
  <si>
    <t>https://arxiv.org/abs/2009.13436</t>
  </si>
  <si>
    <t>Learning to Detect Objects with a 1 Megapixel Event Camera</t>
  </si>
  <si>
    <t>https://arxiv.org/abs/2010.08350</t>
  </si>
  <si>
    <t>Learning Monocular Dense Depth from Events</t>
  </si>
  <si>
    <t>3DV 2020</t>
  </si>
  <si>
    <t>https://arxiv.org/abs/2010.15507</t>
  </si>
  <si>
    <t>Dynamic Resource-aware Corner Detection for Bio-inspired Vision Sensors</t>
  </si>
  <si>
    <t>https://arxiv.org/abs/2010.15509</t>
  </si>
  <si>
    <t>Night vision obstacle detection and avoidance based on Bio-Inspired Vision Sensors</t>
  </si>
  <si>
    <t>IEEE SENSORS 2020</t>
  </si>
  <si>
    <t>https://arxiv.org/abs/2011.09427</t>
  </si>
  <si>
    <t>Fast Motion understanding with spatio-temporal neural networks and Dynamic Vision Sensors</t>
  </si>
  <si>
    <t>ICRA 2021</t>
  </si>
  <si>
    <t>https://arxiv.org/abs/2012.05214</t>
  </si>
  <si>
    <t>E3D: Event-Based 3D Shape Reconstruction</t>
  </si>
  <si>
    <t>https://arxiv.org/abs/2012.05590</t>
  </si>
  <si>
    <t>An Asynchronous Kalman Filter for Hybrid Event Cameras</t>
  </si>
  <si>
    <t>ICCV 2021</t>
  </si>
  <si>
    <t>https://arxiv.org/abs/2012.08730</t>
  </si>
  <si>
    <t>Event-based Motion Segmentation with Spatio-Temporal Graph Cuts</t>
  </si>
  <si>
    <t>TNNLS 2021</t>
  </si>
  <si>
    <t>https://arxiv.org/abs/2012.09378</t>
  </si>
  <si>
    <t>Event Camera Calibration of Per-pixel Biased Contrast Threshold</t>
  </si>
  <si>
    <t>ACRA 2019</t>
  </si>
  <si>
    <t>https://arxiv.org/abs/2101.10371</t>
  </si>
  <si>
    <t>The GRIFFIN Perception Dataset: Bridging the Gap Between Flapping-Wing Flight and Robotic Perception</t>
  </si>
  <si>
    <t>https://arxiv.org/abs/2101.11251</t>
  </si>
  <si>
    <t>e-ACJ: Accurate Junction Extraction For Event Cameras</t>
  </si>
  <si>
    <t>ICIP 2021</t>
  </si>
  <si>
    <t>https://arxiv.org/abs/2102.00112</t>
  </si>
  <si>
    <t>https://arxiv.org/abs/2102.08145</t>
  </si>
  <si>
    <t>Hough2Map – Iterative Event-Based Hough Transform for High-Speed Railway Mapping</t>
  </si>
  <si>
    <t>https://arxiv.org/abs/2102.11916</t>
  </si>
  <si>
    <t>Event Camera Based Real-Time Detection and Tracking of Indoor Ground Robots</t>
  </si>
  <si>
    <t>IEEE Access 2022</t>
  </si>
  <si>
    <t>https://arxiv.org/abs/2102.12823</t>
  </si>
  <si>
    <t>FAITH: Fast iterative half-plane focus of expansion estimation using event-based optic flow</t>
  </si>
  <si>
    <t>https://arxiv.org/abs/2103.00806</t>
  </si>
  <si>
    <t>Representation Learning for Event-based Visuomotor Policies</t>
  </si>
  <si>
    <t>NeurIPS 2021</t>
  </si>
  <si>
    <t>https://arxiv.org/abs/2103.02376</t>
  </si>
  <si>
    <t>Event-based Synthetic Aperture Imaging with a Hybrid Network</t>
  </si>
  <si>
    <t>https://arxiv.org/abs/2103.05955</t>
  </si>
  <si>
    <t>Spatiotemporal Registration for Event-Based Visual Odometry</t>
  </si>
  <si>
    <t>https://arxiv.org/abs/2103.06108</t>
  </si>
  <si>
    <t>https://arxiv.org/abs/2103.10592</t>
  </si>
  <si>
    <t>Fusion-FlowNet: Energy-Efficient Optical Flow Estimation using Sensor Fusion and Deep Fused Spiking-Analog Network Architectures</t>
  </si>
  <si>
    <t>ICRA 2022</t>
  </si>
  <si>
    <t>https://arxiv.org/abs/2103.11645</t>
  </si>
  <si>
    <t>AET-EFN: A Versatile Design for Static and Dynamic Event-Based Vision</t>
  </si>
  <si>
    <t>preprint 2021</t>
  </si>
  <si>
    <t>https://arxiv.org/abs/2103.12768</t>
  </si>
  <si>
    <t>DA4Event: towards bridging the Sim-to-Real Gap for Event Cameras using Domain Adaptation</t>
  </si>
  <si>
    <t>https://arxiv.org/abs/2104.02541</t>
  </si>
  <si>
    <t>Instantaneous Stereo Depth Estimation of Real-World Stimuli with a Neuromorphic Stereo-Vision Setup</t>
  </si>
  <si>
    <t>ISCAS 2021</t>
  </si>
  <si>
    <t>https://arxiv.org/abs/2104.05145</t>
  </si>
  <si>
    <t>Event-based Timestamp Image Encoding Network for Human Action Recognition and Anticipation</t>
  </si>
  <si>
    <t>IJCNN 2021</t>
  </si>
  <si>
    <t>https://arxiv.org/abs/2104.12579</t>
  </si>
  <si>
    <t>Learning from Event Cameras with Sparse Spiking Convolutional Neural Networks</t>
  </si>
  <si>
    <t>https://arxiv.org/abs/2105.00480</t>
  </si>
  <si>
    <t>SE-Harris and eSUSAN: Asynchronous Event-Based Corner Detection Using Megapixel Resolution CeleX-V Camera</t>
  </si>
  <si>
    <t>https://arxiv.org/abs/2105.01203</t>
  </si>
  <si>
    <t>Event Camera Simulator Design for Modeling Attention-based Inference Architectures</t>
  </si>
  <si>
    <t>JRTIP 2022</t>
  </si>
  <si>
    <t>https://arxiv.org/abs/2105.05973</t>
  </si>
  <si>
    <t>Removing Blocking Artifacts in Video Streams Using Event Cameras</t>
  </si>
  <si>
    <t>https://arxiv.org/abs/2105.06091</t>
  </si>
  <si>
    <t>Superevents: Towards Native Semantic Segmentation for Event-based Cameras</t>
  </si>
  <si>
    <t>ICONS 2021</t>
  </si>
  <si>
    <t>https://arxiv.org/abs/2105.14753</t>
  </si>
  <si>
    <t>Bio-inspired visual attention for silicon retinas based on spiking neural networks applied to pattern classification</t>
  </si>
  <si>
    <t>CBMI 2021</t>
  </si>
  <si>
    <t>https://arxiv.org/abs/2106.00216</t>
  </si>
  <si>
    <t>A Voxel Graph CNN for Object Classification with Event Cameras</t>
  </si>
  <si>
    <t>https://arxiv.org/abs/2106.01862</t>
  </si>
  <si>
    <t>Self-Supervised Learning of Event-Based Optical Flow with Spiking Neural Networks,</t>
  </si>
  <si>
    <t>https://arxiv.org/abs/2107.04536</t>
  </si>
  <si>
    <t>Event-Based Feature Tracking in Continuous Time with Sliding Window Optimization</t>
  </si>
  <si>
    <t>https://arxiv.org/abs/2107.06749</t>
  </si>
  <si>
    <t>https://arxiv.org/abs/2108.05015</t>
  </si>
  <si>
    <t>https://arxiv.org/abs/2109.00210</t>
  </si>
  <si>
    <t>EventPoint: Self-Supervised Interest Point Detection and Description for Event-based Camera</t>
  </si>
  <si>
    <t>https://arxiv.org/abs/2109.02618</t>
  </si>
  <si>
    <t>Bridging the Gap between Events and Frames through Unsupervised Domain Adaptation</t>
  </si>
  <si>
    <t>RAL 2022</t>
  </si>
  <si>
    <t>https://arxiv.org/abs/2109.12894</t>
  </si>
  <si>
    <t>Training Spiking Neural Networks using lessons from Deep Learning</t>
  </si>
  <si>
    <t>https://arxiv.org/abs/2109.13456</t>
  </si>
  <si>
    <t>SiamEvent: Event-based Object Tracking via Edge-aware Similarity Learning with Siamese Networks</t>
  </si>
  <si>
    <t>https://arxiv.org/abs/2109.13751</t>
  </si>
  <si>
    <t>StereoSpike: Depth Learning With a Spiking Neural Network</t>
  </si>
  <si>
    <t>https://arxiv.org/abs/2111.12083</t>
  </si>
  <si>
    <t>VISTA 2.0: An Open, Data-driven Simulator for Multimodal Sensing and Policy Learning for Autonomous Vehicles</t>
  </si>
  <si>
    <t>https://arxiv.org/abs/2112.00427</t>
  </si>
  <si>
    <t>https://arxiv.org/abs/2112.03596</t>
  </si>
  <si>
    <t>E^2(GO)MOTION: Motion Augmented Event Stream for Egocentric Action Recognition</t>
  </si>
  <si>
    <t>https://arxiv.org/abs/2112.06772</t>
  </si>
  <si>
    <t>hARMS: A Hardware Acceleration Architecture for Real-Time Event-Based Optical Flow</t>
  </si>
  <si>
    <t>https://arxiv.org/abs/2112.06988</t>
  </si>
  <si>
    <t>Event-guided Deblurring of Unknown Exposure Time Videos</t>
  </si>
  <si>
    <t>https://arxiv.org/abs/2112.09379</t>
  </si>
  <si>
    <t>Enhanced Frame and Event-Based Simulator and Event-Based Video Interpolation Network</t>
  </si>
  <si>
    <t>https://arxiv.org/abs/2112.13534</t>
  </si>
  <si>
    <t>Adversarial Attack for Asynchronous Event-Based Data</t>
  </si>
  <si>
    <t>AAAI 2022</t>
  </si>
  <si>
    <t>https://arxiv.org/abs/2201.07367</t>
  </si>
  <si>
    <t>Real-Time Gaze Tracking with Event-Driven Eye Segmentation</t>
  </si>
  <si>
    <t>VR 2022</t>
  </si>
  <si>
    <t>https://arxiv.org/abs/2201.10943</t>
  </si>
  <si>
    <t>Event-based Video Reconstruction via Potential-assisted Spiking Neural Network</t>
  </si>
  <si>
    <t>https://arxiv.org/abs/2201.12285</t>
  </si>
  <si>
    <t>Benchmarking Conventional Vision Models on Neuromorphic Fall Detection and Action Recognition Dataset</t>
  </si>
  <si>
    <t>CCWC 2022</t>
  </si>
  <si>
    <t>https://arxiv.org/abs/2202.02556</t>
  </si>
  <si>
    <t>https://arxiv.org/abs/2203.01037</t>
  </si>
  <si>
    <t>Asynchronous Optimisation for Event-based Visual Odometry</t>
  </si>
  <si>
    <t>https://arxiv.org/abs/2203.01935</t>
  </si>
  <si>
    <t>E-CIR: Event-Enhanced Continuous Intensity Recovery</t>
  </si>
  <si>
    <t>https://arxiv.org/abs/2203.03914</t>
  </si>
  <si>
    <t>https://arxiv.org/abs/2203.10016</t>
  </si>
  <si>
    <t>ESS: Learning Event-based Semantic Segmentation from Still Images</t>
  </si>
  <si>
    <t>https://arxiv.org/abs/2203.12321</t>
  </si>
  <si>
    <t>Autofocus for Event Cameras</t>
  </si>
  <si>
    <t>https://arxiv.org/abs/2203.13093</t>
  </si>
  <si>
    <t>A Preliminary Research on Space Situational Awareness Based on Event Cameras</t>
  </si>
  <si>
    <t>ICMAE 2022</t>
  </si>
  <si>
    <t>https://arxiv.org/abs/2203.13674</t>
  </si>
  <si>
    <t>https://arxiv.org/abs/2203.13859</t>
  </si>
  <si>
    <t>TimeReplayer: Unlocking the Potential of Event Cameras for Video Interpolation</t>
  </si>
  <si>
    <t>https://arxiv.org/abs/2203.14672</t>
  </si>
  <si>
    <t>https://arxiv.org/abs/2203.15439</t>
  </si>
  <si>
    <t>Eventor: An Efficient Event-Based Monocular Multi-View Stereo Accelerator on FPGA Platform</t>
  </si>
  <si>
    <t>DAC 2022</t>
  </si>
  <si>
    <t>https://arxiv.org/abs/2203.17149</t>
  </si>
  <si>
    <t>AEGNN: Asynchronous Event-based Graph Neural Networks</t>
  </si>
  <si>
    <t>https://arxiv.org/abs/2204.03355</t>
  </si>
  <si>
    <t>Event Transformer. A sparse-aware solution for efficient event data processing</t>
  </si>
  <si>
    <t>CVPRW 2022</t>
  </si>
  <si>
    <t>https://arxiv.org/abs/2204.05172</t>
  </si>
  <si>
    <t>Event Transformer</t>
  </si>
  <si>
    <t>ICASSP 2024</t>
  </si>
  <si>
    <t>https://arxiv.org/abs/2204.06183</t>
  </si>
  <si>
    <t>ViViD++ : Vision for Visibility Dataset</t>
  </si>
  <si>
    <t>https://arxiv.org/abs/2205.03467</t>
  </si>
  <si>
    <t>EVIMO2: An Event Camera Dataset for Motion Segmentation, Optical Flow, Structure from Motion, and Visual Inertial Odometry in Indoor Scenes with Monocular or Stereo Algorithms</t>
  </si>
  <si>
    <t>https://arxiv.org/abs/2205.04339</t>
  </si>
  <si>
    <t>Object Detection with Spiking Neural Networks on Automotive Event Data</t>
  </si>
  <si>
    <t>IJCNN 2022</t>
  </si>
  <si>
    <t>https://arxiv.org/abs/2205.06836</t>
  </si>
  <si>
    <t>A Framework for Event-based Computer Vision on a Mobile Device</t>
  </si>
  <si>
    <t>https://arxiv.org/abs/2205.07657</t>
  </si>
  <si>
    <t>PUCK: Parallel Surface and Convolution-kernel Tracking for Event-Based Cameras</t>
  </si>
  <si>
    <t>https://arxiv.org/abs/2205.08090</t>
  </si>
  <si>
    <t>A Linear Comb Filter for Event Flicker Removal</t>
  </si>
  <si>
    <t>https://arxiv.org/abs/2205.09845</t>
  </si>
  <si>
    <t>Spikemax: Spike-based Loss Methods for Classification</t>
  </si>
  <si>
    <t>https://arxiv.org/abs/2206.04341</t>
  </si>
  <si>
    <t>How Asynchronous Events Encode Video</t>
  </si>
  <si>
    <t>Asilomar Conf 2021</t>
  </si>
  <si>
    <t>https://arxiv.org/abs/2206.04511</t>
  </si>
  <si>
    <t>Efficient Human Pose Estimation via 3D Event Point Cloud</t>
  </si>
  <si>
    <t>3DV 2022</t>
  </si>
  <si>
    <t>https://arxiv.org/abs/2206.05127</t>
  </si>
  <si>
    <t>https://arxiv.org/abs/2206.06178</t>
  </si>
  <si>
    <t>EGRU: Event-based GRU for activity-sparse inference and learning</t>
  </si>
  <si>
    <t>ICLR 2023</t>
  </si>
  <si>
    <t>https://arxiv.org/abs/2206.06506</t>
  </si>
  <si>
    <t>Spiking Neural Networks for Frame-based and Event-based Single Object Localization</t>
  </si>
  <si>
    <t>Neurocomputing 2023</t>
  </si>
  <si>
    <t>https://arxiv.org/abs/2206.09243</t>
  </si>
  <si>
    <t>Structured Light with Redundancy Codes</t>
  </si>
  <si>
    <t>https://arxiv.org/abs/2206.11220</t>
  </si>
  <si>
    <t>Event-Based Imaging of Levitated Microparticles</t>
  </si>
  <si>
    <t>Applied Physics Letters 2022</t>
  </si>
  <si>
    <t>https://arxiv.org/abs/2206.11541</t>
  </si>
  <si>
    <t>A Neuromorphic Vision-Based Measurement for Robust Relative Localization in Future Space Exploration Missions</t>
  </si>
  <si>
    <t>TIM 2022</t>
  </si>
  <si>
    <t>https://arxiv.org/abs/2206.11896</t>
  </si>
  <si>
    <t>EventNeRF: Neural Radiance Fields from a Single Colour Event Camera</t>
  </si>
  <si>
    <t>CVPR 2023</t>
  </si>
  <si>
    <t>https://arxiv.org/abs/2206.13673</t>
  </si>
  <si>
    <t>How Many Events do You Need? Event-based Visual Place Recognition Using Sparse But Varying Pixels</t>
  </si>
  <si>
    <t>https://arxiv.org/abs/2207.01009</t>
  </si>
  <si>
    <t>L2E: Lasers to Events: Automatic Extrinsic Calibration of Lidars and Event Cameras</t>
  </si>
  <si>
    <t>https://arxiv.org/abs/2207.01404</t>
  </si>
  <si>
    <t>https://arxiv.org/abs/2207.09108</t>
  </si>
  <si>
    <t>eCDT: Event Clustering for Simultaneous Feature Detection and Tracking</t>
  </si>
  <si>
    <t>https://arxiv.org/abs/2207.10720</t>
  </si>
  <si>
    <t>Fusing Frame and Event Vision for High-speed Optical Flow for Edge Application</t>
  </si>
  <si>
    <t>ISCAS 2022</t>
  </si>
  <si>
    <t>https://arxiv.org/abs/2208.01710</t>
  </si>
  <si>
    <t>https://arxiv.org/abs/2208.09127</t>
  </si>
  <si>
    <t>Video Interpolation by Event-driven Anisotropic Adjustment of Optical Flow</t>
  </si>
  <si>
    <t>https://arxiv.org/abs/2208.11300</t>
  </si>
  <si>
    <t>E-NeRF: Neural Radiance Fields from a Moving Event Camera</t>
  </si>
  <si>
    <t>RAL 2023</t>
  </si>
  <si>
    <t>https://arxiv.org/abs/2208.11602</t>
  </si>
  <si>
    <t>Motion Robust High-Speed Light-weighted Object Detection with Event Camera</t>
  </si>
  <si>
    <t>TIM 2023</t>
  </si>
  <si>
    <t>https://arxiv.org/abs/2208.11865</t>
  </si>
  <si>
    <t>FusionPortable: A Multi-Sensor Campus-Scene Dataset for Evaluation of Localization and Mapping Accuracy on Diverse Platforms</t>
  </si>
  <si>
    <t>https://arxiv.org/abs/2209.01080</t>
  </si>
  <si>
    <t>Event-Driven Tactile Learning with Various Location Spiking Neurons</t>
  </si>
  <si>
    <t>https://arxiv.org/abs/2209.02000</t>
  </si>
  <si>
    <t>Neuromorphic Visual Odometry with Resonator Networks</t>
  </si>
  <si>
    <t>https://arxiv.org/abs/2209.02205</t>
  </si>
  <si>
    <t>High Speed Rotation Estimation with Dynamic Vision Sensors</t>
  </si>
  <si>
    <t>https://arxiv.org/abs/2209.04634</t>
  </si>
  <si>
    <t>Real-time event simulation with frame-based cameras</t>
  </si>
  <si>
    <t>https://arxiv.org/abs/2209.07034</t>
  </si>
  <si>
    <t>A Temporal Densely Connected Recurrent Network for Event-based Human Pose Estimation</t>
  </si>
  <si>
    <t>Pattern Recognition 2023</t>
  </si>
  <si>
    <t>https://arxiv.org/abs/2209.09359</t>
  </si>
  <si>
    <t>E-VFIA : Event-Based Video Frame Interpolation with Attention</t>
  </si>
  <si>
    <t>https://arxiv.org/abs/2209.10385</t>
  </si>
  <si>
    <t>Long-Lived Accurate Keypoints in Event Streams</t>
  </si>
  <si>
    <t>https://arxiv.org/abs/2209.11945</t>
  </si>
  <si>
    <t>Towards Bridging the Space Domain Gap for Satellite Pose Estimation using Event Sensing</t>
  </si>
  <si>
    <t>https://arxiv.org/abs/2209.13300</t>
  </si>
  <si>
    <t>Passive Non-line-of-sight Imaging for Moving Targets with an Event Camera</t>
  </si>
  <si>
    <t>Chinese Optics Letters 2023</t>
  </si>
  <si>
    <t>https://arxiv.org/abs/2209.14915</t>
  </si>
  <si>
    <t>Spiking Neural Networks for event-based action recognition: A new task to understand their advantage</t>
  </si>
  <si>
    <t>Neurocomp 2024</t>
  </si>
  <si>
    <t>https://arxiv.org/abs/2210.00975</t>
  </si>
  <si>
    <t>DOTIE -- Detecting Objects through Temporal Isolation of Events using a Spiking Architecture</t>
  </si>
  <si>
    <t>https://arxiv.org/abs/2210.06270</t>
  </si>
  <si>
    <t>Event-based Non-Rigid Reconstruction from Contours</t>
  </si>
  <si>
    <t>BMVC 2022</t>
  </si>
  <si>
    <t>https://arxiv.org/abs/2210.08927</t>
  </si>
  <si>
    <t>Event-based Stereo Depth Estimation from Ego-motion using Ray Density Fusion</t>
  </si>
  <si>
    <t>ECCVW 2022</t>
  </si>
  <si>
    <t>https://arxiv.org/abs/2210.13929</t>
  </si>
  <si>
    <t>Control and Evaluation of Event Cameras Output Sharpness via Bias</t>
  </si>
  <si>
    <t>https://arxiv.org/abs/2210.15362</t>
  </si>
  <si>
    <t>A Novel Approach for Neuromorphic Vision Data Compression based on Deep Belief Network</t>
  </si>
  <si>
    <t>https://arxiv.org/abs/2211.00198</t>
  </si>
  <si>
    <t>Frequency Cam: Imaging Periodic Signals in Real-Time</t>
  </si>
  <si>
    <t>https://arxiv.org/abs/2211.00509</t>
  </si>
  <si>
    <t>https://arxiv.org/abs/2211.04166</t>
  </si>
  <si>
    <t>Spiking sampling network for image sparse representation and dynamic vision sensor data compression</t>
  </si>
  <si>
    <t>https://arxiv.org/abs/2211.07365</t>
  </si>
  <si>
    <t>Detecting Line Segments in Motion-blurred Images with Events</t>
  </si>
  <si>
    <t>https://arxiv.org/abs/2211.07761</t>
  </si>
  <si>
    <t>Impact of spiking neurons leakages and network recurrences on event-based spatio-temporal pattern recognition</t>
  </si>
  <si>
    <t>https://arxiv.org/abs/2211.09078</t>
  </si>
  <si>
    <t>https://arxiv.org/abs/2211.09648</t>
  </si>
  <si>
    <t>HARDVS: Revisiting Human Activity Recognition with Dynamic Vision Sensors</t>
  </si>
  <si>
    <t>https://arxiv.org/abs/2211.09939</t>
  </si>
  <si>
    <t>Astrometric Calibration and Source Characterisation of the Latest Generation Neuromorphic Event-based Cameras for Space Imaging</t>
  </si>
  <si>
    <t>Astrodynamics 2023</t>
  </si>
  <si>
    <t>https://arxiv.org/abs/2211.10754</t>
  </si>
  <si>
    <t>HALSIE: Hybrid Approach to Learning Segmentation by Simultaneously Exploiting Image and Event Modalities</t>
  </si>
  <si>
    <t>WACV 2024</t>
  </si>
  <si>
    <t>https://arxiv.org/abs/2211.12156</t>
  </si>
  <si>
    <t>MSS-DepthNet: Depth Prediction with Multi-Step Spiking Neural Network</t>
  </si>
  <si>
    <t>https://arxiv.org/abs/2211.12222</t>
  </si>
  <si>
    <t>Event Transformer+. A multi-purpose solution for efficient event data processing</t>
  </si>
  <si>
    <t>https://arxiv.org/abs/2211.12244</t>
  </si>
  <si>
    <t>FE-Fusion-VPR: Attention-based Multi-Scale Network Architecture for Visual Place Recognition by Fusing Frames and Events</t>
  </si>
  <si>
    <t>https://arxiv.org/abs/2211.12324</t>
  </si>
  <si>
    <t>Pushing the Limits of Asynchronous Graph-based Object Detection with Event Cameras</t>
  </si>
  <si>
    <t>https://arxiv.org/abs/2211.12826</t>
  </si>
  <si>
    <t>Data-driven Feature Tracking for Event Cameras</t>
  </si>
  <si>
    <t>https://arxiv.org/abs/2211.13726v3</t>
  </si>
  <si>
    <t>Rethinking Event-based Optical Flow: Iterative Deblurring as an Alternative to Correlation Volumes</t>
  </si>
  <si>
    <t>https://arxiv.org/abs/2211.13788</t>
  </si>
  <si>
    <t>Characterisation of a single photon event camera for quantum imaging</t>
  </si>
  <si>
    <t>SciRep 2023</t>
  </si>
  <si>
    <t>https://arxiv.org/abs/2212.02791</t>
  </si>
  <si>
    <t>Event-based Monocular Dense Depth Estimation with Recurrent Transformers</t>
  </si>
  <si>
    <t>https://arxiv.org/abs/2212.03177</t>
  </si>
  <si>
    <t>Privacy-Preserving Visual Localization with Event Cameras</t>
  </si>
  <si>
    <t>https://arxiv.org/abs/2212.05598</t>
  </si>
  <si>
    <t>https://arxiv.org/abs/2212.07181</t>
  </si>
  <si>
    <t>Event-based YOLO Object Detection: Proof of Concept for Forward Perception System</t>
  </si>
  <si>
    <t>ICMV 2022</t>
  </si>
  <si>
    <t>https://arxiv.org/abs/2212.08384</t>
  </si>
  <si>
    <t>Fast-moving object counting with an event camera</t>
  </si>
  <si>
    <t>https://arxiv.org/abs/2212.10368</t>
  </si>
  <si>
    <t>Masked Event Modeling: Self-Supervised Pretraining for Event Cameras</t>
  </si>
  <si>
    <t>https://arxiv.org/abs/2212.12218.pdf</t>
  </si>
  <si>
    <t>Fast Event-based Optical Flow Estimation by Triplet Matching</t>
  </si>
  <si>
    <t>SPL 2022</t>
  </si>
  <si>
    <t>https://arxiv.org/abs/2212.13184</t>
  </si>
  <si>
    <t>https://arxiv.org/abs/2301.00618</t>
  </si>
  <si>
    <t>An Event-based Algorithm for Simultaneous 6-DOF Camera Pose Tracking and Mapping</t>
  </si>
  <si>
    <t>https://arxiv.org/abs/2301.05191</t>
  </si>
  <si>
    <t>Event-Based Frame Interpolation with Ad-hoc Deblurring</t>
  </si>
  <si>
    <t>https://arxiv.org/abs/2301.06648</t>
  </si>
  <si>
    <t>Neuromorphic High-Frequency 3D Dancing Pose Estimation in Dynamic Environment</t>
  </si>
  <si>
    <t>https://arxiv.org/abs/2301.06855</t>
  </si>
  <si>
    <t>Event-based Shape from Polarization</t>
  </si>
  <si>
    <t>https://arxiv.org/abs/2301.08783</t>
  </si>
  <si>
    <t>https://arxiv.org/abs/2302.06279</t>
  </si>
  <si>
    <t>Sneaky Spikes: Uncovering Stealthy Backdoor Attacks in Spiking Neural Networks with Neuromorphic Data</t>
  </si>
  <si>
    <t>https://arxiv.org/abs/2302.07667</t>
  </si>
  <si>
    <t>CERiL: Continuous Event-based Reinforcement Learning</t>
  </si>
  <si>
    <t>https://arxiv.org/abs/2302.07957</t>
  </si>
  <si>
    <t>ColibriES: A Milliwatts RISC-V Based Embedded System Leveraging Neuromorphic and Neural Networks Hardware Accelerators for Low-Latency Closed-loop Control Applications</t>
  </si>
  <si>
    <t>https://arxiv.org/abs/2302.08890</t>
  </si>
  <si>
    <t>Deep Learning for Event-based Vision: A Comprehensive Survey and Benchmarks</t>
  </si>
  <si>
    <t>https://arxiv.org/abs/2302.13796</t>
  </si>
  <si>
    <t>Fast Trajectory End-Point Prediction with Event Cameras for Reactive Robot Control</t>
  </si>
  <si>
    <t>CVPRW 2023</t>
  </si>
  <si>
    <t>https://arxiv.org/abs/2302.14430</t>
  </si>
  <si>
    <t>Tracking Fast by Learning Slow: An Event-based Speed Adaptive Hand Tracker Leveraging Knowledge in RGB Domain</t>
  </si>
  <si>
    <t>https://arxiv.org/abs/2302.14444</t>
  </si>
  <si>
    <t>Learning to Estimate Two Dense Depths from LiDAR and Event Data</t>
  </si>
  <si>
    <t>SCIA 2023</t>
  </si>
  <si>
    <t>https://arxiv.org/abs/2303.00308</t>
  </si>
  <si>
    <t>Event Fusion Photometric Stereo Network</t>
  </si>
  <si>
    <t>https://arxiv.org/abs/2303.02025</t>
  </si>
  <si>
    <t>MAEVI: Motion Aware Event-Based Video Frame Interpolation</t>
  </si>
  <si>
    <t>https://arxiv.org/abs/2303.02672</t>
  </si>
  <si>
    <t>Continuous-Time Gaussian Process Motion-Compensation for Event-vision Pattern Tracking with Distance Fields</t>
  </si>
  <si>
    <t>https://arxiv.org/abs/2303.02862</t>
  </si>
  <si>
    <t>EvHandPose: Event-based 3D Hand Pose Estimation with Sparse Supervision</t>
  </si>
  <si>
    <t>https://arxiv.org/abs/2303.03856</t>
  </si>
  <si>
    <t>Event Voxel Set Transformer for Spatiotemporal Representation Learning on Event Streams</t>
  </si>
  <si>
    <t>https://arxiv.org/abs/2303.04670</t>
  </si>
  <si>
    <t>EvConv: Fast CNN Inference on Event Camera Inputs For High-Speed Robot Perception</t>
  </si>
  <si>
    <t>https://arxiv.org/abs/2303.05214</t>
  </si>
  <si>
    <t>Taming Contrast Maximization for Learning Sequential, Low-latency, Event-based Optical Flow</t>
  </si>
  <si>
    <t>ICCV 2023</t>
  </si>
  <si>
    <t>https://arxiv.org/abs/2303.07169</t>
  </si>
  <si>
    <t>Dynamic Event-based Optical Flow Identification and Communication</t>
  </si>
  <si>
    <t>https://arxiv.org/abs/2303.07609</t>
  </si>
  <si>
    <t>Training Robust Spiking Neural Networks with ViewPoint Transform and SpatioTemporal Stretching</t>
  </si>
  <si>
    <t>ICASSP 2023</t>
  </si>
  <si>
    <t>https://arxiv.org/abs/2303.07716</t>
  </si>
  <si>
    <t>BlinkFlow: A Dataset to Push the Limits of Event-based Optical Flow Estimation</t>
  </si>
  <si>
    <t>IROS 2023</t>
  </si>
  <si>
    <t>https://arxiv.org/abs/2303.08611</t>
  </si>
  <si>
    <t>https://arxiv.org/abs/2303.08977</t>
  </si>
  <si>
    <t>DeblurSR: Event-Based Motion Deblurring Under the Spiking Representation</t>
  </si>
  <si>
    <t>https://arxiv.org/abs/2303.09681</t>
  </si>
  <si>
    <t>Event-based Human Pose Tracking by Spiking Spatiotemporal Transformer</t>
  </si>
  <si>
    <t>https://arxiv.org/abs/2303.09919</t>
  </si>
  <si>
    <t>Dual Memory Aggregation Network for Event-Based Object Detection with Learnable Representation</t>
  </si>
  <si>
    <t>https://arxiv.org/abs/2303.10575</t>
  </si>
  <si>
    <t>ANMS: Asynchronous Non-Maximum Suppression in Event Stream</t>
  </si>
  <si>
    <t>https://arxiv.org/abs/2303.10632</t>
  </si>
  <si>
    <t>Training a spiking neural network on an event-based label-free flow cytometry dataset</t>
  </si>
  <si>
    <t>NICE 2023</t>
  </si>
  <si>
    <t>https://arxiv.org/abs/2303.10770</t>
  </si>
  <si>
    <t>RN-Net: Reservoir Nodes-Enabled Neuromorphic Vision Sensing Network</t>
  </si>
  <si>
    <t>https://arxiv.org/abs/2303.12424</t>
  </si>
  <si>
    <t>Unsupervised Domain Adaptation for Training Event-Based Networks Using Contrastive Learning and Uncorrelated Conditioning</t>
  </si>
  <si>
    <t>https://arxiv.org/abs/2303.13077</t>
  </si>
  <si>
    <t>An Efficient Knowledge Transfer Strategy for Spiking Neural Networks from Static to Event Domain</t>
  </si>
  <si>
    <t>AAAI 2024</t>
  </si>
  <si>
    <t>https://arxiv.org/abs/2303.13767</t>
  </si>
  <si>
    <t>Learning Spatial-Temporal Implicit Neural Representations for Event-Guided Video Super-Resolution</t>
  </si>
  <si>
    <t>https://arxiv.org/abs/2303.14114</t>
  </si>
  <si>
    <t>Object Motion Sensitivity: A Bio-inspired Solution to the Ego-motion Problem for Event-based Cameras</t>
  </si>
  <si>
    <t>https://arxiv.org/abs/2303.14176</t>
  </si>
  <si>
    <t>https://arxiv.org/abs/2303.17479</t>
  </si>
  <si>
    <t>Event-based Agile Object Catching with a Quadrupedal Robot</t>
  </si>
  <si>
    <t>https://arxiv.org/abs/2304.02695</t>
  </si>
  <si>
    <t>Recovering Continuous Scene Dynamics from A Single Blurry Image with Events</t>
  </si>
  <si>
    <t>https://arxiv.org/abs/2304.03494</t>
  </si>
  <si>
    <t>Exploiting Alternating DVS Shot Noise Event Pair Statistics to Reduce Background Activity</t>
  </si>
  <si>
    <t>IISW 2023</t>
  </si>
  <si>
    <t>https://arxiv.org/abs/2304.04019</t>
  </si>
  <si>
    <t>Optimal biasing and physical limits of DVS event noise</t>
  </si>
  <si>
    <t>https://arxiv.org/abs/2304.04108</t>
  </si>
  <si>
    <t>High Speed Neuromorphic Vision-Based Inspection of Countersinks in Automated Manufacturing Processes</t>
  </si>
  <si>
    <t>J Intell Manuf 2023</t>
  </si>
  <si>
    <t>https://arxiv.org/abs/2304.04559</t>
  </si>
  <si>
    <r>
      <rPr>
        <rFont val="Arial"/>
        <color theme="1"/>
        <sz val="10.0"/>
      </rPr>
      <t>Event-based Camera Tracker by TeGRA</t>
    </r>
    <r>
      <rPr>
        <rFont val="Arial"/>
        <color theme="1"/>
        <sz val="10.0"/>
      </rPr>
      <t xml:space="preserve"> NeRF</t>
    </r>
  </si>
  <si>
    <t>IEEE Access 2023</t>
  </si>
  <si>
    <t>https://arxiv.org/abs/2304.04706</t>
  </si>
  <si>
    <t>Shining light on the DVS pixel: A tutorial and discussion about biasing and optimization</t>
  </si>
  <si>
    <t>https://arxiv.org/abs/2304.06351</t>
  </si>
  <si>
    <t>Neuromorphic Event-based Facial Expression Recognition</t>
  </si>
  <si>
    <t>https://arxiv.org/abs/2304.06534</t>
  </si>
  <si>
    <t>Event-based tracking of human hands</t>
  </si>
  <si>
    <t>https://arxiv.org/abs/2304.06793</t>
  </si>
  <si>
    <t>Speck: A Smart event-based Vision Sensor with a low latency 327K Neuron Convolutional Neuronal Network Processing Pipeline</t>
  </si>
  <si>
    <t>https://arxiv.org/abs/2304.06930</t>
  </si>
  <si>
    <t>Self-Supervised Scene Dynamic Recovery from Rolling Shutter Images and Events</t>
  </si>
  <si>
    <t>https://arxiv.org/abs/2304.07139</t>
  </si>
  <si>
    <t>Neuromorphic Optical Flow and Real-time Implementation with Event Cameras</t>
  </si>
  <si>
    <t>https://arxiv.org/abs/2304.07543</t>
  </si>
  <si>
    <t>Within-Camera Multilayer Perceptron DVS Denoising</t>
  </si>
  <si>
    <t>https://arxiv.org/abs/2304.08908</t>
  </si>
  <si>
    <t>Event Camera and LiDAR based Human Tracking for Adverse Lighting Conditions in Subterranean Environments</t>
  </si>
  <si>
    <t>IFACWC 2023</t>
  </si>
  <si>
    <t>https://arxiv.org/abs/2304.09793</t>
  </si>
  <si>
    <t>https://arxiv.org/abs/2304.10211</t>
  </si>
  <si>
    <t>Spiking-Fer: Spiking Neural Network for Facial Expression Recognition With Event Cameras</t>
  </si>
  <si>
    <t>https://arxiv.org/abs/2304.11857</t>
  </si>
  <si>
    <t>Accurate and Efficient Event-based Semantic Segmentation Using Adaptive Spiking Encoder Decoder Network</t>
  </si>
  <si>
    <t>https://arxiv.org/abs/2304.13455</t>
  </si>
  <si>
    <t>From Chaos Comes Order: Ordering Event Representations for Object Recognition and Detection</t>
  </si>
  <si>
    <t>https://arxiv.org/abs/2304.14688</t>
  </si>
  <si>
    <t>An Efficient Hash-based Data Structure for Dynamic Vision Sensors and its Application to Low-energy Low-memory Noise Filtering</t>
  </si>
  <si>
    <t>https://arxiv.org/abs/2304.14714</t>
  </si>
  <si>
    <t>SGED: A Benchmark dataset for Performance Evaluation of Spiking Gesture Emotion Recognition</t>
  </si>
  <si>
    <t>https://arxiv.org/abs/2305.00126</t>
  </si>
  <si>
    <t>Event-Free Moving Object Segmentation from Moving Ego Vehicle</t>
  </si>
  <si>
    <t>IROS 2024</t>
  </si>
  <si>
    <t>https://arxiv.org/abs/2305.00718</t>
  </si>
  <si>
    <t>Event Camera as Region Proposal Network</t>
  </si>
  <si>
    <t>https://arxiv.org/abs/2305.04017</t>
  </si>
  <si>
    <t>Target-free Extrinsic Calibration of Event-LiDAR Dyad using Edge Correspondences</t>
  </si>
  <si>
    <t>https://arxiv.org/abs/2305.05925</t>
  </si>
  <si>
    <t>Fast Event-Based Double Integral for Real-Time Robotics</t>
  </si>
  <si>
    <t>https://arxiv.org/abs/2305.06382</t>
  </si>
  <si>
    <t>HyperE2VID: Improving Event-Based Video Reconstruction via Hypernetworks</t>
  </si>
  <si>
    <t>https://arxiv.org/abs/2305.07853</t>
  </si>
  <si>
    <t>EV-MGRFlowNet: Motion-Guided Recurrent Network for Unsupervised Event-based Optical Flow with Hybrid Motion-Compensation Loss</t>
  </si>
  <si>
    <t>https://arxiv.org/abs/2305.08962</t>
  </si>
  <si>
    <t>Event Camera-based Visual Odometry for Dynamic Motion Tracking of a Legged Robot Using Adaptive Time Surface</t>
  </si>
  <si>
    <t>https://arxiv.org/abs/2305.10198</t>
  </si>
  <si>
    <t>IDO-VFI: Identifying Dynamics via Optical Flow Guidance for Video Frame Interpolation with Events</t>
  </si>
  <si>
    <t>https://arxiv.org/abs/2305.14392</t>
  </si>
  <si>
    <t>FEDORA: A Flying Event Dataset fOr Reactive behAvior</t>
  </si>
  <si>
    <t>https://arxiv.org/abs/2305.15078</t>
  </si>
  <si>
    <t>UniINR: Event-guided Unified Rolling Shutter Correction, Deblurring, and Interpolation</t>
  </si>
  <si>
    <t>https://arxiv.org/abs/2305.18008</t>
  </si>
  <si>
    <t xml:space="preserve">Pedestrian detection with high-resolution event camera </t>
  </si>
  <si>
    <t>PP-RAI 2023</t>
  </si>
  <si>
    <t>https://arxiv.org/abs/2305.18371</t>
  </si>
  <si>
    <t>ColibriUAV: An Ultra-Fast, Energy-Efficient Neuromorphic Edge Processing UAV-Platform with Event-Based and Frame-Based Cameras</t>
  </si>
  <si>
    <t>IWASI 2023</t>
  </si>
  <si>
    <t>https://arxiv.org/abs/2306.01188</t>
  </si>
  <si>
    <t>Event-based Stereo Visual Odometry with Native Temporal Resolution via Continuous-time Gaussian Process Regression</t>
  </si>
  <si>
    <t>https://arxiv.org/abs/2306.01891</t>
  </si>
  <si>
    <t xml:space="preserve">DH-PTAM: A Deep Hybrid Stereo Events-Frames Parallel Tracking And Mapping System </t>
  </si>
  <si>
    <t>https://arxiv.org/abs/2306.03369</t>
  </si>
  <si>
    <t>Event Encryption: Rethinking Privacy Exposure for Neuromorphic Imaging</t>
  </si>
  <si>
    <t>Neuromorph. Comput. Eng. 2024</t>
  </si>
  <si>
    <t>https://arxiv.org/abs/2306.05103</t>
  </si>
  <si>
    <t>Neuromorphic Sampling of Signals in Shift-Invariant Spaces</t>
  </si>
  <si>
    <t>https://arxiv.org/abs/2306.06354</t>
  </si>
  <si>
    <t>EventCLIP: Adapting CLIP for Event-based Object Recognition</t>
  </si>
  <si>
    <t>https://arxiv.org/abs/2306.11546</t>
  </si>
  <si>
    <t>Bullying10K: A Large-Scale Neuromorphic Dataset towards Privacy-Preserving Bullying Recognition</t>
  </si>
  <si>
    <t>NeurIPS 2023</t>
  </si>
  <si>
    <t>https://arxiv.org/abs/2306.12073</t>
  </si>
  <si>
    <t>NeuroCLIP: Neuromorphic Data Understanding by CLIP and SNN</t>
  </si>
  <si>
    <t>https://arxiv.org/abs/2306.15507</t>
  </si>
  <si>
    <t>Self-supervised Learning of Event-guided Video Frame Interpolation for Rolling Shutter Frames</t>
  </si>
  <si>
    <t>https://arxiv.org/abs/2307.01047</t>
  </si>
  <si>
    <t>Cross-modal Place Recognition in Image Databases using Event-based Sensors</t>
  </si>
  <si>
    <t>https://arxiv.org/abs/2307.04129</t>
  </si>
  <si>
    <t>Cross-modal Orthogonal High-rank Augmentation for RGB-Event Transformer-trackers</t>
  </si>
  <si>
    <t>https://arxiv.org/abs/2307.04129).*,&lt;br</t>
  </si>
  <si>
    <t>https://arxiv.org/abs/2307.08228</t>
  </si>
  <si>
    <t>Video Frame Interpolation with Stereo Event and Intensity Camera</t>
  </si>
  <si>
    <t>https://arxiv.org/abs/2307.12900</t>
  </si>
  <si>
    <t>Automotive Object Detection via Learning Sparse Events by Spiking Neurons</t>
  </si>
  <si>
    <t>https://arxiv.org/abs/2307.14124</t>
  </si>
  <si>
    <t>Memory-Efficient Graph Convolutional Networks for Object Classification and Detection with Event Cameras</t>
  </si>
  <si>
    <t>SPA 2023</t>
  </si>
  <si>
    <t>https://arxiv.org/abs/2307.15829</t>
  </si>
  <si>
    <t>Seeing Behind Dynamic Occlusions with Event Cameras</t>
  </si>
  <si>
    <t>https://arxiv.org/abs/2307.15942</t>
  </si>
  <si>
    <t>CMDA: Cross-Modality Domain Adaptation for Nighttime Semantic Segmentation</t>
  </si>
  <si>
    <t>https://arxiv.org/abs/2308.03135</t>
  </si>
  <si>
    <t>EventBind: Learning a Unified Representation to Bind Them All for Event-based Open-world Understanding</t>
  </si>
  <si>
    <t>https://arxiv.org/abs/2308.04369</t>
  </si>
  <si>
    <t>SSTFormer: Bridging Spiking Neural Network and Memory Support Transformer for Frame-Event Based-Recognition</t>
  </si>
  <si>
    <t>TCDS 2025</t>
  </si>
  <si>
    <t>https://arxiv.org/abs/2308.04402</t>
  </si>
  <si>
    <t>Person Re-Identification without Identification via Event Anonymization</t>
  </si>
  <si>
    <t>https://arxiv.org/abs/2308.07802</t>
  </si>
  <si>
    <t>Neuromorphic Seatbelt State Detection for In-Cabin Monitoring with Event Cameras</t>
  </si>
  <si>
    <t>https://arxiv.org/abs/2308.09383</t>
  </si>
  <si>
    <t>Label-Free Event-based Object Recognition via Joint Learning with Image Reconstruction from Events</t>
  </si>
  <si>
    <t>https://arxiv.org/abs/2308.09993</t>
  </si>
  <si>
    <t>TTPOINT: A Tensorized Point Cloud Network for Lightweight Action Recognition with Event Cameras</t>
  </si>
  <si>
    <t>MM 2023</t>
  </si>
  <si>
    <t>https://arxiv.org/abs/2308.11771</t>
  </si>
  <si>
    <t>https://arxiv.org/abs/2308.11937</t>
  </si>
  <si>
    <t xml:space="preserve">Learning Bottleneck Transformer for Event Image-Voxel Feature Fusion based Classification </t>
  </si>
  <si>
    <t>PRCV 2023</t>
  </si>
  <si>
    <t>https://arxiv.org/abs/2308.13711</t>
  </si>
  <si>
    <t>EventTransAct: A video transformer-based framework for Event-camera based action recognition</t>
  </si>
  <si>
    <t>https://arxiv.org/abs/2309.01159</t>
  </si>
  <si>
    <t>An Asynchronous Linear Filter Architecture for Hybrid Event-Frame Cameras</t>
  </si>
  <si>
    <t>TPAMI 2023</t>
  </si>
  <si>
    <t>https://arxiv.org/abs/2309.05450</t>
  </si>
  <si>
    <t>A Comparison between Framed-Based and Event-Based Cameras for Flapping-Wing Robot Perception</t>
  </si>
  <si>
    <t>https://arxiv.org/abs/2309.06652</t>
  </si>
  <si>
    <t>Event-Driven Imaging in Turbid Media: A Confluence of Optoelectronics and Neuromorphic Computation</t>
  </si>
  <si>
    <t>https://arxiv.org/abs/2309.07054</t>
  </si>
  <si>
    <t>Aggregating Long-term Sharp Features via Hybrid Transformers for Video Deblurring</t>
  </si>
  <si>
    <t>https://arxiv.org/abs/2309.08596</t>
  </si>
  <si>
    <t>Robust e-NeRF: NeRF from Sparse &amp; Noisy Events under Non-Uniform Motion</t>
  </si>
  <si>
    <t>https://arxiv.org/abs/2309.08891</t>
  </si>
  <si>
    <t>https://arxiv.org/abs/2309.09947</t>
  </si>
  <si>
    <t>End-to-end Learned Visual Odometry with Events and Frames</t>
  </si>
  <si>
    <t>https://arxiv.org/abs/2309.11891</t>
  </si>
  <si>
    <t>Heart Rate Detection Using an Event Camera</t>
  </si>
  <si>
    <t>https://arxiv.org/abs/2309.15627</t>
  </si>
  <si>
    <t>Neuromorphic Imaging and Classification with Graph Learning</t>
  </si>
  <si>
    <t>https://arxiv.org/abs/2309.16949</t>
  </si>
  <si>
    <t>CrossZoom: Simultaneously Motion Deblurring and Event Super-Resolving</t>
  </si>
  <si>
    <t>https://arxiv.org/abs/2309.16987</t>
  </si>
  <si>
    <t>SpikeMOT: Event-based Multi-Object Tracking with Sparse Motion Features</t>
  </si>
  <si>
    <t>https://arxiv.org/abs/2309.16990</t>
  </si>
  <si>
    <t>Simultaneous Synchronization and Calibration for Wide-baseline Stereo Event Cameras</t>
  </si>
  <si>
    <t>https://arxiv.org/abs/2309.17054</t>
  </si>
  <si>
    <t>A 5-Point Minimal Solver for Event Camera Relative Motion Estimation</t>
  </si>
  <si>
    <t>https://arxiv.org/abs/2310.00730</t>
  </si>
  <si>
    <t>EventLFM: Event Camera integrated Fourier Light Field Microscopy for Ultrafast 3D imaging</t>
  </si>
  <si>
    <t>https://arxiv.org/abs/2310.02361</t>
  </si>
  <si>
    <t>Event-Enhanced Multi-Modal Spiking Neural Network for Dynamic Obstacle Avoidance</t>
  </si>
  <si>
    <t>https://arxiv.org/abs/2310.07189</t>
  </si>
  <si>
    <t>SpikePoint: An Efficient Point-based Spiking Neural Network for Event Cameras Action Recognition</t>
  </si>
  <si>
    <t>https://arxiv.org/abs/2310.09692</t>
  </si>
  <si>
    <t>Spike-based Neuromorphic Computing for Next-Generation Computer Vision</t>
  </si>
  <si>
    <t>https://arxiv.org/abs/2310.14194</t>
  </si>
  <si>
    <t>Distractor-aware Event-based Tracking</t>
  </si>
  <si>
    <t>TIP 2023</t>
  </si>
  <si>
    <t>https://arxiv.org/abs/2310.14944</t>
  </si>
  <si>
    <t>An Event based Prediction Suffix Tree</t>
  </si>
  <si>
    <t>https://arxiv.org/abs/2310.15750</t>
  </si>
  <si>
    <t>Neuromorphic Sampling of Sparse Signals</t>
  </si>
  <si>
    <t>https://arxiv.org/abs/2310.16321</t>
  </si>
  <si>
    <t>Neuromorphic cameras for Atmospheric Cherenkov Telescopes and fast optical astronomy: new paradigm, challenges and opportunities</t>
  </si>
  <si>
    <t>https://arxiv.org/abs/2310.16618</t>
  </si>
  <si>
    <t>Real-time 6-DoF Pose Estimation by an Event-based Camera using Active LED Markers</t>
  </si>
  <si>
    <t>https://arxiv.org/abs/2310.16844</t>
  </si>
  <si>
    <t>Hardware-Algorithm Co-design Enabling Processing-in-Pixel-in-Memory (P2M) for Neuromorphic Vision Sensors</t>
  </si>
  <si>
    <t>https://arxiv.org/abs/2310.19062</t>
  </si>
  <si>
    <t>A multi-modal table tennis robot system</t>
  </si>
  <si>
    <t>CoRLW 2023</t>
  </si>
  <si>
    <t>https://arxiv.org/abs/2311.00436</t>
  </si>
  <si>
    <t>Enhancing Traffic Object Detection in Variable Illumination with RGB-Event Fusion</t>
  </si>
  <si>
    <t>T-ITS 2024</t>
  </si>
  <si>
    <t>https://arxiv.org/abs/2311.01881</t>
  </si>
  <si>
    <t>Quantitative Evaluation of a Multi-Modal Camera Setup for Fusing Event Data with RGB Images</t>
  </si>
  <si>
    <t>https://arxiv.org/abs/2311.02327</t>
  </si>
  <si>
    <t>ECMD: An Event-Centric Multisensory Driving Dataset for SLAM</t>
  </si>
  <si>
    <t>https://arxiv.org/abs/2311.04591</t>
  </si>
  <si>
    <t>Rethinking Event-based Human Pose Estimation with 3D Event Representations</t>
  </si>
  <si>
    <t>https://arxiv.org/abs/2311.09652</t>
  </si>
  <si>
    <t>Event-based Motion-Robust Accurate Shape Estimation for Mixed Reflectance Scenes</t>
  </si>
  <si>
    <t>https://arxiv.org/abs/2311.11013</t>
  </si>
  <si>
    <t>Implicit Event-RGBD Neural SLAM</t>
  </si>
  <si>
    <t>https://arxiv.org/abs/2311.11533</t>
  </si>
  <si>
    <t>Event Camera Data Dense Pre-training</t>
  </si>
  <si>
    <t>https://arxiv.org/abs/2311.11853</t>
  </si>
  <si>
    <t>Asynchronous Bioplausible Neuron for Spiking Neural Networks for Event-Based Vision</t>
  </si>
  <si>
    <t>https://arxiv.org/abs/2311.17119</t>
  </si>
  <si>
    <t>Continuous Pose for Monocular Cameras in Neural Implicit Representation</t>
  </si>
  <si>
    <t>https://arxiv.org/abs/2311.17286</t>
  </si>
  <si>
    <t>LEOD: Label-Efficient Object Detection for Event Cameras</t>
  </si>
  <si>
    <t>https://arxiv.org/abs/2311.18592</t>
  </si>
  <si>
    <t>Semantic-Aware Frame-Event Fusion based Pattern Recognition via Large Vision-Language Models</t>
  </si>
  <si>
    <t>https://arxiv.org/abs/2312.00113</t>
  </si>
  <si>
    <t>Event-based Continuous Color Video Decompression from Single Frames</t>
  </si>
  <si>
    <t>https://arxiv.org/abs/2312.00425</t>
  </si>
  <si>
    <t>A Low-Power Neuromorphic Approach for Efficient Eye-Tracking</t>
  </si>
  <si>
    <t>https://arxiv.org/abs/2312.01236</t>
  </si>
  <si>
    <t>Evetac: An Event-based Optical Tactile Sensor for Robotic Manipulation</t>
  </si>
  <si>
    <t>TRO 2024</t>
  </si>
  <si>
    <t>https://arxiv.org/abs/2312.09800</t>
  </si>
  <si>
    <t>Deep Event Visual Odometry</t>
  </si>
  <si>
    <t>3DV 2024</t>
  </si>
  <si>
    <t>https://arxiv.org/abs/2312.16222</t>
  </si>
  <si>
    <t>https://arxiv.org/abs/2312.16933</t>
  </si>
  <si>
    <t>EvPlug: Learn a Plug-and-Play Module for Event and Image Fusion</t>
  </si>
  <si>
    <t>https://arxiv.org/abs/2401.01042</t>
  </si>
  <si>
    <t>Relating Events and Frames Based on Self-Supervised Learning and Uncorrelated Conditioning for Unsupervised Domain Adaptation</t>
  </si>
  <si>
    <t>https://arxiv.org/abs/2401.02274</t>
  </si>
  <si>
    <t>ShapeAug: Occlusion Augmentation for Event Camera Data</t>
  </si>
  <si>
    <t>ICPRAM 2024</t>
  </si>
  <si>
    <t>https://arxiv.org/abs/2401.02826</t>
  </si>
  <si>
    <t>CRSOT: Cross-Resolution Object Tracking using Unaligned Frame and Event Cameras</t>
  </si>
  <si>
    <t>https://arxiv.org/abs/2401.04988</t>
  </si>
  <si>
    <t>Optimising Graph Representation for Hardware Implementation of Graph Convolutional Networks for Event-based Vision</t>
  </si>
  <si>
    <t>DASIP 2024</t>
  </si>
  <si>
    <t>https://arxiv.org/abs/2401.05030</t>
  </si>
  <si>
    <t>An event-based implementation of saliency-based visual attention for rapid scene analysis</t>
  </si>
  <si>
    <t>https://arxiv.org/abs/2401.05626</t>
  </si>
  <si>
    <t>A Composable Dynamic Sparse Dataflow Architecture for Efficient Event-based Vision Processing on FPGA</t>
  </si>
  <si>
    <t>FPGA 2024</t>
  </si>
  <si>
    <t>https://arxiv.org/abs/2401.08068</t>
  </si>
  <si>
    <t>Representation Learning on Event Stream via an Elastic Net-incorporated Tensor Network</t>
  </si>
  <si>
    <t>https://arxiv.org/abs/2401.08117</t>
  </si>
  <si>
    <t>https://arxiv.org/abs/2401.09331</t>
  </si>
  <si>
    <t>Event-Based Visual Odometry on Non-Holonomic Ground Vehicles</t>
  </si>
  <si>
    <t>https://arxiv.org/abs/2401.09797</t>
  </si>
  <si>
    <t>Memory Efficient Corner Detection for Event-driven Dynamic Vision Sensors</t>
  </si>
  <si>
    <t>https://arxiv.org/abs/2401.11687</t>
  </si>
  <si>
    <t>TIM: An Efficient Temporal Interaction Module for Spiking Transformer</t>
  </si>
  <si>
    <t>https://arxiv.org/abs/2401.12761</t>
  </si>
  <si>
    <t>MUSES: The Multi-Sensor Semantic Perception Dataset for Driving under Uncertainty</t>
  </si>
  <si>
    <t>https://arxiv.org/abs/2401.15212</t>
  </si>
  <si>
    <t>Speed-based Filtration and DBSCAN of Event-based Camera Data with Neuromorphic Computing</t>
  </si>
  <si>
    <t>https://arxiv.org/abs/2401.17064</t>
  </si>
  <si>
    <t>Efficient Gesture Recognition on Spiking Convolutional Networks Through Sensor Fusion of Event-Based and Depth Data</t>
  </si>
  <si>
    <t>ICRA 2024</t>
  </si>
  <si>
    <t>https://arxiv.org/abs/2401.17121</t>
  </si>
  <si>
    <t>Physical Priors Augmented Event-Based 3D Reconstruction</t>
  </si>
  <si>
    <t>https://arxiv.org/abs/2401.17151</t>
  </si>
  <si>
    <t>An Open Software Suite for Event-Based Video</t>
  </si>
  <si>
    <t>SIGMM 2024</t>
  </si>
  <si>
    <t>https://arxiv.org/abs/2401.17642</t>
  </si>
  <si>
    <t>Exploring the Common Appearance-Boundary Adaptation for Nighttime Optical Flow</t>
  </si>
  <si>
    <t>https://arxiv.org/abs/2402.01269</t>
  </si>
  <si>
    <t>Spectrum-guided Feature Enhancement Network for Event Person Re-Identification</t>
  </si>
  <si>
    <t>https://arxiv.org/abs/2402.01287</t>
  </si>
  <si>
    <t>Spiking CenterNet: A Distillation-boosted Spiking Neural Network for Object Detection</t>
  </si>
  <si>
    <t>https://arxiv.org/abs/2402.05619</t>
  </si>
  <si>
    <t>Linking Vision and Multi-Agent Communication through Visible Light Communication using Event Cameras</t>
  </si>
  <si>
    <t>https://arxiv.org/abs/2402.06805</t>
  </si>
  <si>
    <t>Event-to-Video Conversion for Overhead Object Detection</t>
  </si>
  <si>
    <t>SSIAI 2024</t>
  </si>
  <si>
    <t>https://arxiv.org/abs/2402.08936</t>
  </si>
  <si>
    <t>Predictive Temporal Attention on Event-based Video Stream for Energy-efficient Situation Awareness</t>
  </si>
  <si>
    <t>https://arxiv.org/abs/2402.09270</t>
  </si>
  <si>
    <t>Fast Window-Based Event Denoising with Spatiotemporal Correlation Enhancement</t>
  </si>
  <si>
    <t>https://arxiv.org/abs/2402.10078</t>
  </si>
  <si>
    <t>EventF2S: Asynchronous and Sparse Spiking AER Framework using Neuromorphic-Friendly Algorithm</t>
  </si>
  <si>
    <t>https://arxiv.org/abs/2402.10476</t>
  </si>
  <si>
    <t>Spike-EVPR: Deep Spiking Residual Network with Cross-Representation Aggregation for Event-Based Visual Place Recognition</t>
  </si>
  <si>
    <t>https://arxiv.org/abs/2402.11631</t>
  </si>
  <si>
    <t>Neuromorphic Face Analysis: a Survey</t>
  </si>
  <si>
    <t>https://arxiv.org/abs/2402.11957</t>
  </si>
  <si>
    <t>Event-Based Motion Magnification</t>
  </si>
  <si>
    <t>https://arxiv.org/abs/2402.15121</t>
  </si>
  <si>
    <t>Toward High Performance, Programmable Extreme-Edge Intelligence for Neuromorphic Vision Sensors utilizing Magnetic Domain Wall Motion-based MTJ</t>
  </si>
  <si>
    <t>https://arxiv.org/abs/2402.15584</t>
  </si>
  <si>
    <t>State Space Models for Event Cameras</t>
  </si>
  <si>
    <t>https://arxiv.org/abs/2402.16398</t>
  </si>
  <si>
    <t>Efficient Continuous-Time Ego-Motion Estimation for Asynchronous Event-based Data Associations</t>
  </si>
  <si>
    <t>https://arxiv.org/abs/2403.00416</t>
  </si>
  <si>
    <t>Data-efficient Event Camera Pre-training via Disentangled Masked Modeling</t>
  </si>
  <si>
    <t>https://arxiv.org/abs/2403.04562</t>
  </si>
  <si>
    <t xml:space="preserve">Out of the Room: Generalizing Event-Based Dynamic Motion Segmentation for Complex Scenes </t>
  </si>
  <si>
    <t>https://arxiv.org/abs/2403.05839</t>
  </si>
  <si>
    <t>Long-term Frame-Event Visual Tracking: Benchmark Dataset and Baseline</t>
  </si>
  <si>
    <t>https://arxiv.org/abs/2403.06443</t>
  </si>
  <si>
    <t>Temporal-Mapping Photography for Event Cameras</t>
  </si>
  <si>
    <t>https://arxiv.org/abs/2403.07346</t>
  </si>
  <si>
    <t>Complementing Event Streams and RGB Frames for Hand Mesh Reconstruction</t>
  </si>
  <si>
    <t>https://arxiv.org/abs/2403.07436</t>
  </si>
  <si>
    <t>JSTR: Joint Spatio-Temporal Reasoning for Event-based Moving Object Detection</t>
  </si>
  <si>
    <t>https://arxiv.org/abs/2403.08086</t>
  </si>
  <si>
    <t>Flow-Based Visual Stream Compression for Event Cameras</t>
  </si>
  <si>
    <t>https://arxiv.org/abs/2403.09274</t>
  </si>
  <si>
    <t>EventRPG: Event Data Augmentation with Relevance Propagation Guidance</t>
  </si>
  <si>
    <t>ICLR 2024</t>
  </si>
  <si>
    <t>https://arxiv.org/abs/2403.09392</t>
  </si>
  <si>
    <t>Event-based Asynchronous HDR Imaging by Temporal Incident Light Modulation</t>
  </si>
  <si>
    <t>Optics Express 2024</t>
  </si>
  <si>
    <t>https://arxiv.org/abs/2403.10120</t>
  </si>
  <si>
    <t>A Novel Bioinspired Neuromorphic Vision-based Tactile Sensor for Fast Tactile Perception</t>
  </si>
  <si>
    <t>https://arxiv.org/abs/2403.10677</t>
  </si>
  <si>
    <t>Detection of Fast-Moving Objects with Neuromorphic Hardware</t>
  </si>
  <si>
    <t>ICRA 2025</t>
  </si>
  <si>
    <t>https://arxiv.org/abs/2403.11138</t>
  </si>
  <si>
    <t>Spiking Wavelet Transformer</t>
  </si>
  <si>
    <t>https://arxiv.org/abs/2403.11662</t>
  </si>
  <si>
    <t>FE-DeTr: Keypoint Detection and Tracking in Low-quality Image Frames with Events</t>
  </si>
  <si>
    <t>https://arxiv.org/abs/2403.11875</t>
  </si>
  <si>
    <t>Towards Real-Time Fast Unmanned Aerial Vehicle Detection Using Dynamic Vision Sensors</t>
  </si>
  <si>
    <t>I2MTC 2024</t>
  </si>
  <si>
    <t>https://arxiv.org/abs/2403.11961</t>
  </si>
  <si>
    <t>Enhanced Event-Based Video Reconstruction with Motion Compensation</t>
  </si>
  <si>
    <t>https://arxiv.org/abs/2403.12534</t>
  </si>
  <si>
    <t>ExACT: Language-guided Conceptual Reasoning and Uncertainty Estimation for Event-based Action Recognition and More</t>
  </si>
  <si>
    <t>https://arxiv.org/abs/2403.12574</t>
  </si>
  <si>
    <t>EAS-SNN: End-to-End Adaptive Sampling and Representation for Event-based Detection with Recurrent Spiking Neural Networks</t>
  </si>
  <si>
    <t>https://arxiv.org/abs/2403.13800</t>
  </si>
  <si>
    <t>TimeRewind: Rewinding Time with Image-and-Events Video Diffusion</t>
  </si>
  <si>
    <t>https://arxiv.org/abs/2403.15717</t>
  </si>
  <si>
    <t>Ev-Edge: Efficient Execution of Event-based Vision Algorithms on Commodity Edge Platforms</t>
  </si>
  <si>
    <t>https://arxiv.org/abs/2403.16425</t>
  </si>
  <si>
    <t>Enhancing Visual Place Recognition via Fast and Slow Adaptive Biasing in Event Cameras</t>
  </si>
  <si>
    <t>https://arxiv.org/abs/2403.16788</t>
  </si>
  <si>
    <t>HPL-ESS: Hybrid Pseudo-Labeling for Unsupervised Event-based Semantic Segmentation</t>
  </si>
  <si>
    <t>https://arxiv.org/abs/2403.17013</t>
  </si>
  <si>
    <t>Temporal-Spatial Processing of Event Camera Data via Delay-Loop Reservoir Neural Network</t>
  </si>
  <si>
    <t>https://arxiv.org/abs/2403.18330</t>
  </si>
  <si>
    <t>Tracking-Assisted Object Detection with Event Cameras</t>
  </si>
  <si>
    <t>https://arxiv.org/abs/2403.19316</t>
  </si>
  <si>
    <t>Hypergraph-Based Multi-View Action Recognition Using Event Cameras</t>
  </si>
  <si>
    <t>TPAMI 2024</t>
  </si>
  <si>
    <t>https://arxiv.org/abs/2403.19412</t>
  </si>
  <si>
    <t>A Simple and Effective Point-based Network for Event Camera 6-DOFs Pose Relocalization</t>
  </si>
  <si>
    <t>https://arxiv.org/abs/2403.19976</t>
  </si>
  <si>
    <t>eTraM: Event-based Traffic Monitoring Dataset</t>
  </si>
  <si>
    <t>https://arxiv.org/abs/2404.00834</t>
  </si>
  <si>
    <t>Towards Robust Event-guided Low-Light Image Enhancement: A Large-Scale Real-World Event-Image Dataset and Novel Approach</t>
  </si>
  <si>
    <t>https://arxiv.org/abs/2404.00842</t>
  </si>
  <si>
    <t>An N-Point Linear Solver for Line and Motion Estimation with Event Cameras</t>
  </si>
  <si>
    <t>https://arxiv.org/abs/2404.01170</t>
  </si>
  <si>
    <t>Force-EvT: A Closer Look at Robotic Gripper Force Measurement with Event-based Vision Transformer</t>
  </si>
  <si>
    <t>https://arxiv.org/abs/2404.01801</t>
  </si>
  <si>
    <t>EventSleep: Sleep Activity Recognition with Event Cameras</t>
  </si>
  <si>
    <t>ECCVW 2024</t>
  </si>
  <si>
    <t>https://arxiv.org/abs/2404.01882</t>
  </si>
  <si>
    <t>Scene Adaptive Sparse Transformer for Event-based Object Detection</t>
  </si>
  <si>
    <t>https://arxiv.org/abs/2404.01945</t>
  </si>
  <si>
    <t>Event-assisted Low-Light Video Object Segmentation</t>
  </si>
  <si>
    <t>https://arxiv.org/abs/2404.01948</t>
  </si>
  <si>
    <t>Quantifying Noise of Dynamic Vision Sensor</t>
  </si>
  <si>
    <t>https://arxiv.org/abs/2404.02731</t>
  </si>
  <si>
    <t>Event Camera Demosaicing via Swin Transformer and Pixel-focus Loss</t>
  </si>
  <si>
    <t>CVPRW 2024</t>
  </si>
  <si>
    <t>https://arxiv.org/abs/2404.03210</t>
  </si>
  <si>
    <t>HDR Imaging for Dynamic Scenes with Events</t>
  </si>
  <si>
    <t>https://arxiv.org/abs/2404.03325</t>
  </si>
  <si>
    <t>Embodied Neuromorphic Artificial Intelligence for Robotics: Perspectives, Challenges, and Research Development Stack</t>
  </si>
  <si>
    <t>https://arxiv.org/abs/2404.04698</t>
  </si>
  <si>
    <t>CEAR: Comprehensive Event Camera Dataset for Rapid Perception of Agile Quadruped Robots</t>
  </si>
  <si>
    <t>RAL 2024</t>
  </si>
  <si>
    <t>https://arxiv.org/abs/2404.05858</t>
  </si>
  <si>
    <t>A Neuromorphic Approach to Obstacle Avoidance in Robot Manipulation</t>
  </si>
  <si>
    <t>https://arxiv.org/abs/2404.05977</t>
  </si>
  <si>
    <t>Event enhanced Passive Non-line-of-sight imaging for moving objects with Physical embedding</t>
  </si>
  <si>
    <t>JSEN 2024</t>
  </si>
  <si>
    <t>https://arxiv.org/abs/2404.07551</t>
  </si>
  <si>
    <t>Event-Enhanced Snapshot Compressive Videography at 10K FPS</t>
  </si>
  <si>
    <t>https://arxiv.org/abs/2404.08504</t>
  </si>
  <si>
    <t>3D Human Scan With A Moving Event Camera</t>
  </si>
  <si>
    <t>https://arxiv.org/abs/2404.08640</t>
  </si>
  <si>
    <t>EventEgo3D: 3D Human Motion Capture from Egocentric Event Streams</t>
  </si>
  <si>
    <t>https://arxiv.org/abs/2404.10540</t>
  </si>
  <si>
    <t>SEVD: Synthetic Event-based Vision Dataset for Ego and Fixed Traffic Perception</t>
  </si>
  <si>
    <t>https://arxiv.org/abs/2404.10564</t>
  </si>
  <si>
    <t>Photonic Neuromorphic Accelerators for Event-Based Imaging Flow Cytometry</t>
  </si>
  <si>
    <t>https://arxiv.org/abs/2404.11511</t>
  </si>
  <si>
    <t>Event Cameras Meet SPADs for High-Speed, Low-Bandwidth Imaging</t>
  </si>
  <si>
    <t>https://arxiv.org/abs/2404.11770</t>
  </si>
  <si>
    <t>Event-Based Eye Tracking. AIS 2024 Challenge Survey</t>
  </si>
  <si>
    <t>https://arxiv.org/abs/2404.11884</t>
  </si>
  <si>
    <t>Seeing Motion at Nighttime with an Event Camera</t>
  </si>
  <si>
    <t>https://arxiv.org/abs/2404.11979</t>
  </si>
  <si>
    <t>MTGA: Multi-view Temporal Granularity aligned Aggregation for Event-based Lip-reading</t>
  </si>
  <si>
    <t>https://arxiv.org/abs/2404.12083</t>
  </si>
  <si>
    <t>MambaPupil: Bidirectional Selective Recurrent model for Event-based Eye tracking</t>
  </si>
  <si>
    <t>https://arxiv.org/abs/2404.12402</t>
  </si>
  <si>
    <t>Sup3r: A Semi-Supervised Algorithm for increasing Sparsity, Stability, and Separability in Hierarchy Of Time-Surfaces architectures</t>
  </si>
  <si>
    <t>https://arxiv.org/abs/2404.14279</t>
  </si>
  <si>
    <t>Co-designing a Sub-millisecond Latency Event-based Eye Tracking System with Submanifold Sparse CNN</t>
  </si>
  <si>
    <t>https://arxiv.org/abs/2404.15619</t>
  </si>
  <si>
    <t>Neuromorphic Shack-Hartmann wave normal sensing</t>
  </si>
  <si>
    <t>https://arxiv.org/abs/2404.17335</t>
  </si>
  <si>
    <t>A Novel Spike Transformer Network for Depth Estimation from Event Cameras via Cross-modality Knowledge Distillation</t>
  </si>
  <si>
    <t>https://arxiv.org/abs/2404.17771</t>
  </si>
  <si>
    <t>Characterization of dim light response in DVS pixel: Discontinuity of event triggering time</t>
  </si>
  <si>
    <t>ICIP 2024</t>
  </si>
  <si>
    <t>https://arxiv.org/abs/2404.18156</t>
  </si>
  <si>
    <t>Event-based Video Frame Interpolation with Edge Guided Motion Refinement</t>
  </si>
  <si>
    <t>https://arxiv.org/abs/2404.18174</t>
  </si>
  <si>
    <t>Mamba-FETrack: Frame-Event Tracking via State Space Model</t>
  </si>
  <si>
    <t>https://arxiv.org/abs/2404.19489</t>
  </si>
  <si>
    <t>EvGNN: An Event-driven Graph Neural Network Accelerator for Edge Vision</t>
  </si>
  <si>
    <t>https://arxiv.org/abs/2405.00318</t>
  </si>
  <si>
    <t>Covariant spatio-temporal receptive fields for neuromorphic computing</t>
  </si>
  <si>
    <t>https://arxiv.org/abs/2405.03995</t>
  </si>
  <si>
    <t>Deep Event-based Object Detection in Autonomous Driving: A Survey</t>
  </si>
  <si>
    <t>https://arxiv.org/abs/2405.06216</t>
  </si>
  <si>
    <t>Event-based Structure-from-Orbit</t>
  </si>
  <si>
    <t>https://arxiv.org/abs/2405.07050</t>
  </si>
  <si>
    <t>Neuromorphic Vision Data Coding: Classifying and Reviewing</t>
  </si>
  <si>
    <t>https://arxiv.org/abs/2405.10037</t>
  </si>
  <si>
    <t>Bilateral Event Mining and Complementary for Event Stream Super-Resolution</t>
  </si>
  <si>
    <t>https://arxiv.org/abs/2405.15209</t>
  </si>
  <si>
    <t>Unsupervised Motion Segmentation for Neuromorphic Aerial Surveillance</t>
  </si>
  <si>
    <t>https://arxiv.org/abs/2405.17278</t>
  </si>
  <si>
    <t>EF-Calib: Spatiotemporal Calibration of Event- and Frame-Based Cameras Using Continuous-Time Trajectories</t>
  </si>
  <si>
    <t>https://arxiv.org/abs/2405.17769</t>
  </si>
  <si>
    <t>Microsaccade-inspired Event Camera for Robotics</t>
  </si>
  <si>
    <t>Science Robotics 2024</t>
  </si>
  <si>
    <t>https://arxiv.org/abs/2405.19718</t>
  </si>
  <si>
    <t>LED: A Large-scale Real-world Paired Dataset for Event Camera Denoising</t>
  </si>
  <si>
    <t>https://arxiv.org/abs/2405.20224</t>
  </si>
  <si>
    <t>EvaGaussians: Event Stream Assisted Gaussian Splatting from Blurry Images</t>
  </si>
  <si>
    <t>https://arxiv.org/abs/2406.02972</t>
  </si>
  <si>
    <t>Event3DGS: Event-based 3D Gaussian Splatting for High-Speed Robot Egomotion</t>
  </si>
  <si>
    <t>https://arxiv.org/abs/2406.03177</t>
  </si>
  <si>
    <t>FAPNet: An Effective Frequency Adaptive Point-based Eye Tracker</t>
  </si>
  <si>
    <t>https://arxiv.org/abs/2406.03439</t>
  </si>
  <si>
    <t>Text-to-Events: Synthetic Event Camera Streams from Conditional Text Input</t>
  </si>
  <si>
    <t>NICE 2024</t>
  </si>
  <si>
    <t>https://arxiv.org/abs/2406.07318</t>
  </si>
  <si>
    <t>Embedded Graph Convolutional Networks for Real-Time Event Data Processing on SoC FPGAs</t>
  </si>
  <si>
    <t>https://arxiv.org/abs/2406.07951</t>
  </si>
  <si>
    <t>DemosaicFormer: Coarse-to-Fine Demosaicing Network for HybridEVS Camera</t>
  </si>
  <si>
    <t>https://arxiv.org/abs/2406.08090</t>
  </si>
  <si>
    <t>From Sim-to-Real: Toward General Event-based Low-light Frame Interpolation with Per-scene Optimization</t>
  </si>
  <si>
    <t>https://arxiv.org/abs/2406.08909</t>
  </si>
  <si>
    <t>A Label-Free and Non-Monotonic Metric for Evaluating Denoising in Event Cameras</t>
  </si>
  <si>
    <t>https://arxiv.org/abs/2406.09409</t>
  </si>
  <si>
    <t>CodedEvents: Optimal Point-Spread-Function Engineering for 3D-Tracking with Event Cameras</t>
  </si>
  <si>
    <t>https://arxiv.org/abs/2406.14360</t>
  </si>
  <si>
    <t>https://arxiv.org/abs/2406.19640</t>
  </si>
  <si>
    <t>Efficient Event Stream Super-Resolution with Recursive Multi-Branch Fusion</t>
  </si>
  <si>
    <t>IJCAI 2024</t>
  </si>
  <si>
    <t>https://arxiv.org/abs/2406.20024</t>
  </si>
  <si>
    <t>eMoE-Tracker: Environmental MoE-based Transformer for Robust Event-guided Object Tracking</t>
  </si>
  <si>
    <t>https://arxiv.org/abs/2407.00563</t>
  </si>
  <si>
    <t>An abstract theory of sensor eventification</t>
  </si>
  <si>
    <t>RSS 2024</t>
  </si>
  <si>
    <t>https://arxiv.org/abs/2407.00931</t>
  </si>
  <si>
    <t>Real-Time Neuromorphic Navigation: Integrating Event-Based Vision and Physics-Driven Planning on a Parrot Bebop2 Quadrotor</t>
  </si>
  <si>
    <t>https://arxiv.org/abs/2407.02174</t>
  </si>
  <si>
    <t>BeNeRF: Neural Radiance Fields from a Single Blurry Image and Event Stream</t>
  </si>
  <si>
    <t>https://arxiv.org/abs/2407.02370</t>
  </si>
  <si>
    <t>Investigating Event-Based Cameras for Video Frame Interpolation in Sports</t>
  </si>
  <si>
    <t>https://arxiv.org/abs/2407.04277</t>
  </si>
  <si>
    <t>Research, Applications and Prospects of Event-Based Pedestrian Detection: A Survey</t>
  </si>
  <si>
    <t>https://arxiv.org/abs/2407.05206v2/</t>
  </si>
  <si>
    <t>Helios: An extremely low power event-based gesture recognition for always-on smart eyewear</t>
  </si>
  <si>
    <t>https://arxiv.org/abs/2407.05764</t>
  </si>
  <si>
    <t>Neuromorphic Imaging with Super-Resolution</t>
  </si>
  <si>
    <t>TCSVT 2024</t>
  </si>
  <si>
    <t>https://arxiv.org/abs/2407.06611</t>
  </si>
  <si>
    <t>CEIA: CLIP-Based Event-Image Alignment for Open-World Event-Based Understanding</t>
  </si>
  <si>
    <t>https://arxiv.org/abs/2407.07324</t>
  </si>
  <si>
    <t>Event-Aided Time-to-Collision Estimation for Autonomous Driving</t>
  </si>
  <si>
    <t>https://arxiv.org/abs/2407.08231</t>
  </si>
  <si>
    <t>E2VIDiff: Perceptual Events-to-Video Reconstruction using Diffusion Priors</t>
  </si>
  <si>
    <t>https://arxiv.org/abs/2407.08272</t>
  </si>
  <si>
    <t>PowerYOLO: Mixed Precision Model for Hardware Efficient Object Detection with Event Data</t>
  </si>
  <si>
    <t>DSD 2024</t>
  </si>
  <si>
    <t>https://arxiv.org/abs/2407.08356</t>
  </si>
  <si>
    <t>Event-based vision on FPGAs -- a survey</t>
  </si>
  <si>
    <t>https://arxiv.org/abs/2407.09083v1/</t>
  </si>
  <si>
    <t>BKDSNN: Enhancing the Performance of Learning-based Spiking Neural Networks Training with Blurred Knowledge Distillation</t>
  </si>
  <si>
    <t>https://arxiv.org/abs/2407.10636</t>
  </si>
  <si>
    <t>Temporal Residual Guided Diffusion Framework for Event-Driven Video Reconstruction</t>
  </si>
  <si>
    <t>https://arxiv.org/abs/2407.10703</t>
  </si>
  <si>
    <t>Towards Robust Event-based Networks for Nighttime via Unpaired Day-to-Night Event Translation</t>
  </si>
  <si>
    <t>https://arxiv.org/abs/2407.10802</t>
  </si>
  <si>
    <t>Motion-prior Contrast Maximization for Dense Continuous-Time Motion Estimation</t>
  </si>
  <si>
    <t>https://arxiv.org/abs/2407.10831</t>
  </si>
  <si>
    <t>Temporal Event Stereo via Joint Learning with Stereoscopic Flow</t>
  </si>
  <si>
    <t>https://arxiv.org/abs/2407.11216</t>
  </si>
  <si>
    <t>Finding Meaning in Points: Weakly Supervised Semantic Segmentation for Event Cameras</t>
  </si>
  <si>
    <t>https://arxiv.org/abs/2407.11343</t>
  </si>
  <si>
    <t>Ev-GS: Event-based Gaussian splatting for Efficient and Accurate Radiance Field Rendering</t>
  </si>
  <si>
    <t>WMLSP 2024</t>
  </si>
  <si>
    <t>https://arxiv.org/abs/2407.11560</t>
  </si>
  <si>
    <t>Demonstration of real-time event camera to collaborative robot communication</t>
  </si>
  <si>
    <t>IFIT 2024</t>
  </si>
  <si>
    <t>https://arxiv.org/abs/2407.12582</t>
  </si>
  <si>
    <t>Embracing Events and Frames with Hierarchical Feature Refinement Network for Object Detection</t>
  </si>
  <si>
    <t>https://arxiv.org/abs/2407.12593</t>
  </si>
  <si>
    <t>EvSign: Sign Language Recognition and Translation with Streaming Events</t>
  </si>
  <si>
    <t>https://arxiv.org/abs/2407.15531</t>
  </si>
  <si>
    <t>Double Deep Learning-based Event Data Coding and Classification</t>
  </si>
  <si>
    <t>https://arxiv.org/abs/2407.16665</t>
  </si>
  <si>
    <t>A Framework for Pupil Tracking with Event Cameras</t>
  </si>
  <si>
    <t>https://arxiv.org/abs/2407.17305</t>
  </si>
  <si>
    <t>Continual Learning in Bio-plausible Spiking Neural Networks with Hebbian and Spike Timing Dependent Plasticity: A Survey and Perspective</t>
  </si>
  <si>
    <t>https://arxiv.org/abs/2407.18500</t>
  </si>
  <si>
    <t>Revisit Event Generation Model: Self-Supervised Learning of Event-to-Video Reconstruction with Implicit Neural Representations</t>
  </si>
  <si>
    <t>https://arxiv.org/abs/2407.20502v1/</t>
  </si>
  <si>
    <t>Restoring Real-World Degraded Events Improves Deblurring Quality</t>
  </si>
  <si>
    <t>MM 2024</t>
  </si>
  <si>
    <t>https://arxiv.org/abs/2407.21735</t>
  </si>
  <si>
    <t>EMatch: A Unified Framework for Event-based Optical Flow and Stereo Matching</t>
  </si>
  <si>
    <t>https://arxiv.org/abs/2408.00545</t>
  </si>
  <si>
    <t>Collecting Larg-Scale Robotic Datasets on a High-Speed Mobile Platform</t>
  </si>
  <si>
    <t>https://arxiv.org/abs/2408.00611</t>
  </si>
  <si>
    <t>Using CSNNs to Perform Event-based Data Processing &amp; Classification on ASL-DVS</t>
  </si>
  <si>
    <t>https://arxiv.org/abs/2408.00661</t>
  </si>
  <si>
    <t>Neuromorphic detection and cooling of microparticle arrays</t>
  </si>
  <si>
    <t>https://arxiv.org/abs/2408.01840</t>
  </si>
  <si>
    <t>E3NeRF: Efficient Event-Enhanced Neural Radiance Fields from Blurry Images</t>
  </si>
  <si>
    <t>https://arxiv.org/abs/2408.05452</t>
  </si>
  <si>
    <t>EV-MGDispNet: Motion-Guided Event-Based Stereo Disparity Estimation Network with Left-Right Consistency</t>
  </si>
  <si>
    <t>https://arxiv.org/abs/2408.06899</t>
  </si>
  <si>
    <t>EE3P3D: Event-based Estimation of Periodic Phenomena Frequency using 3D Correlation</t>
  </si>
  <si>
    <t>https://arxiv.org/abs/2408.06968</t>
  </si>
  <si>
    <t>Event-Stream Super Resolution using Sigma-Delta Neural Network</t>
  </si>
  <si>
    <t>https://arxiv.org/abs/2408.08320</t>
  </si>
  <si>
    <t>Hardware-Algorithm Re-engineering of Retinal Circuit for Intelligent Object Motion Segmentation</t>
  </si>
  <si>
    <t>https://arxiv.org/abs/2408.09424</t>
  </si>
  <si>
    <t>OVOSE: Open-Vocabulary Semantic Segmentation in Event-Based Cameras</t>
  </si>
  <si>
    <t>https://arxiv.org/abs/2408.12978</t>
  </si>
  <si>
    <t>Energy-Efficient Spiking Recurrent Neural Network for Gesture Recognition on Embedded GPUs</t>
  </si>
  <si>
    <t>https://arxiv.org/abs/2408.13379</t>
  </si>
  <si>
    <t>N-DriverMotion: Driver motion learning and prediction using an event-based camera and directly trained spiking neural networks</t>
  </si>
  <si>
    <t>https://arxiv.org/abs/2408.13394</t>
  </si>
  <si>
    <t>Towards Robust Perception for Assistive Robotics: An RGB-Event-LiDAR Dataset and Multi-Modal Detection Pipeline</t>
  </si>
  <si>
    <t>CASE 2024</t>
  </si>
  <si>
    <t>https://arxiv.org/abs/2408.13627</t>
  </si>
  <si>
    <t>Recent Event Camera Innovations: A Survey</t>
  </si>
  <si>
    <t>https://arxiv.org/abs/2408.14930</t>
  </si>
  <si>
    <t>CMTA: Cross-Modal Temporal Alignment for Event-guided Video Deblurring</t>
  </si>
  <si>
    <t>https://arxiv.org/abs/2408.15465</t>
  </si>
  <si>
    <t>Dynamic Reconstruction from Neuromorphic Data</t>
  </si>
  <si>
    <t>https://arxiv.org/abs/2408.16254</t>
  </si>
  <si>
    <t xml:space="preserve">EvLight++: Low-Light Video Enhancement with an Event Camera: A Large-Scale Real-World Dataset, Novel Method, and More </t>
  </si>
  <si>
    <t>https://arxiv.org/abs/2408.16564</t>
  </si>
  <si>
    <t>Human-Inspired Audio-Visual Speech Recognition: Spike Activity, Cueing Interaction and Causal Processing</t>
  </si>
  <si>
    <t>https://arxiv.org/abs/2408.16971</t>
  </si>
  <si>
    <t>Synthetic Lunar Terrain: A Multimodal Open Dataset for Training and Evaluating Neuromorphic Vision Algorithms</t>
  </si>
  <si>
    <t>i-SAIRAS 2024</t>
  </si>
  <si>
    <t>https://arxiv.org/abs/2409.00552</t>
  </si>
  <si>
    <t>Digit Recognition using Multimodal Spiking Neural Networks</t>
  </si>
  <si>
    <t>https://arxiv.org/abs/2409.01764</t>
  </si>
  <si>
    <t>Gradient events: improved acquisition of visual information in event cameras</t>
  </si>
  <si>
    <t>https://arxiv.org/abs/2409.04082</t>
  </si>
  <si>
    <t>SDformerFlow: Spatiotemporal swin spikeformer for event-based optical flow estimation</t>
  </si>
  <si>
    <t>ICPR 2024</t>
  </si>
  <si>
    <t>https://arxiv.org/abs/2409.06104</t>
  </si>
  <si>
    <t>LSE-NeRF: Learning Sensor Modeling Errors for Deblured Neural Radiance Fields with RGB-Event Stereo</t>
  </si>
  <si>
    <t>https://arxiv.org/abs/2409.06240</t>
  </si>
  <si>
    <t>Test-Time Certifiable Self-Supervision to Bridge the Sim2Real Gap in Event-Based Satellite Pose Estimation</t>
  </si>
  <si>
    <t>https://arxiv.org/abs/2409.07365</t>
  </si>
  <si>
    <t>Event-based Mosaicing Bundle Adjustment</t>
  </si>
  <si>
    <t>https://arxiv.org/abs/2409.08953</t>
  </si>
  <si>
    <t>Pushing the boundaries of event subsampling in event-based video classification using CNNs</t>
  </si>
  <si>
    <t>https://arxiv.org/abs/2409.11075</t>
  </si>
  <si>
    <t>ShapeAug++: More Realistic Shape Augmentation for Event Data</t>
  </si>
  <si>
    <t>LNCS 2024</t>
  </si>
  <si>
    <t>https://arxiv.org/abs/2409.11813</t>
  </si>
  <si>
    <t>EventAug: Multifaceted Spatio-Temporal Data Augmentation Methods for Event-based Learning</t>
  </si>
  <si>
    <t>https://arxiv.org/abs/2409.12691</t>
  </si>
  <si>
    <t>A dynamic vision sensor object recognition model based on trainable event-driven convolution and spiking attention mechanism</t>
  </si>
  <si>
    <t>https://arxiv.org/abs/2409.13971</t>
  </si>
  <si>
    <t>Monocular Event-Inertial Odometry with Adaptive decay-based Time Surface and Polarity-aware Tracking</t>
  </si>
  <si>
    <t>https://arxiv.org/abs/2409.14103</t>
  </si>
  <si>
    <t>ExFMan: Rendering 3D Dynamic Humans with Hybrid Monocular Blurry Frames and Events</t>
  </si>
  <si>
    <t>https://arxiv.org/abs/2409.14611</t>
  </si>
  <si>
    <t>Secrets of Edge-Informed Contrast Maximization for Event-Based Vision</t>
  </si>
  <si>
    <t>WACV 2025</t>
  </si>
  <si>
    <t>https://arxiv.org/abs/2409.15584</t>
  </si>
  <si>
    <t>FACET: Fast and Accurate Event-Based Eye Tracking Using Ellipse Modeling for Extended Reality</t>
  </si>
  <si>
    <t>https://arxiv.org/abs/2409.17680</t>
  </si>
  <si>
    <t>https://arxiv.org/abs/2409.18120</t>
  </si>
  <si>
    <t>EvMAPPER: High Altitude Orthomapping with Event Cameras</t>
  </si>
  <si>
    <t>https://arxiv.org/abs/2410.03812</t>
  </si>
  <si>
    <t>EvenNICER-SLAM: Event-based Neural Implicit Encoding SLAM</t>
  </si>
  <si>
    <t>https://arxiv.org/abs/2410.10601</t>
  </si>
  <si>
    <t>Fully Asynchronous Neuromorphic Perception for Mobile Robot Dodging with Loihi Chips</t>
  </si>
  <si>
    <t>https://arxiv.org/abs/2410.12423</t>
  </si>
  <si>
    <t>An O(m+n)-Space Spatiotemporal Denoising Filter with Cache-Like Memories for Dynamic Vision Sensors</t>
  </si>
  <si>
    <t>ICCAD 2024</t>
  </si>
  <si>
    <t>https://arxiv.org/abs/2410.14228</t>
  </si>
  <si>
    <t>Towards High-Speed Passive Visible Light Communication with Event Cameras and Digital Micro-Mirrors</t>
  </si>
  <si>
    <t>https://arxiv.org/abs/2410.14364</t>
  </si>
  <si>
    <t>Non-Invasive Qualitative Vibration Analysis using Event Camera</t>
  </si>
  <si>
    <t>https://arxiv.org/abs/2410.14685</t>
  </si>
  <si>
    <t>Leveraging Event Streams with Deep Reinforcement Learning for End-to-End UAV Tracking</t>
  </si>
  <si>
    <t>https://arxiv.org/abs/2410.15480</t>
  </si>
  <si>
    <t>Event-based Sensor Fusion and Application on Odometry: A Survey</t>
  </si>
  <si>
    <t>https://arxiv.org/abs/2410.15552</t>
  </si>
  <si>
    <t>Dynamic Spectral fluorescence microscopy via Event-based &amp; CMOS image-sensor fusion</t>
  </si>
  <si>
    <t>Optics Express 2025</t>
  </si>
  <si>
    <t>https://arxiv.org/abs/2410.18580</t>
  </si>
  <si>
    <t>Spatial-Temporal Search for Spiking Neural Networks</t>
  </si>
  <si>
    <t>https://arxiv.org/abs/2410.18940</t>
  </si>
  <si>
    <t>An assessment of event-based imaging velocimetry for online dimensionality reduction in turbulent flows</t>
  </si>
  <si>
    <t>https://arxiv.org/abs/2410.19164</t>
  </si>
  <si>
    <t>HUE Dataset: High-Resolution Event and Frame Sequences for Low-Light Vision</t>
  </si>
  <si>
    <t>https://arxiv.org/abs/2410.19486</t>
  </si>
  <si>
    <t>x-RAGE: eXtended Reality -- Action &amp; Gesture Events Dataset</t>
  </si>
  <si>
    <t>https://arxiv.org/abs/2410.21615</t>
  </si>
  <si>
    <t>NYC-Event-VPR: A Large-Scale High-Resolution Event-Based Visual Place Recognition Dataset in Dense Urban Environments</t>
  </si>
  <si>
    <t>https://arxiv.org/abs/2410.21743</t>
  </si>
  <si>
    <t>EI-Nexus: Towards Unmediated and Flexible Inter-Modality Local Feature Extraction and Matching for Event-Image Data</t>
  </si>
  <si>
    <t>https://arxiv.org/abs/2410.21958</t>
  </si>
  <si>
    <t>Spatio-temporal Transformers for Action Unit Classification with Event Cameras</t>
  </si>
  <si>
    <t>CVIU 2025</t>
  </si>
  <si>
    <t>https://arxiv.org/abs/2410.22280</t>
  </si>
  <si>
    <t>Active Event Alignment for Monocular Distance Estimation</t>
  </si>
  <si>
    <t>https://arxiv.org/abs/2410.23082</t>
  </si>
  <si>
    <t>An Event-Based Digital Compute-In-Memory Accelerator with Flexible Operand Resolution and Layer-Wise Weight/Output Stationarity</t>
  </si>
  <si>
    <t>https://arxiv.org/abs/2411.00639</t>
  </si>
  <si>
    <t>Event-guided Low-light Video Semantic Segmentation</t>
  </si>
  <si>
    <t>https://arxiv.org/abs/2411.03010</t>
  </si>
  <si>
    <t>Learning-based Lossless Event Data Compression</t>
  </si>
  <si>
    <t>https://arxiv.org/abs/2411.03022</t>
  </si>
  <si>
    <t>Flashy Backdoor: Real-world Environment Backdoor Attack on SNNs with DVS Cameras</t>
  </si>
  <si>
    <t>https://arxiv.org/abs/2411.07155</t>
  </si>
  <si>
    <t>Low Complexity Learning-based Lossless Event-based Compression</t>
  </si>
  <si>
    <t>https://arxiv.org/abs/2411.11004</t>
  </si>
  <si>
    <t>EROAM: Event-based Camera Rotational Odometry and Mapping in Real-time</t>
  </si>
  <si>
    <t>https://arxiv.org/abs/2411.11233</t>
  </si>
  <si>
    <t>Noise Filtering Benchmark for Neuromorphic Satellites Observations</t>
  </si>
  <si>
    <t>https://arxiv.org/abs/2411.12175</t>
  </si>
  <si>
    <t>AsynEIO: Asynchronous Monocular Event-Inertial Odometry Using Gaussian Process Regression</t>
  </si>
  <si>
    <t>https://arxiv.org/abs/2411.12250</t>
  </si>
  <si>
    <t>ADV2E: Bridging the Gap Between Analogue Circuit and Discrete Frames in the Video-to-Events Simulator</t>
  </si>
  <si>
    <t>https://arxiv.org/abs/2411.12603</t>
  </si>
  <si>
    <t>STREAM: A Universal State-Space Model for Sparse Geometric Data</t>
  </si>
  <si>
    <t>https://arxiv.org/abs/2411.13108</t>
  </si>
  <si>
    <t>Demonstrating the Suitability of Neuromorphic, Event-Based, Dynamic Vision Sensors for In Process Monitoring of Metallic Additive Manufacturing and Welding</t>
  </si>
  <si>
    <t>IMAC 2024</t>
  </si>
  <si>
    <t>https://arxiv.org/abs/2411.13945</t>
  </si>
  <si>
    <t>Neuromorphic Attitude Estimation and Control</t>
  </si>
  <si>
    <t>IROS 2025</t>
  </si>
  <si>
    <t>https://arxiv.org/abs/2411.15276</t>
  </si>
  <si>
    <t>Event USKT: U-State Space Model in Knowledge Transfer for Event Cameras</t>
  </si>
  <si>
    <t>https://arxiv.org/abs/2411.16180</t>
  </si>
  <si>
    <t>Event-boosted Deformable 3D Gaussians for Dynamic Scene Reconstruction</t>
  </si>
  <si>
    <t>https://arxiv.org/abs/2411.16440</t>
  </si>
  <si>
    <t>AnonyNoise: Anonymizing Event Data with Smart Noise to Outsmart Re-Identification and Preserve Privacy</t>
  </si>
  <si>
    <t>https://arxiv.org/abs/2411.17006</t>
  </si>
  <si>
    <r>
      <rPr>
        <rFont val="Arial"/>
        <color theme="1"/>
        <sz val="10.0"/>
      </rPr>
      <t>Event-based Spiking Neural Networks for Object Detection: A Review of Datasets, Architectures, Learning Rules, and Implementati</t>
    </r>
    <r>
      <rPr>
        <rFont val="Arial"/>
        <color theme="1"/>
        <sz val="10.0"/>
      </rPr>
      <t>on</t>
    </r>
  </si>
  <si>
    <t>https://arxiv.org/abs/2411.18328</t>
  </si>
  <si>
    <t>EventCrab: Harnessing Frame and Point Synergy for Event-based Action Recognition and Beyond</t>
  </si>
  <si>
    <t>https://arxiv.org/abs/2411.18597</t>
  </si>
  <si>
    <t>Structured light with a million light planes per second</t>
  </si>
  <si>
    <t>https://arxiv.org/abs/2412.00816</t>
  </si>
  <si>
    <t>https://arxiv.org/abs/2412.01747</t>
  </si>
  <si>
    <t>Continuous-Time Human Motion Field from Event Cameras</t>
  </si>
  <si>
    <t>https://arxiv.org/abs/2412.02890</t>
  </si>
  <si>
    <t>EvRT-DETR: The Surprising Effectiveness of DETR-based Detection for Event Cameras</t>
  </si>
  <si>
    <t>https://arxiv.org/abs/2412.03093</t>
  </si>
  <si>
    <t>Expanding Event Modality Applications through a Robust CLIP-Based Encoder</t>
  </si>
  <si>
    <t>https://arxiv.org/abs/2412.03136</t>
  </si>
  <si>
    <t>Asynchronous Event-Inertial Odometry using a Unified Gaussian Process Regression Framework</t>
  </si>
  <si>
    <t>https://arxiv.org/abs/2412.03259</t>
  </si>
  <si>
    <t>GERD: Geometric event response data generation</t>
  </si>
  <si>
    <t>https://arxiv.org/abs/2412.04149</t>
  </si>
  <si>
    <t>Frequency-Adaptive Low-Latency Object Detection Using Events and Frames</t>
  </si>
  <si>
    <t>https://arxiv.org/abs/2412.05053</t>
  </si>
  <si>
    <t>EvTTC: An Event Camera Dataset for Time-to-Collision Estimation</t>
  </si>
  <si>
    <t>RAL 2025</t>
  </si>
  <si>
    <t>https://arxiv.org/abs/2412.06191</t>
  </si>
  <si>
    <t>Event fields: Capturing light fields at high speed, resolution, and dynamic range</t>
  </si>
  <si>
    <t>CVPR 2025</t>
  </si>
  <si>
    <t>https://arxiv.org/abs/2412.06359</t>
  </si>
  <si>
    <t>On-Device Self-Supervised Learning of Low-Latency Monocular Depth from Only Events</t>
  </si>
  <si>
    <t>https://arxiv.org/abs/2412.06647</t>
  </si>
  <si>
    <t>Object Detection using Event Camera: A MoE Heat Conduction based Detector and A New Benchmark Dataset</t>
  </si>
  <si>
    <t>https://arxiv.org/abs/2412.06770</t>
  </si>
  <si>
    <t>Dynamic EventNeRF: Reconstructing General Dynamic Scenes from Multi-view RGB and Event Streams</t>
  </si>
  <si>
    <t>https://arxiv.org/abs/2412.07293</t>
  </si>
  <si>
    <t>EventSplat: 3D Gaussian Splatting from Moving Event Cameras for Real-time Rendering</t>
  </si>
  <si>
    <t>https://arxiv.org/abs/2412.07761</t>
  </si>
  <si>
    <t>Repurposing Pre-trained Video Diffusion Models for Event-based Video Interpolation</t>
  </si>
  <si>
    <t>https://arxiv.org/abs/2412.07889</t>
  </si>
  <si>
    <t>Low-Latency Scalable Streaming for Event-Based Vision</t>
  </si>
  <si>
    <t>https://arxiv.org/abs/2412.12525</t>
  </si>
  <si>
    <t>CREST: An Efficient Conjointly-trained Spike-driven Framework for Event-based Object Detection Exploiting Spatiotemporal Dynamics</t>
  </si>
  <si>
    <t>AAAI 2025</t>
  </si>
  <si>
    <t>https://arxiv.org/abs/2412.12843</t>
  </si>
  <si>
    <t>Efficient Event-based Semantic Segmentation with Spike-driven Lightweight Transformer-based Networks</t>
  </si>
  <si>
    <t>https://arxiv.org/abs/2412.14111</t>
  </si>
  <si>
    <t>Event-based Photometric Bundle Adjustment</t>
  </si>
  <si>
    <t>TPAMI 2025</t>
  </si>
  <si>
    <t>https://arxiv.org/abs/2412.14705</t>
  </si>
  <si>
    <t>Event-assisted 12-stop HDR Imaging of Dynamic Scene</t>
  </si>
  <si>
    <t>https://arxiv.org/abs/2412.19067</t>
  </si>
  <si>
    <t>Learning Monocular Depth from Events via Egomotion Compensation</t>
  </si>
  <si>
    <t>https://arxiv.org/abs/2412.19412</t>
  </si>
  <si>
    <t>MINIMA: Modality Invariant Image Matching</t>
  </si>
  <si>
    <t>https://arxiv.org/abs/2412.19646</t>
  </si>
  <si>
    <t>Chimera: A Block-Based Neural Architecture Search Framework for Event-Based Object Detection</t>
  </si>
  <si>
    <t>https://arxiv.org/abs/2412.20064</t>
  </si>
  <si>
    <t>VELoRA: A Low-Rank Adaptation Approach for Efficient RGB-Event based Recognition</t>
  </si>
  <si>
    <t>https://arxiv.org/abs/2412.20803</t>
  </si>
  <si>
    <t>Frequency-aware Event Cloud Network</t>
  </si>
  <si>
    <t>https://arxiv.org/abs/2501.01040</t>
  </si>
  <si>
    <t>Event Masked Autoencoder: Point-wise Action Recognition with Event-Based Cameras</t>
  </si>
  <si>
    <t>ICASSP 2025</t>
  </si>
  <si>
    <t>https://arxiv.org/abs/2501.02807</t>
  </si>
  <si>
    <t>AE-NeRF: Augmenting Event-Based Neural Radiance Fields for Non-ideal Conditions and Larger Scene</t>
  </si>
  <si>
    <t>https://arxiv.org/abs/2501.03874</t>
  </si>
  <si>
    <t>Neuromorphic Optical Tracking and Imaging of Randomly Moving Targets through Strongly Scattering Media</t>
  </si>
  <si>
    <t>https://arxiv.org/abs/2501.07230</t>
  </si>
  <si>
    <t>A neuromorphic camera for tracking passive and active matter with lower data throughput</t>
  </si>
  <si>
    <t>https://arxiv.org/abs/2501.09396v1</t>
  </si>
  <si>
    <t>Joint transmission and deblurring: A semantic communication approach using events</t>
  </si>
  <si>
    <t>VTC 2025</t>
  </si>
  <si>
    <t>https://arxiv.org/abs/2501.10155</t>
  </si>
  <si>
    <t>A scalable event-driven spatiotemporal feature extraction circuit</t>
  </si>
  <si>
    <t>https://arxiv.org/abs/2501.10425</t>
  </si>
  <si>
    <t>Delay Neural Networks (DeNN) for exploiting temporal information in event-based datasets</t>
  </si>
  <si>
    <t>https://arxiv.org/abs/2501.11554</t>
  </si>
  <si>
    <t>Event-based vision for egomotion estimation using precise event timing</t>
  </si>
  <si>
    <t>https://arxiv.org/abs/2501.11971</t>
  </si>
  <si>
    <t>SMamba: Sparse Mamba for Event-based Object Detection</t>
  </si>
  <si>
    <t>https://arxiv.org/abs/2501.12482v1</t>
  </si>
  <si>
    <t>TOFFE -- Temporally-binned Object Flow from Events for High-speed and Energy-Efficient Object Detection and Tracking</t>
  </si>
  <si>
    <t>https://arxiv.org/abs/2501.15808</t>
  </si>
  <si>
    <t>ClearSight: Human Vision-Inspired Solutions for Event-Based Motion Deblurring</t>
  </si>
  <si>
    <t>https://arxiv.org/abs/2501.18788</t>
  </si>
  <si>
    <t>Tuning Event Camera Biases Heuristic for Object Detection Applications in Staring Scenarios</t>
  </si>
  <si>
    <t>https://arxiv.org/abs/2501.19129</t>
  </si>
  <si>
    <t>RGB-Event ISP: The Dataset and Benchmark</t>
  </si>
  <si>
    <t>ICLR 2025</t>
  </si>
  <si>
    <t>https://arxiv.org/abs/2501.19174</t>
  </si>
  <si>
    <t>From Soft Materials to Controllers with NeuroTouch: A Neuromorphic Tactile Sensor for Real-Time Gesture Recognition</t>
  </si>
  <si>
    <t>https://arxiv.org/abs/2501.19259</t>
  </si>
  <si>
    <t>Neuro-LIFT: A Neuromorphic, LLM-based Interactive Framework for Autonomous Drone FlighT at the Edge</t>
  </si>
  <si>
    <t>https://arxiv.org/abs/2502.00749</t>
  </si>
  <si>
    <t>An Event-Based Perception Pipeline for a Table Tennis Robot</t>
  </si>
  <si>
    <t>https://arxiv.org/abs/2502.03285</t>
  </si>
  <si>
    <t>Deep Learning-based Event Data Coding: A Joint Spatiotemporal and Polarity Solution</t>
  </si>
  <si>
    <t>https://arxiv.org/abs/2502.05938</t>
  </si>
  <si>
    <t>Energy-Efficient Autonomous Aerial Navigation with Dynamic Vision Sensors: A Physics-Guided Neuromorphic Approach</t>
  </si>
  <si>
    <t>https://arxiv.org/abs/2502.06116</t>
  </si>
  <si>
    <t>Event Vision Sensor: A Review</t>
  </si>
  <si>
    <t>https://arxiv.org/abs/2502.06747</t>
  </si>
  <si>
    <t>Wandering around: A bioinspired approach to visual attention through object motion sensitivity</t>
  </si>
  <si>
    <t>https://arxiv.org/abs/2502.09020</t>
  </si>
  <si>
    <t>EventSTR: A Benchmark Dataset and Baselines for Event Stream based Scene Text Recognition</t>
  </si>
  <si>
    <t>https://arxiv.org/abs/2502.12113</t>
  </si>
  <si>
    <t>A Monocular Event-Camera Motion Capture System</t>
  </si>
  <si>
    <t>https://arxiv.org/abs/2502.12975</t>
  </si>
  <si>
    <t>Instance-Level Moving Object Segmentation from a Single Image with Events</t>
  </si>
  <si>
    <t>IJCV 2025</t>
  </si>
  <si>
    <t>https://arxiv.org/abs/2502.14273</t>
  </si>
  <si>
    <t>LLM-EvRep: Learning an LLM-Compatible Event Representation Using a Self-Supervised Framework</t>
  </si>
  <si>
    <t>ACM WWW Companion 2025</t>
  </si>
  <si>
    <t>https://arxiv.org/abs/2502.14992</t>
  </si>
  <si>
    <t>Ultra-High-Frequency Harmony: mmWave Radar and Event Camera Orchestrate Accurate Drone Landing</t>
  </si>
  <si>
    <t>ACM SenSys 2025</t>
  </si>
  <si>
    <t>https://arxiv.org/abs/2502.18490</t>
  </si>
  <si>
    <t>Event-based Solutions for Human-centered Applications: A Comprehensive Review</t>
  </si>
  <si>
    <t>https://arxiv.org/abs/2502.19630</t>
  </si>
  <si>
    <t>Ev-3DOD: Pushing the Temporal Boundaries of 3D Object Detection with Event Cameras</t>
  </si>
  <si>
    <t>https://arxiv.org/abs/2502.21120</t>
  </si>
  <si>
    <t>SEE: See Everything Every Time -- Adaptive Brightness Adjustment for Broad Light Range Images via Events</t>
  </si>
  <si>
    <t>https://arxiv.org/abs/2503.01193</t>
  </si>
  <si>
    <t>Near-infrared Image Deblurring and Event Denoising with Synergistic Neuromorphic Imaging</t>
  </si>
  <si>
    <t>https://arxiv.org/abs/2503.01214</t>
  </si>
  <si>
    <t>One-Step Event-Driven High-Speed Autofocus</t>
  </si>
  <si>
    <t>https://arxiv.org/abs/2503.02484</t>
  </si>
  <si>
    <t>ERetinex: Event Camera Meets Retinex Theory for Low-Light Image Enhancement</t>
  </si>
  <si>
    <t>https://arxiv.org/abs/2503.03256</t>
  </si>
  <si>
    <t>BAT: Learning Event-based Optical Flow with Bidirectional Adaptive Temporal Correlation</t>
  </si>
  <si>
    <t>https://arxiv.org/abs/2503.03307</t>
  </si>
  <si>
    <t>Full-DoF Egomotion Estimation for Event Cameras Using Geometric Solvers</t>
  </si>
  <si>
    <t>https://arxiv.org/abs/2503.05112</t>
  </si>
  <si>
    <t>https://arxiv.org/abs/2503.06484</t>
  </si>
  <si>
    <t>Sign Language Translation using Frame and Event Stream: Benchmark Dataset and Algorithms</t>
  </si>
  <si>
    <t>https://arxiv.org/abs/2503.06934</t>
  </si>
  <si>
    <t>LLaFEA: Frame-Event Complementary Fusion for Fine-Grained Spatiotemporal Understanding in LMMs</t>
  </si>
  <si>
    <t>https://arxiv.org/abs/2503.06992</t>
  </si>
  <si>
    <t>Bridge Frame and Event: Common Spatiotemporal Fusion for High-Dynamic Scene Optical Flow</t>
  </si>
  <si>
    <t>https://arxiv.org/abs/2503.07825</t>
  </si>
  <si>
    <t>Helios 2.0: A Robust, Ultra-Low Power Gesture Recognition System Optimised for Event-Sensor based Wearables</t>
  </si>
  <si>
    <t>https://arxiv.org/abs/2503.08703</t>
  </si>
  <si>
    <t>SDTrack: A Baseline for Event-based Tracking via Spiking Neural Networks</t>
  </si>
  <si>
    <t>https://arxiv.org/abs/2503.09636</t>
  </si>
  <si>
    <t>Real-Time Neuromorphic Navigation: Guiding Physical Robots with Event-Based Sensing and Task-Specific Reconfigurable Autonomy Stack</t>
  </si>
  <si>
    <t>https://arxiv.org/abs/2503.09754</t>
  </si>
  <si>
    <t>A PyTorch-Enabled Tool for Synthetic Event Camera Data Generation and Algorithm Development</t>
  </si>
  <si>
    <t>https://arxiv.org/abs/2503.09985</t>
  </si>
  <si>
    <t>ES-Parkour: Advanced Robot Parkour with Bio-inspired Event Camera and Spiking Neural Network</t>
  </si>
  <si>
    <t>https://arxiv.org/abs/2503.10195</t>
  </si>
  <si>
    <t>ST-FlowNet: An Efficient Spiking Neural Network for Event-Based Optical Flow Estimation</t>
  </si>
  <si>
    <t>https://arxiv.org/abs/2503.12419</t>
  </si>
  <si>
    <t>EgoEvGesture: Gesture Recognition Based on Egocentric Event Camera</t>
  </si>
  <si>
    <t>https://arxiv.org/abs/2503.12905</t>
  </si>
  <si>
    <t>UCF-Crime-DVS: A Novel Event-Based Dataset for Video Anomaly Detection with Spiking Neural Networks</t>
  </si>
  <si>
    <t>https://arxiv.org/abs/2503.15883</t>
  </si>
  <si>
    <t>Neuromorphic Cameras in Astronomy: Unveiling the Future of Celestial Imaging Beyond Conventional Limits</t>
  </si>
  <si>
    <t>https://arxiv.org/abs/2503.16012</t>
  </si>
  <si>
    <t>GazeSCRNN: Event-based Near-eye Gaze Tracking using a Spiking Neural Network</t>
  </si>
  <si>
    <t>https://arxiv.org/abs/2503.16134</t>
  </si>
  <si>
    <t>Binarized Mamba-Transformer for Lightweight Quad Bayer HybridEVS Demosaicing</t>
  </si>
  <si>
    <t>https://arxiv.org/abs/2503.17132</t>
  </si>
  <si>
    <t>Temporal-Guided Spiking Neural Networks for Event-Based Human Action Recognition</t>
  </si>
  <si>
    <t>https://arxiv.org/abs/2503.17499</t>
  </si>
  <si>
    <t>Event-Based Crossing Dataset (EBCD)</t>
  </si>
  <si>
    <t>https://arxiv.org/abs/2503.18341</t>
  </si>
  <si>
    <t>PS-EIP: Robust Photometric Stereo Based on Event Interval Profile</t>
  </si>
  <si>
    <t>https://arxiv.org/abs/2503.18552</t>
  </si>
  <si>
    <t>EvAnimate: Event-conditioned Image-to-Video Generation for Human Animation</t>
  </si>
  <si>
    <t>https://arxiv.org/abs/2503.19721</t>
  </si>
  <si>
    <t>EventMamba: Enhancing Spatio-Temporal Locality with State Space Models for Event-Based Video Reconstruction</t>
  </si>
  <si>
    <t>https://arxiv.org/abs/2503.19739</t>
  </si>
  <si>
    <t>FUSE: Label-Free Image-Event Joint Monocular Depth Estimation via Frequency-Decoupled Alignment and Degradation-Robust Fusion</t>
  </si>
  <si>
    <t>https://arxiv.org/abs/2503.20101</t>
  </si>
  <si>
    <t>EBS-EKF: Accurate and High Frequency Event-based Star Tracking</t>
  </si>
  <si>
    <t>https://arxiv.org/abs/2503.20268</t>
  </si>
  <si>
    <t>EGVD: Event-Guided Video Diffusion Model for Physically Realistic Large-Motion Frame Interpolation</t>
  </si>
  <si>
    <t>https://arxiv.org/abs/2503.22491</t>
  </si>
  <si>
    <t>Coupled Video Frame Interpolation and Encoding with Hybrid Event Cameras for Low-Power High-Framerate Video</t>
  </si>
  <si>
    <t>https://arxiv.org/abs/2503.22814</t>
  </si>
  <si>
    <t>Enhancing Celestial Imaging: High Dynamic Range with Neuromorphic Cameras</t>
  </si>
  <si>
    <t>https://arxiv.org/abs/2503.22943</t>
  </si>
  <si>
    <t>Towards Mobile Sensing with Event Cameras on High-agility Resource-constrained Devices: A Survey</t>
  </si>
  <si>
    <t>https://arxiv.org/abs/2503.22963</t>
  </si>
  <si>
    <t>SuperEIO: Self-Supervised Event Feature Learning for Event Inertial Odometry</t>
  </si>
  <si>
    <t>https://arxiv.org/abs/2503.23685</t>
  </si>
  <si>
    <t>An In-Situ Spatial-Temporal Sequence Detector for Neuromorphic Vision Sensor Empowered by High Density Vertical NAND Storage</t>
  </si>
  <si>
    <t>https://arxiv.org/abs/2503.24210</t>
  </si>
  <si>
    <t>DiET-GS: Diffusion Prior and Event Stream-Assisted Motion Deblurring 3D Gaussian Splatting</t>
  </si>
  <si>
    <t>https://arxiv.org/abs/2504.00370</t>
  </si>
  <si>
    <t>Spatiotemporal Attention Learning Framework for Event-Driven Object Recognition</t>
  </si>
  <si>
    <t>NSENS 2025</t>
  </si>
  <si>
    <t>https://arxiv.org/abs/2504.01257</t>
  </si>
  <si>
    <t>FLAMES: A Hybrid Spiking-State Space Model for Adaptive Memory Retention in Event-Based Learning</t>
  </si>
  <si>
    <t>https://arxiv.org/abs/2504.04451</t>
  </si>
  <si>
    <t>eKalibr-Stereo: Continuous-Time Spatiotemporal Calibration for Event-Based Stereo Visual Systems</t>
  </si>
  <si>
    <t>https://arxiv.org/abs/2504.05679</t>
  </si>
  <si>
    <t>Event-based Civil Infrastructure Visual Defect Detection: ev-CIVIL Dataset and Benchmark</t>
  </si>
  <si>
    <t>https://arxiv.org/abs/2504.07503</t>
  </si>
  <si>
    <t>Event Signal Filtering via Probability Flux Estimation</t>
  </si>
  <si>
    <t>https://arxiv.org/abs/2504.08588</t>
  </si>
  <si>
    <t>Hardware, Algorithms, and Applications of the Neuromorphic Vision Sensor: a Review</t>
  </si>
  <si>
    <t>Sensors 2025</t>
  </si>
  <si>
    <t>https://arxiv.org/abs/2504.09379</t>
  </si>
  <si>
    <t>Low-Light Image Enhancement using Event-Based Illumination Estimation</t>
  </si>
  <si>
    <t>https://arxiv.org/abs/2504.09960</t>
  </si>
  <si>
    <t>Dual-Path Enhancements in Event-Based Eye Tracking: Augmented Robustness and Adaptive Temporal Modeling</t>
  </si>
  <si>
    <t>https://arxiv.org/abs/2504.10012</t>
  </si>
  <si>
    <t>EBAD-Gaussian: Event-driven Bundle Adjusted Deblur Gaussian Splatting</t>
  </si>
  <si>
    <t>https://arxiv.org/abs/2504.10018</t>
  </si>
  <si>
    <t>RGB-Event based Pedestrian Attribute Recognition: A Benchmark Dataset and An Asymmetric RWKV Fusion Framework</t>
  </si>
  <si>
    <t>https://arxiv.org/abs/2504.10984</t>
  </si>
  <si>
    <t>Perturbed State Space Feature Encoders for Optical Flow with Event Cameras</t>
  </si>
  <si>
    <t>https://arxiv.org/abs/2504.12515</t>
  </si>
  <si>
    <t>Event Quality Score (EQS): Assessing the Realism of Simulated Event Camera Streams via Distance in Latent Space</t>
  </si>
  <si>
    <t>https://arxiv.org/abs/2504.13042</t>
  </si>
  <si>
    <t>Event-Enhanced Blurry Video Super-Resolution</t>
  </si>
  <si>
    <t>https://arxiv.org/abs/2504.13349</t>
  </si>
  <si>
    <t>A Multisensory Approach to Probing Scattering Media</t>
  </si>
  <si>
    <t>https://arxiv.org/abs/2504.13692</t>
  </si>
  <si>
    <t>Zebrafish Counting Using Event Stream Data</t>
  </si>
  <si>
    <t>https://arxiv.org/abs/2504.15371</t>
  </si>
  <si>
    <t>Event2Vec: Processing neuromorphic events directly by representations in vector space</t>
  </si>
  <si>
    <t>https://arxiv.org/abs/2504.15863</t>
  </si>
  <si>
    <t>DERD-Net: Learning Depth from Event-based Ray Densities</t>
  </si>
  <si>
    <t>NeurIPS 2025</t>
  </si>
  <si>
    <t>https://arxiv.org/abs/2504.16616</t>
  </si>
  <si>
    <t>EHGCN: Hierarchical Euclidean-Hyperbolic Fusion via Motion-Aware GCN for Hybrid Event Stream Perception</t>
  </si>
  <si>
    <t>https://arxiv.org/abs/2504.16740</t>
  </si>
  <si>
    <t>GS2E: Gaussian Splatting is an Effective Data Generator for Event Stream Generation</t>
  </si>
  <si>
    <t>https://arxiv.org/abs/2504.18249</t>
  </si>
  <si>
    <t>Event-based eye tracking. 2025 Even-based Vision Workshop</t>
  </si>
  <si>
    <t>https://arxiv.org/abs/2504.19253</t>
  </si>
  <si>
    <t>Quantitative evaluation of brain-inspired vision sensors in high-speed robotic perception</t>
  </si>
  <si>
    <t>https://arxiv.org/abs/2504.19417</t>
  </si>
  <si>
    <t>A Real-Time Event-Based Normal Flow Estimator</t>
  </si>
  <si>
    <t>https://arxiv.org/abs/2504.20736</t>
  </si>
  <si>
    <t>A Survey on Event-based Optical Marker Systems</t>
  </si>
  <si>
    <t>https://arxiv.org/abs/2505.01548</t>
  </si>
  <si>
    <t>Rethinking RGB-Event Semantic Segmentation with a Novel Bidirectional Motion-enhanced Event Representation</t>
  </si>
  <si>
    <t>https://arxiv.org/abs/2505.02393</t>
  </si>
  <si>
    <t>Uncertainty-Weighted Image-Event Multimodal Fusion for Video Anomaly Detection</t>
  </si>
  <si>
    <t>https://arxiv.org/abs/2505.02593</t>
  </si>
  <si>
    <t>DELTA: Dense Depth from Events and LiDAR using Transformer's Attention</t>
  </si>
  <si>
    <t>https://arxiv.org/abs/2505.03116</t>
  </si>
  <si>
    <t>TimeTracker: Event-based Continuous Point Tracking for Video Frame Interpolation with Non-linear Motion</t>
  </si>
  <si>
    <t>https://arxiv.org/abs/2505.04657</t>
  </si>
  <si>
    <t>EvEnhancer: Empowering Effectiveness, Efficiency and Generalizability for Continuous Space-Time Video Super-Resolution with Events</t>
  </si>
  <si>
    <t>https://arxiv.org/abs/2505.05089</t>
  </si>
  <si>
    <t>Nonlinear Motion-Guided and Spatio-Temporal Aware Network for Unsupervised Event-Based Optical Flow</t>
  </si>
  <si>
    <t>https://arxiv.org/abs/2505.05307</t>
  </si>
  <si>
    <t>PRE-Mamba: A 4D State Space Model for Ultra-High-Frequent Event Camera Deraining</t>
  </si>
  <si>
    <t>https://arxiv.org/abs/2505.05391</t>
  </si>
  <si>
    <t>EDmamba: A Simple yet Effective Event Denoising Method with State Space Model</t>
  </si>
  <si>
    <t>https://arxiv.org/abs/2505.05488</t>
  </si>
  <si>
    <t>From Events to Enhancement: A Survey on Event-Based Imaging Technologies</t>
  </si>
  <si>
    <t>https://arxiv.org/abs/2505.06602</t>
  </si>
  <si>
    <t>Removing constraints of 4D-STEM with a framework for event-driven acquisition and processing</t>
  </si>
  <si>
    <t>https://arxiv.org/abs/2505.07556</t>
  </si>
  <si>
    <t>Self-Supervised Event Representations: Towards Accurate, Real-Time Perception on SoC FPGAs</t>
  </si>
  <si>
    <t>SPIE 2025</t>
  </si>
  <si>
    <t>https://arxiv.org/abs/2505.07661</t>
  </si>
  <si>
    <t xml:space="preserve">Hierarchical Sparse Attention Framework for Computationally Efficient Classification of Biological Cells </t>
  </si>
  <si>
    <t>https://arxiv.org/abs/2505.07715</t>
  </si>
  <si>
    <t>Hybrid Spiking Vision Transformer for Object Detection with Event Cameras</t>
  </si>
  <si>
    <t>https://arxiv.org/abs/2505.08126</t>
  </si>
  <si>
    <t>Asynchronous Multi-Object Tracking with an Event Camera</t>
  </si>
  <si>
    <t>https://arxiv.org/abs/2505.08438</t>
  </si>
  <si>
    <t>A Survey of 3D Reconstruction with Event Cameras</t>
  </si>
  <si>
    <t>https://arxiv.org/abs/2505.11116</t>
  </si>
  <si>
    <t>Planar Velocity Estimation for Fast-Moving Mobile Robots Using Event-Based Optical Flow</t>
  </si>
  <si>
    <t>https://arxiv.org/abs/2505.11282</t>
  </si>
  <si>
    <t>MTevent: A Multi-Task Event Camera Dataset for 6D Pose Estimation and Moving Object Detection</t>
  </si>
  <si>
    <t>https://arxiv.org/abs/2505.11433</t>
  </si>
  <si>
    <t>Neuromorphic Imaging Flow Cytometry combined with Adaptive Recurrent Spiking Neural Networks</t>
  </si>
  <si>
    <t>https://arxiv.org/abs/2505.12026</t>
  </si>
  <si>
    <t>A VCSEL based Photonic Neuromorphic Processor for Event-Based Imaging Flow Cytometry Applications</t>
  </si>
  <si>
    <t>https://arxiv.org/abs/2505.12588</t>
  </si>
  <si>
    <t>Event-based Star Tracking under Spacecraft Jitter: the e-STURT Dataset</t>
  </si>
  <si>
    <t>https://arxiv.org/abs/2505.15412v1</t>
  </si>
  <si>
    <t>Evaluation of Mobile Environment for Vehicular Visible Light Communication Using Multiple LEDs and Event Cameras</t>
  </si>
  <si>
    <t>IEEE IV 2025</t>
  </si>
  <si>
    <t>https://arxiv.org/abs/2505.18899</t>
  </si>
  <si>
    <t>Beyond Domain Randomization: Event-Inspired Perception for Visually Robust Adversarial Imitation from Videos</t>
  </si>
  <si>
    <t>ICCVW 2025</t>
  </si>
  <si>
    <t>https://arxiv.org/abs/2505.19938</t>
  </si>
  <si>
    <t>Multi-Timescale Motion-Decoupled Spiking Transformer for Audio-Visual Zero-Shot Learning</t>
  </si>
  <si>
    <t>TCSVT 2025</t>
  </si>
  <si>
    <t>https://arxiv.org/abs/2505.21187</t>
  </si>
  <si>
    <t>Making Every Event Count: Balancing Data Efficiency and Accuracy in Event Camera Subsampling</t>
  </si>
  <si>
    <t>https://arxiv.org/abs/2506.00578</t>
  </si>
  <si>
    <t>Event-based multi-view photogrammetry for high-dynamic, high-velocity target measurement</t>
  </si>
  <si>
    <t>AMS 2025</t>
  </si>
  <si>
    <t>https://arxiv.org/abs/2506.02547</t>
  </si>
  <si>
    <t>https://arxiv.org/abs/2506.04048</t>
  </si>
  <si>
    <t>EV-Flying: an Event-based Dataset for In-The-Wild Recognition of Flying Objects</t>
  </si>
  <si>
    <t>https://arxiv.org/abs/2506.05163v1/</t>
  </si>
  <si>
    <t>FRED: The Florence RGB-Event Drone Dataset</t>
  </si>
  <si>
    <t>https://arxiv.org/abs/2506.06016</t>
  </si>
  <si>
    <t>Equivariant Filter for Relative Attitude and Target Angular Velocity Estimation</t>
  </si>
  <si>
    <t>https://arxiv.org/abs/2506.06120</t>
  </si>
  <si>
    <t>Bidirectional Image-Event Guided Low-Light Image Enhancement</t>
  </si>
  <si>
    <t>https://arxiv.org/abs/2506.06918</t>
  </si>
  <si>
    <t>Reading in the Dark with Foveated Event Vision</t>
  </si>
  <si>
    <t>https://arxiv.org/abs/2506.07627</t>
  </si>
  <si>
    <t>Event-Priori-Based Vision-Language Model for Efficient Visual Understanding</t>
  </si>
  <si>
    <t>https://arxiv.org/abs/2506.07860</t>
  </si>
  <si>
    <t>Egocentric Event-Based Vision for Ping Pong Ball Trajectory Prediction</t>
  </si>
  <si>
    <t>https://arxiv.org/abs/2506.07878</t>
  </si>
  <si>
    <t>Spatio-Temporal State Space Model For Efficient Event-Based Optical Flow</t>
  </si>
  <si>
    <t>https://arxiv.org/abs/2506.08327</t>
  </si>
  <si>
    <t>Locating Tennis Ball Impact on the Racket in Real Time Using an Event Camera</t>
  </si>
  <si>
    <t>https://arxiv.org/abs/2506.09098</t>
  </si>
  <si>
    <t>WD-DETR: Wavelet Denoising-Enhanced Real-Time Object Detection Transformer for Robot Perception with Event Cameras</t>
  </si>
  <si>
    <t>https://arxiv.org/abs/2506.10790</t>
  </si>
  <si>
    <t>Human-Robot Navigation using Event-based Cameras and Reinforcement Learning</t>
  </si>
  <si>
    <t>https://arxiv.org/abs/2506.13440</t>
  </si>
  <si>
    <t>Sparse Convolutional Recurrent Learning for Efficient Event-based Neuromorphic Object Detection</t>
  </si>
  <si>
    <t>IJCNN 2025</t>
  </si>
  <si>
    <t>https://arxiv.org/abs/2506.13722</t>
  </si>
  <si>
    <t>How Real is CARLAs Dynamic Vision Sensor? A Study on the Sim-to-Real Gap in Traffic Object Detection</t>
  </si>
  <si>
    <t>CVIP 2025</t>
  </si>
  <si>
    <t>https://arxiv.org/abs/2506.14272</t>
  </si>
  <si>
    <t>GHz spiking neuromorphic photonic chip with in-situ training</t>
  </si>
  <si>
    <t>https://arxiv.org/abs/2506.20222</t>
  </si>
  <si>
    <t>Dynamic Bandwidth Allocation for Hybrid Event-RGB Transmission</t>
  </si>
  <si>
    <t>https://arxiv.org/abs/2506.23078</t>
  </si>
  <si>
    <t>Event-based Stereo Visual-Inertial Odometry with Voxel Map</t>
  </si>
  <si>
    <t>https://arxiv.org/abs/2506.23157</t>
  </si>
  <si>
    <t>STD-GS: Exploring Frame-Event Interaction for SpatioTemporal-Disentangled Gaussian Splatting to Reconstruct High-Dynamic Scene</t>
  </si>
  <si>
    <t>https://arxiv.org/abs/2506.23575</t>
  </si>
  <si>
    <t>Event-based Tiny Object Detection: A Benchmark Dataset and Baselines</t>
  </si>
  <si>
    <t>https://arxiv.org/abs/2506.23783</t>
  </si>
  <si>
    <t>Mamba-FETrack V2: Revisiting State Space Model for Frame-Event based Visual Object Tracking</t>
  </si>
  <si>
    <t>https://arxiv.org/abs/2507.03184</t>
  </si>
  <si>
    <t>EvRWKV: A RWKV Framework for Effective Event-guided Low-Light Image Enhancement</t>
  </si>
  <si>
    <t>https://arxiv.org/abs/2507.03365</t>
  </si>
  <si>
    <t>Label-Free Long-Horizon 3D UAV Trajectory Prediction via Motion-Aligned RGB and Event Cues</t>
  </si>
  <si>
    <t>https://arxiv.org/abs/2507.03765</t>
  </si>
  <si>
    <t>Efficient Event-Based Semantic Segmentation via Exploiting Frame-Event Fusion: A Hybrid Neural Network Approach</t>
  </si>
  <si>
    <t>https://arxiv.org/abs/2507.05728</t>
  </si>
  <si>
    <t>Asynchronous Event Error-Minimizing Noise for Safeguarding Event Dataset</t>
  </si>
  <si>
    <t>https://arxiv.org/abs/2507.06459</t>
  </si>
  <si>
    <t>EA: An Event Autoencoder for High-Speed Vision Sensing</t>
  </si>
  <si>
    <t>https://arxiv.org/abs/2507.09469v2</t>
  </si>
  <si>
    <t>mmE-Loc: Facilitating Accurate Drone Landing with Ultra-High-Frequency Localization</t>
  </si>
  <si>
    <t>https://arxiv.org/abs/2507.11302</t>
  </si>
  <si>
    <t>All Eyes, no IMU: Learning Flight Attitude from Vision Alone</t>
  </si>
  <si>
    <t>https://arxiv.org/abs/2507.11910</t>
  </si>
  <si>
    <t>SEPose: A Synthetic Event-based Human Pose Estimation Dataset for Pedestrian Monitoring</t>
  </si>
  <si>
    <t>ITSC 2025</t>
  </si>
  <si>
    <t>https://arxiv.org/abs/2507.17664</t>
  </si>
  <si>
    <t>Talk2Event: Grounded Understanding of Dynamic Scenes from Event Cameras</t>
  </si>
  <si>
    <t>https://arxiv.org/abs/2507.19914</t>
  </si>
  <si>
    <t>High-Speed Event Vision-Based Tactile Roller Sensor for Large Surface Measurements</t>
  </si>
  <si>
    <t>https://arxiv.org/abs/2507.19948v1</t>
  </si>
  <si>
    <t>UniCT Depth: Event-Image Fusion Based Monocular Depth Estimation with Convolution-Compensated ViT Dual SA Block</t>
  </si>
  <si>
    <t>https://arxiv.org/abs/2507.20901</t>
  </si>
  <si>
    <t>Event-Based De-Snowing for Autonomous Driving</t>
  </si>
  <si>
    <t>https://arxiv.org/abs/2507.21971</t>
  </si>
  <si>
    <t>EIFNet: Leveraging Event-Image Fusion for Robust Semantic Segmentation</t>
  </si>
  <si>
    <t>https://arxiv.org/abs/2508.00308</t>
  </si>
  <si>
    <t>Exploring Fourier Prior and Event Collaboration for Low-Light Image Enhancement</t>
  </si>
  <si>
    <t>MM 2025</t>
  </si>
  <si>
    <t>https://arxiv.org/abs/2508.01842</t>
  </si>
  <si>
    <t>OmniEvent: Unified Event Representation Learning</t>
  </si>
  <si>
    <t>https://arxiv.org/abs/2508.02238</t>
  </si>
  <si>
    <t>An Event-based Fast Intensity Reconstruction Scheme for UAV Real-time Perception</t>
  </si>
  <si>
    <t>https://arxiv.org/abs/2508.02288</t>
  </si>
  <si>
    <t>Unleashing the Temporal Potential of Stereo Event Cameras for Continuous-Time 3D Object Detection</t>
  </si>
  <si>
    <t>https://arxiv.org/abs/2508.03244v1/</t>
  </si>
  <si>
    <t>Ultralight Polarity-Split Neuromorphic SNN for Event-Stream Super-Resolution</t>
  </si>
  <si>
    <t>https://arxiv.org/abs/2508.03609</t>
  </si>
  <si>
    <t>evTransFER: A Transfer Learning Framework for Event-based Facial Expression Recognition</t>
  </si>
  <si>
    <t>https://arxiv.org/abs/2508.04564</t>
  </si>
  <si>
    <t>Drone Detection with Event Cameras</t>
  </si>
  <si>
    <t>https://arxiv.org/abs/2508.05507</t>
  </si>
  <si>
    <t>Revealing Latent Information: A Physics-inspired Self-supervised Pre-training Framework for Noisy and Sparse Events</t>
  </si>
  <si>
    <t>https://arxiv.org/abs/2508.07003</t>
  </si>
  <si>
    <t>EGS-SLAM: RGB-D Gaussian Splatting SLAM with Events</t>
  </si>
  <si>
    <t>https://arxiv.org/abs/2508.07401</t>
  </si>
  <si>
    <t>LET-US: Long Event-Text Understanding of Scenes</t>
  </si>
  <si>
    <t>https://arxiv.org/abs/2508.10582</t>
  </si>
  <si>
    <t>EvTurb: Event Camera Guided Turbulence Removal</t>
  </si>
  <si>
    <t>https://arxiv.org/abs/2508.11640</t>
  </si>
  <si>
    <t>Vibe2Spike: Batteryless Wireless Tags for Vibration Sensing with Event Cameras and Spiking Networks</t>
  </si>
  <si>
    <t>ICONS 2025</t>
  </si>
  <si>
    <t>https://arxiv.org/abs/2508.14682</t>
  </si>
  <si>
    <t>GeMS: Efficient Gaussian Splatting for Extreme Motion Blur</t>
  </si>
  <si>
    <t>https://arxiv.org/abs/2508.14856</t>
  </si>
  <si>
    <t>EventSSEG: Event-driven Self-Supervised Segmentation with Probabilistic Attention</t>
  </si>
  <si>
    <t>https://arxiv.org/abs/2508.17537</t>
  </si>
  <si>
    <t>Minimal Solvers for Full DoF Motion Estimation from Asynchronous Tracks</t>
  </si>
  <si>
    <t>https://arxiv.org/abs/2508.17643</t>
  </si>
  <si>
    <t>SEBVS: Synthetic Event-based Visual Servoing for Robot Navigation and Manipulation</t>
  </si>
  <si>
    <t>https://arxiv.org/abs/2508.18071</t>
  </si>
  <si>
    <t>EventTracer: Fast Path Tracing-based Event Stream Rendering</t>
  </si>
  <si>
    <t>https://arxiv.org/abs/2508.19094</t>
  </si>
  <si>
    <t>VibES: Induced Vibration for Persistent Event-based Sensing</t>
  </si>
  <si>
    <t>https://arxiv.org/abs/2508.20594</t>
  </si>
  <si>
    <t>UTA-Sign: Unsupervised Thermal Video Augmentation via Event-Assisted Traffic Signage Sketching</t>
  </si>
  <si>
    <t>https://arxiv.org/abs/2509.03808</t>
  </si>
  <si>
    <t>EGTM: Event-guided Efficient Turbulence Mitigation</t>
  </si>
  <si>
    <t>https://arxiv.org/abs/2509.03872</t>
  </si>
  <si>
    <t>Focus Through Motion: RGB-Event Collaborative Token Sparsification for Efficient Object Detection</t>
  </si>
  <si>
    <t>https://arxiv.org/abs/2509.04117</t>
  </si>
  <si>
    <t>DVS-PedX: Synthetic-and-Real Event-Based Pedestrian Dataset</t>
  </si>
  <si>
    <t>https://arxiv.org/abs/2509.06741</t>
  </si>
  <si>
    <t>Event Spectroscopy: Event-based Multispectral and Depth Sensing using Structured Light</t>
  </si>
  <si>
    <t>https://arxiv.org/abs/2509.06767</t>
  </si>
  <si>
    <t>Raw2Event: Converting Raw Frame Camera into Event Camera</t>
  </si>
  <si>
    <t>https://arxiv.org/abs/2509.07525</t>
  </si>
  <si>
    <t>EHWGesture -- A dataset for multimodal understanding of clinical gestures</t>
  </si>
  <si>
    <t>https://arxiv.org/abs/2509.08260</t>
  </si>
  <si>
    <t>EVDI++: Event-based Video Deblurring and Interpolation via Self-Supervised Learning</t>
  </si>
  <si>
    <t>https://arxiv.org/abs/2509.08794</t>
  </si>
  <si>
    <t>Quantifying Accuracy of an Event-Based Star Tracker via Earth's Rotation</t>
  </si>
  <si>
    <t>https://arxiv.org/abs/2509.09546</t>
  </si>
  <si>
    <t>A Neuromorphic Incipient Slip Detection System using Papillae Morphology</t>
  </si>
  <si>
    <t>https://arxiv.org/abs/2509.09584</t>
  </si>
  <si>
    <t>Visual Grounding from Event Cameras</t>
  </si>
  <si>
    <t>https://arxiv.org/abs/2509.12959</t>
  </si>
  <si>
    <t>Time-step Mixup for Efficient Spiking Knowledge Transfer from Appearance to Event Domain</t>
  </si>
  <si>
    <t>https://arxiv.org/abs/2509.13784</t>
  </si>
  <si>
    <t>CETUS: Causal Event-Driven Temporal Modeling With Unified Variable-Rate Scheduling</t>
  </si>
  <si>
    <t>https://arxiv.org/abs/2509.13883</t>
  </si>
  <si>
    <t>EvHand-FPV: Efficient Event-Based 3D Hand Tracking from First-Person View</t>
  </si>
  <si>
    <t>IROSW 2025</t>
  </si>
  <si>
    <t>https://arxiv.org/abs/2509.15224</t>
  </si>
  <si>
    <t>Depth AnyEvent: A Cross-Modal Distillation Paradigm for Event-Based Monocular Depth Estimation</t>
  </si>
  <si>
    <t>https://arxiv.org/abs/2509.16949</t>
  </si>
  <si>
    <t>Leveraging RGB Images for Pre-Training of Event-Based Hand Pose Estimation</t>
  </si>
  <si>
    <t>https://arxiv.org/abs/2509.17287</t>
  </si>
  <si>
    <t>Event-Based Visual Teach-and-Repeat via Fast Fourier-Domain Cross-Correlation</t>
  </si>
  <si>
    <t>https://arxiv.org/abs/2509.18184</t>
  </si>
  <si>
    <t>URNet: Uncertainty-aware Refinement Network for Event-based Stereo Depth Estimation</t>
  </si>
  <si>
    <t>VIJ 2025</t>
  </si>
  <si>
    <t>https://arxiv.org/abs/2509.18566</t>
  </si>
  <si>
    <t>Event-guided 3D Gaussian Splatting for Dynamic Human and Scene Reconstruction</t>
  </si>
  <si>
    <t>https://arxiv.org/abs/2509.18898</t>
  </si>
  <si>
    <t>DeblurSplat: SfM-free 3D Gaussian Splatting with Event Camera for Robust Deblurring</t>
  </si>
  <si>
    <t>https://arxiv.org/abs/2509.19156</t>
  </si>
  <si>
    <t>NeuCODEX: Edge-Cloud Co-Inference with Spike-Driven Compression and Dynamic Early-Exit</t>
  </si>
  <si>
    <t>ICMLA 2025</t>
  </si>
  <si>
    <t>https://arxiv.org/abs/2509.19192</t>
  </si>
  <si>
    <t>An on-chip Pixel Processing Approach with 2.4μs latency for Asynchronous Read-out of SPAD-based dToF Flash LiDARs</t>
  </si>
  <si>
    <t>https://arxiv.org/abs/2509.22094</t>
  </si>
  <si>
    <t>Event-based Speckle Interrogation for High-Bandwidth Multi-point Optical Fiber Sensing</t>
  </si>
  <si>
    <t>https://arxiv.org/abs/2509.22481</t>
  </si>
  <si>
    <t>PSTTS: A Plug-and-Play Token Selector for Efficient Event-based Spatio-temporal Representation Learning</t>
  </si>
  <si>
    <t>https://arxiv.org/abs/2509.25146</t>
  </si>
  <si>
    <t>Fast Feature Field (F3): A Predictive Representation of Events</t>
  </si>
  <si>
    <t>https://arxiv.org/abs/2510.00681</t>
  </si>
  <si>
    <t>Adaptive Event Stream Slicing for Open-Vocabulary Event-Based Object Detection via Vision-Language Knowledge Distillation</t>
  </si>
  <si>
    <t>https://arxiv.org/abs/2510.02989</t>
  </si>
  <si>
    <t>Transport of Event Equation: Phase Retrieval from Defocus Events</t>
  </si>
  <si>
    <t>https://arxiv.org/abs/2510.03833</t>
  </si>
  <si>
    <t>Towards Robust and Generalizable Continuous Space-Time Video Super-Resolution with Events</t>
  </si>
  <si>
    <t>https://arxiv.org/abs/2510.06829v1</t>
  </si>
  <si>
    <t>Lattice-allocated Real-time Line Segment Feature Detection and Tracking Using Only an Event-based Camera</t>
  </si>
  <si>
    <t>https://arxiv.org/abs/2510.07752</t>
  </si>
  <si>
    <t>DEGS: Deformable Event-based 3D Gaussian Splatting from RGB and Event Stream</t>
  </si>
  <si>
    <t>TVCG 2025</t>
  </si>
  <si>
    <t>https://arxiv.org/abs/2510.10577</t>
  </si>
  <si>
    <t>Injecting Frame-Event Complementary Fusion into Diffusion for Optical Flow in Challenging Scenes</t>
  </si>
  <si>
    <t>https://arxiv.org/abs/2510.12102</t>
  </si>
  <si>
    <t>SpikePool: Event-driven Spiking Transformer with Pooling Attention</t>
  </si>
  <si>
    <t>https://arxiv.org/abs/2510.12753</t>
  </si>
  <si>
    <t>E-MoFlow: Learning Egomotion and Optical Flow from Event Data via Implicit Regularization</t>
  </si>
  <si>
    <t>https://arxiv.org/abs/2510.14245</t>
  </si>
  <si>
    <t>Event Interval Modulation: A Novel Scheme for Event-based Optical Camera Communication</t>
  </si>
  <si>
    <t>https://arxiv.org/abs/2510.14266</t>
  </si>
  <si>
    <t>Experimental Demonstration of Event-based Optical Camera Communication in Long-Range Outdoor Environment</t>
  </si>
  <si>
    <t>https://arxiv.org/abs/2510.14770</t>
  </si>
  <si>
    <t>MoCom: Motion-based Inter-MAV Visual Communication Using Event Vision and Spiking Neural Networks</t>
  </si>
  <si>
    <t>https://arxiv.org/abs/2510.17203</t>
  </si>
  <si>
    <t>Performance Evaluation of an Integrated System for Visible Light Communication and Positioning Using an Event Camera</t>
  </si>
  <si>
    <t>APCC 2025</t>
  </si>
  <si>
    <t>https://arxiv.org/abs/2510.17347</t>
  </si>
  <si>
    <t>Exploring The Missing Semantics In Event Modality</t>
  </si>
  <si>
    <t>https://arxiv.org/abs/2510.19560</t>
  </si>
  <si>
    <t>HAD: Hierarchical Asymmetric Distillation to Bridge Spatio-Temporal Gaps in Event-Based Object Tracking</t>
  </si>
  <si>
    <t>https://arxiv.org/abs/2510.20071v1</t>
  </si>
  <si>
    <t>Filter-Based Reconstruction of Images from Events</t>
  </si>
  <si>
    <t>https://arxiv.org/abs/2510.22565</t>
  </si>
  <si>
    <t>Learning Event-guided Exposure-agnostic Video Frame Interpolation via Adaptive Feature Blending</t>
  </si>
  <si>
    <t>https://arxiv.org/abs/2510.24231</t>
  </si>
  <si>
    <t>Benchmarking Microsaccade Recognition with Event Cameras: A Novel Dataset and Evaluation</t>
  </si>
  <si>
    <t>https://arxiv.org/abs/2511.01381</t>
  </si>
  <si>
    <t>EREBUS: End-to-end Robust Event Based Underwater Simulation</t>
  </si>
  <si>
    <t>ICRAW 2025</t>
  </si>
  <si>
    <t>https://arxiv.org/abs/2511.02180</t>
  </si>
  <si>
    <t>Autobiasing Event Cameras for Flickering Mitigation</t>
  </si>
  <si>
    <t>https://arxiv.org/abs/2511.02953</t>
  </si>
  <si>
    <t>EvtSlowTV-A Large and Diverse Dataset for Event-Based Depth Estimation</t>
  </si>
  <si>
    <t>https://arxiv.org/abs/2511.04779</t>
  </si>
  <si>
    <t>EETnet: a CNN for Gaze Detection and Tracking for Smart-Eyewear</t>
  </si>
  <si>
    <t>https://arxiv.org/abs/2511.05467</t>
  </si>
  <si>
    <t>EventFlow: Real-Time Neuromorphic Event-Driven Classification of Two-Phase Boiling Flow Regimes</t>
  </si>
  <si>
    <t>https://arxiv.org/abs/2511.06238</t>
  </si>
  <si>
    <t>Temporal-Guided Visual Foundation Models for Event-Based Vision</t>
  </si>
  <si>
    <t>https://arxiv.org/abs/2511.06591</t>
  </si>
  <si>
    <t>Events Meet Phase-Shifting Digital Holography: Practical Acquisition, Theory, and Algorithms</t>
  </si>
  <si>
    <t>https://arxiv.org/abs/2511.08065</t>
  </si>
  <si>
    <t>I2E: Real-Time Image-to-Event Conversion for High-Performance Spiking Neural Networks</t>
  </si>
  <si>
    <t>https://arxiv.org/abs/2511.08140</t>
  </si>
  <si>
    <t>PEOD: A Pixel-Aligned Event-RGB Benchmark for Object Detection under Challenging Conditions</t>
  </si>
  <si>
    <t>https://arxiv.org/abs/2511.11344</t>
  </si>
  <si>
    <t>YCB-Ev SD: Synthetic event-vision dataset for 6DoF object pose estimation</t>
  </si>
  <si>
    <t>https://arxiv.org/abs/2511.11944</t>
  </si>
  <si>
    <t>From Events to Clarity: The Event-Guided Diffusion Framework for Dehazing</t>
  </si>
  <si>
    <t>https://arxiv.org/abs/2511.12095</t>
  </si>
  <si>
    <t>Learning from Dense Events: Towards Fast Spiking Neural Networks Training via Event Dataset Distillation</t>
  </si>
  <si>
    <t>https://arxiv.org/abs/2511.12150</t>
  </si>
  <si>
    <t>Breaking the Modality Wall: Time-step Mixup for Efficient Spiking Knowledge Transfer from Static to Event Domain</t>
  </si>
  <si>
    <t>https://arxiv.org/abs/2511.12291</t>
  </si>
  <si>
    <t>One target to align them all: LiDAR, RGB and event cameras extrinsic calibration for Autonomous Driving</t>
  </si>
  <si>
    <t>https://arxiv.org/abs/2511.13100</t>
  </si>
  <si>
    <t>Count Every Rotation and Every Rotation Counts: Exploring Drone Dynamics via Propeller Sensing</t>
  </si>
  <si>
    <t>ACM SenSys 2026</t>
  </si>
  <si>
    <t>https://arxiv.org/abs/2511.14469</t>
  </si>
  <si>
    <t>CompEvent: Complex-valued Event-RGB Fusion for Low-light Video Enhancement and Deblurring</t>
  </si>
  <si>
    <t>https://arxiv.org/abs/2511.15556</t>
  </si>
  <si>
    <t>Event-based Data Format Standard (EVT+)</t>
  </si>
  <si>
    <t>https://arxiv.org/abs/2511.17116</t>
  </si>
  <si>
    <t>PEGS: Physics-Event Enhanced Large Spatiotemporal Motion Reconstruction via 3D Gaussian Splatting</t>
  </si>
  <si>
    <t>https://arxiv.org/abs/2511.17492</t>
  </si>
  <si>
    <t>EvDiff: High Quality Video with an Event Camera</t>
  </si>
  <si>
    <t>https://arxiv.org/abs/2511.18015</t>
  </si>
  <si>
    <t>On the stability of event-based control with neuronal dynamics</t>
  </si>
  <si>
    <t>https://arxiv.org/abs/2511.18448</t>
  </si>
  <si>
    <t>EventBench: Towards Comprehensive Benchmarking of Event-based MLLMs</t>
  </si>
  <si>
    <t>https://arxiv.org/abs/2511.21439</t>
  </si>
  <si>
    <t>EvRainDrop: HyperGraph-guided Completion for Effective Frame and Event Stream Aggregation</t>
  </si>
  <si>
    <t>https://arxiv.org/abs/2512.02346</t>
  </si>
  <si>
    <t>Near-Memory Architecture for Threshold-Ordinal Surface-Based Corner Detection of Event Cameras</t>
  </si>
  <si>
    <t>https://arxiv.org/abs/2512.03216</t>
  </si>
  <si>
    <t>Kaleidoscopic Scintillation Event Imaging</t>
  </si>
  <si>
    <t>https://arxiv.org/abs/2512.05906</t>
  </si>
  <si>
    <t>EventQueues: Autodifferentiable spike event queues for brain simulation on AI accelerators</t>
  </si>
  <si>
    <t>https://arxiv.org/abs/2512.08244</t>
  </si>
  <si>
    <t>1024-Channel 0.8V 23.9-nW/Channel Event-based Compute In-memory Neural Spike Detector</t>
  </si>
  <si>
    <t>https://arxiv.org/abs/2512.09592</t>
  </si>
  <si>
    <t>CS3D: An Efficient Facial Expression Recognition via Event Vision</t>
  </si>
  <si>
    <t>https://arxiv.org/abs/2512.11510</t>
  </si>
  <si>
    <t>Reconstruction as a Bridge for Event-Based Visual Question Answering</t>
  </si>
  <si>
    <t>https://arxiv.org/abs/2512.14595</t>
  </si>
  <si>
    <t>TUMTraf EMOT: Event-Based Multi-Object Tracking Dataset and Baseline for Traffic Scenarios</t>
  </si>
  <si>
    <t>https://arxiv.org/abs/2512.16178</t>
  </si>
  <si>
    <t>Towards Closing the Domain Gap with Event Cameras</t>
  </si>
  <si>
    <t>ACRA 2025</t>
  </si>
  <si>
    <t>https://arxiv.org/abs/2512.17939</t>
  </si>
  <si>
    <t>A 96pJ/Frame/Pixel and 61pJ/Event Anti-UAV System with Hybrid Object Tracking Modes</t>
  </si>
  <si>
    <t>ASSCC 2025</t>
  </si>
  <si>
    <t>https://arxiv.org/abs/2512.18429</t>
  </si>
  <si>
    <t>E-RGB-D: Real-Time Event-Based Perception with Structured Light</t>
  </si>
  <si>
    <t>https://arxiv.org/abs/2512.18640</t>
  </si>
  <si>
    <t>Geometric-Photometric Event-based 3D Gaussian Ray Tracing</t>
  </si>
  <si>
    <t>https://arxiv.org/abs/2512.20073</t>
  </si>
  <si>
    <t>3D Stack In-Sensor-Computing (3DS-ISC): Accelerating Time-Surface Construction for Neuromorphic Event Cameras</t>
  </si>
  <si>
    <t>https://arxiv.org/abs/2512.22474</t>
  </si>
  <si>
    <t>Event-based high temporal resolution measurement of shock wave motion field</t>
  </si>
  <si>
    <t>https://arxiv.org/abs/2512.22979</t>
  </si>
  <si>
    <t>PoseStreamer: A Multi-modal Framework for 6DoF Pose Estimation of Unseen Moving Objects</t>
  </si>
  <si>
    <t>https://arxiv.org/abs/2512.24243v1/</t>
  </si>
  <si>
    <t>MambaSeg: Harnessing Mamba for Accurate and Efficient Image-Event Semantic Segmentation</t>
  </si>
  <si>
    <t>https://arxiv.org/abs/2601.01022</t>
  </si>
  <si>
    <t>Decoupling Amplitude and Phase Attention in Frequency Domain for RGB-Event based Visual Object Tracking</t>
  </si>
  <si>
    <t>preprint 2026</t>
  </si>
  <si>
    <t>https://arxiv.org/abs/2601.02206</t>
  </si>
  <si>
    <t>Seeing the Unseen: Zooming in the Dark with Event Cameras</t>
  </si>
  <si>
    <t>AAAI 2026</t>
  </si>
  <si>
    <t>https://arxiv.org/abs/2601.09248</t>
  </si>
  <si>
    <t>Hybrid guided variational autoencoder for visual place recognition</t>
  </si>
  <si>
    <t>https://arxiv.org/abs/2601.09755</t>
  </si>
  <si>
    <t>Heterogeneous computing platform for real-time robotics</t>
  </si>
  <si>
    <t>https://arxiv.org/abs/2601.10742</t>
  </si>
  <si>
    <t>Line-based Event Preprocessing: Towards Low-Energy Neuromorphic Computer Vision</t>
  </si>
  <si>
    <t>https://arxiv.org/abs/2601.13451</t>
  </si>
  <si>
    <t>Event-based Heterogeneous Information Processing for Online Vision-based Obstacle Detection and Localization</t>
  </si>
  <si>
    <t>https://arxiv.org/abs/2601.13498</t>
  </si>
  <si>
    <t>Optical Linear Systems Framework for Event Sensing and Computational Neuromorphic Imaging</t>
  </si>
  <si>
    <t>https://arxiv.org/abs/2601.14128</t>
  </si>
  <si>
    <t>SandWorm: Event-based Visuotactile Perception with Active Vibration for Screw-Actuated Robot in Granular Media</t>
  </si>
  <si>
    <t>TRO 2026</t>
  </si>
  <si>
    <t>https://arxiv.org/abs/2601.15475</t>
  </si>
  <si>
    <t>Seeing through Light and Darkness: Sensor-Physics Grounded Deblurring HDR NeRF from Single-Exposure Images and Events</t>
  </si>
  <si>
    <t>https://arxiv.org/abs/2601.17391</t>
  </si>
  <si>
    <t>SMV-EAR: Bring Spatiotemporal Multi-View Representation Learning into Efficient Event-Based Action Recognition</t>
  </si>
  <si>
    <t>https://arxiv.org/abs/2601.18583</t>
  </si>
  <si>
    <t>Uncooled Poisson Bolometer for High-Speed Event-Based Long-wave Thermal Imaging</t>
  </si>
  <si>
    <t>https://arxiv.org/abs/2601.19079v1</t>
  </si>
  <si>
    <t>Neuromorphic BrailleNet: Accurate and Generalizable Braille Reading Beyond Single Characters through Event-Based Optical Tactile Sensing</t>
  </si>
  <si>
    <t>https://arxiv.org/html/2307.10593v3</t>
  </si>
  <si>
    <t>Asynchronous Blob Tracker for Event Cameras</t>
  </si>
  <si>
    <t>https://arxiv.org/html/2401.11123v1</t>
  </si>
  <si>
    <t>Uncertainty-aware Bridge based Mobile-Former Network for Event-based Pattern Recognition</t>
  </si>
  <si>
    <t>https://arxiv.org/html/2403.10173v2</t>
  </si>
  <si>
    <t>Efficient Event-Based Object Detection: A Hybrid Neural Network with Spatial and Temporal Attention</t>
  </si>
  <si>
    <t>https://arxiv.org/html/2403.12574v1</t>
  </si>
  <si>
    <t>https://arxiv.org/html/2403.14082v1</t>
  </si>
  <si>
    <t>EventDance: Unsupervised Cross-modal Source-free Adaptation for Event-based Object Recognition</t>
  </si>
  <si>
    <t>https://arxiv.org/html/2404.08858v1</t>
  </si>
  <si>
    <t>A Lightweight Spatiotemporal Network for Online Eye Tracking with Event Camera</t>
  </si>
  <si>
    <t>https://arxiv.org/html/2404.09870v1</t>
  </si>
  <si>
    <t>Table tennis ball spin estimation with an event camera</t>
  </si>
  <si>
    <t>https://arxiv.org/html/2405.06944v1</t>
  </si>
  <si>
    <t>Learning Monocular Depth from Focus with Event Focal Stack</t>
  </si>
  <si>
    <t>SPL 2024</t>
  </si>
  <si>
    <t>https://arxiv.org/html/2405.14959v1</t>
  </si>
  <si>
    <t>EvGGS: A Collaborative Learning Framework for Event-based Generalizable Gaussian Splatting</t>
  </si>
  <si>
    <t>ICML 2024</t>
  </si>
  <si>
    <t>https://arxiv.org/html/2405.18021v1</t>
  </si>
  <si>
    <t>MULi-Ev: Maintaining Unperturbed LiDAR-Event Calibration</t>
  </si>
  <si>
    <t>https://arxiv.org/html/2406.13457v1</t>
  </si>
  <si>
    <t>EvTexture: Event-driven Texture Enhancement for Video Super-Resolution</t>
  </si>
  <si>
    <t>https://arxiv.org/html/2407.05106v1</t>
  </si>
  <si>
    <t>DailyDVS-200: A Comprehensive Benchmark Dataset for Event-Based Action Recognition</t>
  </si>
  <si>
    <t>https://arxiv.org/html/2407.05547v1</t>
  </si>
  <si>
    <t>LaSe-E2V: Towards Language-guided Semantic-Aware Event-to-Video Reconstruction</t>
  </si>
  <si>
    <t>https://arxiv.org/html/2407.20633v1</t>
  </si>
  <si>
    <t>Spiking-DD: Neuromorphic Event Camera based Driver Distraction Detection with Spiking Neural Network</t>
  </si>
  <si>
    <t>IMVIP 2024</t>
  </si>
  <si>
    <t>https://arxiv.org/html/2407.21616v1</t>
  </si>
  <si>
    <t>EZSR: Event-based Zero-Shot Recognition</t>
  </si>
  <si>
    <t>https://arxiv.org/html/2408.10395v1</t>
  </si>
  <si>
    <t>Evaluating Image-Based Face and Eye Tracking with Event Cameras</t>
  </si>
  <si>
    <t>https://arxiv.org/html/2408.10488v1</t>
  </si>
  <si>
    <t>Event Stream based Sign Language Translation: A High-Definition Benchmark Dataset and A New Algorithm</t>
  </si>
  <si>
    <t>https://arxiv.org/html/2408.12976v1</t>
  </si>
  <si>
    <t>Optimal OnTheFly Feedback Control of Event Sensors</t>
  </si>
  <si>
    <t>https://arxiv.org/html/2408.13627v2</t>
  </si>
  <si>
    <t>https://arxiv.org/html/2408.16754v1</t>
  </si>
  <si>
    <t>A compact neuromorphic system for ultra energy-efficient, on-device robot localization</t>
  </si>
  <si>
    <t>https://arxiv.org/html/2409.12778v1</t>
  </si>
  <si>
    <t>EventDance++: Language-guided Unsupervised Source-free Cross-modal Adaptation for Event-based Object Recognition</t>
  </si>
  <si>
    <t>https://arxiv.org/html/2410.16995v1</t>
  </si>
  <si>
    <t>E-3DGS: Gaussian Splatting with Exposure and Motion Events</t>
  </si>
  <si>
    <t>https://arxiv.org/html/2412.09209v1</t>
  </si>
  <si>
    <t>https://arxiv.org/html/2502.02334v1</t>
  </si>
  <si>
    <t>Event-aided Semantic Scene Completion</t>
  </si>
  <si>
    <t>https://arxiv.org/html/2502.04630v1</t>
  </si>
  <si>
    <t>High-Speed Dynamic 3D Imaging with Sensor Fusion Splatting</t>
  </si>
  <si>
    <t>https://arxiv.org/html/2502.18982v1</t>
  </si>
  <si>
    <t>Enhanced Neuromorphic Semantic Segmentation Latency through Stream Event</t>
  </si>
  <si>
    <t>ICONIP 2024</t>
  </si>
  <si>
    <t>https://arxiv.org/html/2503.05112v1</t>
  </si>
  <si>
    <t>THE-SEAN: A Heart Rate Variation-Inspired Temporally High-Order Event-Based Visual Odometry with Self-Supervised Spiking Event Accumulation Networks</t>
  </si>
  <si>
    <t>https://arxiv.org/html/2503.11371v1</t>
  </si>
  <si>
    <t>EMoTive: Event-guided Trajectory Modeling for 3D Motion Estimation</t>
  </si>
  <si>
    <t>https://arxiv.org/html/2503.19135v1</t>
  </si>
  <si>
    <t>Cooperative Control of Multi-Quadrotors for Transporting Cable-Suspended Payloads: Obstacle-Aware Planning and Event-Based Nonlinear Model Predictive Control</t>
  </si>
  <si>
    <t>https://arxiv.org/html/2503.19753v1</t>
  </si>
  <si>
    <t>A Survey on Event-driven 3D Reconstruction: Development under Different Categories</t>
  </si>
  <si>
    <t>https://arxiv.org/html/2503.19916v1</t>
  </si>
  <si>
    <t>EventFly: Event Camera Perception from Ground to the Sky</t>
  </si>
  <si>
    <t>https://arxiv.org/html/2503.22943v1</t>
  </si>
  <si>
    <t>https://arxiv.org/html/2504.02402v1</t>
  </si>
  <si>
    <t>EvMic: Event-based Non-contact sound recovery from effective spatial-temporal modeling</t>
  </si>
  <si>
    <t>https://arxiv.org/html/2504.02803v1</t>
  </si>
  <si>
    <t>Beyond Discretization: A Continuous-Time Framework for Event Generation in Neuromorphic Pixels</t>
  </si>
  <si>
    <t>https://arxiv.org/html/2504.12401v1</t>
  </si>
  <si>
    <t>NTIRE 2025 Challenge on Event-Based Image Deblurring: Methods and Results</t>
  </si>
  <si>
    <t>https://arxiv.org/html/2505.08235v1</t>
  </si>
  <si>
    <t>EventDiff: A Unified and Efficient Diffusion Model Framework for Event-based Video Frame Interpolation</t>
  </si>
  <si>
    <t>https://arxiv.org/html/2505.11232v1</t>
  </si>
  <si>
    <t>AW-GATCN: Adaptive Weighted Graph Attention Convolutional Network for Event Camera Data Joint Denoising and Object Recognition</t>
  </si>
  <si>
    <t>https://arxiv.org/html/2505.12903v1</t>
  </si>
  <si>
    <t>Towards Low-Latency Event Stream-based Visual Object Tracking: A Slow-Fast Approach</t>
  </si>
  <si>
    <t>https://arxiv.org/html/2505.12908v1</t>
  </si>
  <si>
    <t>Dynamic Graph Induced Contour-aware Heat Conduction Network for Event-based Object Detection</t>
  </si>
  <si>
    <t>https://arxiv.org/html/2505.13279v1</t>
  </si>
  <si>
    <t>Event-Driven Dynamic Scene Depth Completion</t>
  </si>
  <si>
    <t>https://arxiv.org/html/2505.13309v1</t>
  </si>
  <si>
    <t>eStonefish-scenes: A synthetically generated dataset for underwater event-based optical flow prediction tasks</t>
  </si>
  <si>
    <t>https://arxiv.org/html/2505.20834v1</t>
  </si>
  <si>
    <t>Fully Spiking Neural Networks for Unified Frame-Event Object Tracking</t>
  </si>
  <si>
    <t>https://arxiv.org/html/2506.22360v1</t>
  </si>
  <si>
    <t>From Ground to Air: Noise Robustness in Vision Transformers and CNNs for Event-Based Vehicle Classification with Potential UAV Applications</t>
  </si>
  <si>
    <t>AVIATION Forum 2025</t>
  </si>
  <si>
    <t>https://arxiv.org/html/2508.14996v1</t>
  </si>
  <si>
    <t>adder-viz: Real-Time Visualization Software for Transcoding Event Video</t>
  </si>
  <si>
    <t>https://arxiv.org/html/2509.08235v1</t>
  </si>
  <si>
    <t>Deep Visual Odometry for Stereo Event Cameras</t>
  </si>
  <si>
    <t>https://arxiv.org/html/2509.14516v1</t>
  </si>
  <si>
    <t>Event-LAB: Towards Standardized Evaluation of Neuromorphic Localization Methods</t>
  </si>
  <si>
    <t>https://arxiv.org/html/2509.24094v1</t>
  </si>
  <si>
    <t>Prepare for Warp Speed: Sub-millisecond Visual Place Recognition Using Event Cameras</t>
  </si>
  <si>
    <t>https://arxiv.org/html/2509.24968v1</t>
  </si>
  <si>
    <t>Event-based Facial Keypoint Alignment via Cross-Modal Fusion Attention and Self-Supervised Multi-Event Representation Learning</t>
  </si>
  <si>
    <t>https://arxiv.org/html/2510.17092v1</t>
  </si>
  <si>
    <t>Event Topology-based Visual Microphone for Amplitude and Frequency Reconstruction</t>
  </si>
  <si>
    <t>https://arxiv.org/pdf/1508.01176.pdf</t>
  </si>
  <si>
    <t>https://arxiv.org/pdf/1510.01972</t>
  </si>
  <si>
    <t>https://arxiv.org/pdf/1606.09433.pdf</t>
  </si>
  <si>
    <t>https://arxiv.org/pdf/1610.08336.pdf</t>
  </si>
  <si>
    <t>https://arxiv.org/pdf/1706.05415.pdf</t>
  </si>
  <si>
    <t>https://arxiv.org/pdf/1706.08713v2.pdf</t>
  </si>
  <si>
    <t>https://arxiv.org/pdf/1710.09820.pdf</t>
  </si>
  <si>
    <t>https://arxiv.org/pdf/1710.10800.pdf</t>
  </si>
  <si>
    <t>https://arxiv.org/pdf/1803.04523.pdf</t>
  </si>
  <si>
    <t>https://arxiv.org/pdf/1804.01306</t>
  </si>
  <si>
    <t>A Unifying Contrast Maximization Framework for Event Cameras, with Applications to Motion, Depth and Optical Flow Estimation</t>
  </si>
  <si>
    <t>https://arxiv.org/pdf/1804.09236.pdf</t>
  </si>
  <si>
    <t>https://arxiv.org/pdf/1805.06140.pdf</t>
  </si>
  <si>
    <t>https://arxiv.org/pdf/1805.06374.pdf</t>
  </si>
  <si>
    <t>https://arxiv.org/pdf/1805.07931</t>
  </si>
  <si>
    <t>https://arxiv.org/pdf/1805.12326.pdf</t>
  </si>
  <si>
    <t>https://arxiv.org/pdf/1807.02851.pdf</t>
  </si>
  <si>
    <t>https://arxiv.org/pdf/1809.00716.pdf</t>
  </si>
  <si>
    <t>Interiornet: Mega-scale multi-sensor photo-realistic indoor scenes dataset</t>
  </si>
  <si>
    <t>https://arxiv.org/pdf/1809.08625.pdf</t>
  </si>
  <si>
    <t>https://arxiv.org/pdf/1810.08646.pdf</t>
  </si>
  <si>
    <t>https://arxiv.org/pdf/1811.07672</t>
  </si>
  <si>
    <t>https://arxiv.org/pdf/1811.07802</t>
  </si>
  <si>
    <t>https://arxiv.org/pdf/1811.07839</t>
  </si>
  <si>
    <t>https://arxiv.org/pdf/1811.10180</t>
  </si>
  <si>
    <t>https://arxiv.org/pdf/1811.10771</t>
  </si>
  <si>
    <t>https://arxiv.org/pdf/1811.11135</t>
  </si>
  <si>
    <t>Real-time high speed motion prediction using fast aperture-robust event-driven visual flow</t>
  </si>
  <si>
    <t>TPAMI 2020</t>
  </si>
  <si>
    <t>https://arxiv.org/pdf/1811.12039.pdf</t>
  </si>
  <si>
    <t>https://arxiv.org/pdf/1812.02041</t>
  </si>
  <si>
    <t>https://arxiv.org/pdf/1812.02895</t>
  </si>
  <si>
    <t>https://arxiv.org/pdf/1812.08156</t>
  </si>
  <si>
    <t>https://arxiv.org/pdf/1903.06531</t>
  </si>
  <si>
    <t>https://arxiv.org/pdf/1903.06923</t>
  </si>
  <si>
    <t>https://arxiv.org/pdf/1903.07067</t>
  </si>
  <si>
    <t>https://arxiv.org/pdf/1903.07520.pdf</t>
  </si>
  <si>
    <t>https://arxiv.org/pdf/1903.07873</t>
  </si>
  <si>
    <t>https://arxiv.org/pdf/1903.11332</t>
  </si>
  <si>
    <t>https://arxiv.org/pdf/1904.04805</t>
  </si>
  <si>
    <t>https://arxiv.org/pdf/1904.07235</t>
  </si>
  <si>
    <t>Focus Is All You Need: Loss Functions For Event-based Vision</t>
  </si>
  <si>
    <t>https://arxiv.org/pdf/1904.08405</t>
  </si>
  <si>
    <t>https://arxiv.org/pdf/1906.02919</t>
  </si>
  <si>
    <t>EVDodgeNet: Deep Dynamic Obstacle Dodging with Event Cameras</t>
  </si>
  <si>
    <t>ICRA 2020</t>
  </si>
  <si>
    <t>https://arxiv.org/pdf/1906.07866.pdf</t>
  </si>
  <si>
    <t>https://arxiv.org/pdf/1906.08859.pdf</t>
  </si>
  <si>
    <t>https://arxiv.org/pdf/1906.10925</t>
  </si>
  <si>
    <t>https://arxiv.org/pdf/1907.07469</t>
  </si>
  <si>
    <t>https://arxiv.org/pdf/1907.07518</t>
  </si>
  <si>
    <t>https://arxiv.org/pdf/1907.07853</t>
  </si>
  <si>
    <t>https://arxiv.org/pdf/1908.11505</t>
  </si>
  <si>
    <t>EventCap: Monocular 3D Capture of High-Speed Human Motions using an Event Camera</t>
  </si>
  <si>
    <t>https://arxiv.org/pdf/1909.02490</t>
  </si>
  <si>
    <t>https://arxiv.org/pdf/1910.03579</t>
  </si>
  <si>
    <t>https://arxiv.org/pdf/1911.04553</t>
  </si>
  <si>
    <t>Towards Low-Latency High-Bandwidth Control of Quadrotors using Event Cameras</t>
  </si>
  <si>
    <t>https://arxiv.org/pdf/1911.08730</t>
  </si>
  <si>
    <t>https://arxiv.org/pdf/1911.12801</t>
  </si>
  <si>
    <t>https://arxiv.org/pdf/1912.01320</t>
  </si>
  <si>
    <t>https://arxiv.org/pdf/1912.01584</t>
  </si>
  <si>
    <t>https://arxiv.org/pdf/2001.01248</t>
  </si>
  <si>
    <t>https://arxiv.org/pdf/2002.06199</t>
  </si>
  <si>
    <t>Effective AER Object Classification Using Segmented Probability-Maximization Learning in Spiking Neural Networks</t>
  </si>
  <si>
    <t>AAAI 2020</t>
  </si>
  <si>
    <t>https://arxiv.org/pdf/2002.10686</t>
  </si>
  <si>
    <t>Globally Optimal Contrast Maximisation for Event-based Motion Estimation</t>
  </si>
  <si>
    <t>https://arxiv.org/pdf/2003.00636</t>
  </si>
  <si>
    <t>https://arxiv.org/pdf/2003.00847</t>
  </si>
  <si>
    <t>https://arxiv.org/pdf/2003.02790</t>
  </si>
  <si>
    <t>https://arxiv.org/pdf/2003.02790v1</t>
  </si>
  <si>
    <t>Event-Based Angular Velocity Regression with Spiking Networks</t>
  </si>
  <si>
    <t>https://arxiv.org/pdf/2003.03118</t>
  </si>
  <si>
    <t>https://arxiv.org/pdf/2003.07640</t>
  </si>
  <si>
    <t>https://arxiv.org/pdf/2003.07640.pdf</t>
  </si>
  <si>
    <t>EventSR: From Asynchronous Events to Image Reconstruction, Restoration, andSuper-Resolution via End-to-End Adversarial Learning</t>
  </si>
  <si>
    <t>https://arxiv.org/pdf/2003.09078</t>
  </si>
  <si>
    <t>https://arxiv.org/pdf/2003.09148</t>
  </si>
  <si>
    <t>Event-based Asynchronous Sparse Convolutional Networks</t>
  </si>
  <si>
    <t>https://arxiv.org/pdf/2003.12346</t>
  </si>
  <si>
    <t>https://arxiv.org/pdf/2003.12680</t>
  </si>
  <si>
    <t>https://arxiv.org/pdf/2004.00347</t>
  </si>
  <si>
    <t>Single Image Optical Flow Estimation with an Event Camera</t>
  </si>
  <si>
    <t>https://arxiv.org/pdf/2004.03156</t>
  </si>
  <si>
    <t>https://arxiv.org/pdf/2004.03577</t>
  </si>
  <si>
    <t>https://arxiv.org/pdf/2004.04079</t>
  </si>
  <si>
    <t>https://arxiv.org/pdf/2004.05794</t>
  </si>
  <si>
    <t>Learning Event-Based Motion Deblurring</t>
  </si>
  <si>
    <t>https://arxiv.org/pdf/2004.07386</t>
  </si>
  <si>
    <t>https://arxiv.org/pdf/2005.00974.pdf</t>
  </si>
  <si>
    <t>https://arxiv.org/pdf/2006.05011.pdf</t>
  </si>
  <si>
    <t>https://arxiv.org/pdf/2008.05749</t>
  </si>
  <si>
    <t>https://arxiv.org/pdf/2009.00855.pdf</t>
  </si>
  <si>
    <t>https://arxiv.org/pdf/2009.11044</t>
  </si>
  <si>
    <t>https://arxiv.org/pdf/2009.13049</t>
  </si>
  <si>
    <t>https://arxiv.org/pdf/2010.08278</t>
  </si>
  <si>
    <t>https://arxiv.org/pdf/2010.08350.pdf</t>
  </si>
  <si>
    <t>https://arxiv.org/pdf/2010.08946</t>
  </si>
  <si>
    <t>Temporal Binary Representation for Event-Based Action Recognition</t>
  </si>
  <si>
    <t>https://arxiv.org/pdf/2010.15507</t>
  </si>
  <si>
    <t>https://arxiv.org/pdf/2010.15509</t>
  </si>
  <si>
    <t>https://arxiv.org/pdf/2010.15510</t>
  </si>
  <si>
    <t>https://arxiv.org/pdf/2011.03290</t>
  </si>
  <si>
    <t>https://arxiv.org/pdf/2011.09427</t>
  </si>
  <si>
    <t>https://arxiv.org/pdf/2012.05214</t>
  </si>
  <si>
    <t>https://arxiv.org/pdf/2012.06475</t>
  </si>
  <si>
    <t>https://arxiv.org/pdf/2012.06516</t>
  </si>
  <si>
    <t>https://arxiv.org/pdf/2012.08730</t>
  </si>
  <si>
    <t>https://arxiv.org/pdf/2012.09378</t>
  </si>
  <si>
    <t>https://arxiv.org/pdf/2101.10371</t>
  </si>
  <si>
    <t>https://arxiv.org/pdf/2101.11251</t>
  </si>
  <si>
    <t>https://arxiv.org/pdf/2102.11916v1</t>
  </si>
  <si>
    <t>https://arxiv.org/pdf/2103.05903.pdf</t>
  </si>
  <si>
    <t>https://arxiv.org/pdf/2103.15568.pdf</t>
  </si>
  <si>
    <t>https://arxiv.org/pdf/2107.04536</t>
  </si>
  <si>
    <t>https://arxiv.org/pdf/2108.10552</t>
  </si>
  <si>
    <t>https://arxiv.org/pdf/2110.04988.pdf</t>
  </si>
  <si>
    <t>https://arxiv.org/pdf/2112.00167v2.pdf</t>
  </si>
  <si>
    <t>Event-Based Fusion for Motion Deblurring with Cross-modal Attention</t>
  </si>
  <si>
    <t>https://arxiv.org/pdf/2112.01933</t>
  </si>
  <si>
    <t>Bio-inspired Polarization Event Camera</t>
  </si>
  <si>
    <t>https://arxiv.org/pdf/2112.06242</t>
  </si>
  <si>
    <t>https://arxiv.org/pdf/2112.09685</t>
  </si>
  <si>
    <t>https://arxiv.org/pdf/2112.10591.pdf</t>
  </si>
  <si>
    <t>https://arxiv.org/pdf/2201.01626</t>
  </si>
  <si>
    <t>https://arxiv.org/pdf/2202.05054.pdf</t>
  </si>
  <si>
    <t>https://arxiv.org/pdf/2203.12178</t>
  </si>
  <si>
    <t>Unifying Motion Deblurring and Frame Interpolation with Events</t>
  </si>
  <si>
    <t>https://arxiv.org/pdf/2203.14672</t>
  </si>
  <si>
    <t>https://arxiv.org/pdf/2205.07657</t>
  </si>
  <si>
    <t>https://arxiv.org/pdf/2205.08090.pdf</t>
  </si>
  <si>
    <t>https://arxiv.org/pdf/2206.04511</t>
  </si>
  <si>
    <t>https://arxiv.org/pdf/2206.13673</t>
  </si>
  <si>
    <t>https://arxiv.org/pdf/2207.04007</t>
  </si>
  <si>
    <t>https://arxiv.org/pdf/2207.07332</t>
  </si>
  <si>
    <t>https://arxiv.org/pdf/2207.10022</t>
  </si>
  <si>
    <t>https://arxiv.org/pdf/2207.10494</t>
  </si>
  <si>
    <t>https://arxiv.org/pdf/2208.01710.pdf</t>
  </si>
  <si>
    <t>https://arxiv.org/pdf/2208.11300.pdf</t>
  </si>
  <si>
    <t>https://arxiv.org/pdf/2209.11741.pdf</t>
  </si>
  <si>
    <t>Adaptive-SpikeNet: Event-based Optical Flow Estimation using Spiking Neural Networks with Learnable Neuronal Dynamics</t>
  </si>
  <si>
    <t>https://arxiv.org/pdf/2210.08927</t>
  </si>
  <si>
    <t>https://arxiv.org/pdf/2211.09893</t>
  </si>
  <si>
    <t>Measuring diameters and velocities of artificial raindrops with a neuromorphic dynamic vision sensor disdrometer</t>
  </si>
  <si>
    <t>EGUsphere 2023</t>
  </si>
  <si>
    <t>https://arxiv.org/pdf/2212.02219</t>
  </si>
  <si>
    <t>https://arxiv.org/pdf/2212.07350</t>
  </si>
  <si>
    <t>https://arxiv.org/pdf/2212.10368</t>
  </si>
  <si>
    <t>https://arxiv.org/pdf/2212.12218</t>
  </si>
  <si>
    <t>https://arxiv.org/pdf/2302.04177</t>
  </si>
  <si>
    <t>A Dynamic GCN with Cross-Representation Distillation for Event-Based Learning</t>
  </si>
  <si>
    <t>https://arxiv.org/pdf/2302.06492</t>
  </si>
  <si>
    <t>Optical flow estimation from event-based cameras and spiking neural networks</t>
  </si>
  <si>
    <t>FNINS 2023</t>
  </si>
  <si>
    <t>https://arxiv.org/pdf/2302.14430</t>
  </si>
  <si>
    <t>https://arxiv.org/pdf/2302.14444.pdf</t>
  </si>
  <si>
    <t>https://arxiv.org/pdf/2304.01080</t>
  </si>
  <si>
    <t>LIPSFUS: A neuromorphic dataset for audio-visual sensory fusion of lip reading</t>
  </si>
  <si>
    <t>https://arxiv.org/pdf/2304.05296.pdf</t>
  </si>
  <si>
    <t>https://arxiv.org/pdf/2305.06382</t>
  </si>
  <si>
    <t>https://arxiv.org/pdf/2305.08962</t>
  </si>
  <si>
    <t>https://arxiv.org/pdf/2306.01188</t>
  </si>
  <si>
    <t>Event-based Visual Odometry with Full Temporal Resolution via Continuous-time Gaussian Process Regression</t>
  </si>
  <si>
    <t>https://arxiv.org/pdf/2306.02960</t>
  </si>
  <si>
    <t>Best of Both Worlds: Hybrid SNN-ANN Architecture for Event-based Optical Flow Estimation</t>
  </si>
  <si>
    <t>https://arxiv.org/pdf/2306.14099</t>
  </si>
  <si>
    <t>High-precision and low-latency widefield diamond quantum sensing with neuromorphic vision sensors</t>
  </si>
  <si>
    <t>https://arxiv.org/pdf/2307.06810.pdf</t>
  </si>
  <si>
    <t>Spatio-Temporal Calibration for Omni-Directional Vehicle-Mounted Event Cameras</t>
  </si>
  <si>
    <t>https://arxiv.org/pdf/2307.10593.pdf</t>
  </si>
  <si>
    <t>https://arxiv.org/pdf/2307.11242</t>
  </si>
  <si>
    <t>On-Sensor Data Filtering using Neuromorphic Computing for High Energy Physics Experiments</t>
  </si>
  <si>
    <t>ICONS 2023</t>
  </si>
  <si>
    <t>https://arxiv.org/pdf/2307.11349</t>
  </si>
  <si>
    <t>EV-Planner: Energy-Efficient Robot Navigation via Event-Based Physics-Guided Neuromorphic Planner</t>
  </si>
  <si>
    <t>https://arxiv.org/pdf/2307.12558</t>
  </si>
  <si>
    <t>Revisiting Event-based Video Frame Interpolation</t>
  </si>
  <si>
    <t>https://arxiv.org/pdf/2307.12558.pdf</t>
  </si>
  <si>
    <t>https://arxiv.org/pdf/2307.15829</t>
  </si>
  <si>
    <t>https://arxiv.org/pdf/2308.11771</t>
  </si>
  <si>
    <t>3ET: Efficient Event-based Eye Tracking using a Change-Based ConvLSTM Network</t>
  </si>
  <si>
    <t>BioCAS 2023</t>
  </si>
  <si>
    <t>https://arxiv.org/pdf/2309.00385</t>
  </si>
  <si>
    <t>https://arxiv.org/pdf/2309.01159.pdf</t>
  </si>
  <si>
    <t>https://arxiv.org/pdf/2309.05450</t>
  </si>
  <si>
    <t>https://arxiv.org/pdf/2310.02437</t>
  </si>
  <si>
    <t>https://arxiv.org/pdf/2311.14265</t>
  </si>
  <si>
    <t>Bursting Spikes: Efficient and High-performance SNNs for Event-based Vision</t>
  </si>
  <si>
    <t>https://arxiv.org/pdf/2311.18189</t>
  </si>
  <si>
    <t>Event-based Visual Inertial Velometer</t>
  </si>
  <si>
    <t>https://arxiv.org/pdf/2312.00113.pdf</t>
  </si>
  <si>
    <t>https://arxiv.org/pdf/2312.00114.pdf</t>
  </si>
  <si>
    <t>https://arxiv.org/pdf/2312.00425</t>
  </si>
  <si>
    <t>https://arxiv.org/pdf/2312.08213.pdf</t>
  </si>
  <si>
    <t>https://arxiv.org/pdf/2312.09800</t>
  </si>
  <si>
    <t>https://arxiv.org/pdf/2401.06586</t>
  </si>
  <si>
    <t>Space-Time Nonlocal Metasurfaces for Event-Based Image Processing</t>
  </si>
  <si>
    <t>Phys. Rev. Lett. 2024</t>
  </si>
  <si>
    <t>https://arxiv.org/pdf/2401.08043.pdf</t>
  </si>
  <si>
    <t>https://arxiv.org/pdf/2401.09296v1.pdf</t>
  </si>
  <si>
    <t>https://arxiv.org/pdf/2401.09331.pdf</t>
  </si>
  <si>
    <t>https://arxiv.org/pdf/2401.16058</t>
  </si>
  <si>
    <t>Neuromorphic Valence and Arousal Estimation</t>
  </si>
  <si>
    <t>https://arxiv.org/pdf/2402.01393</t>
  </si>
  <si>
    <t>ALERT-Transformer: Bridging Asynchronous and Synchronous Machine Learning for Real-Time Event-based Spatio-Temporal Data</t>
  </si>
  <si>
    <t>https://arxiv.org/pdf/2402.12644</t>
  </si>
  <si>
    <t>Neuromorphic Synergy for Video Binarization</t>
  </si>
  <si>
    <t>https://arxiv.org/pdf/2402.18925</t>
  </si>
  <si>
    <t>PCDepth: Pattern-based Complementary Learning for Monocular Depth Estimation by Best of Both Worlds</t>
  </si>
  <si>
    <t>https://arxiv.org/pdf/2403.07326</t>
  </si>
  <si>
    <t>SGE: Structured Light System Based on Gray Code with an Event Camera</t>
  </si>
  <si>
    <t>https://arxiv.org/pdf/2403.08119</t>
  </si>
  <si>
    <t>https://arxiv.org/pdf/2403.11961</t>
  </si>
  <si>
    <t>https://arxiv.org/pdf/2404.01298</t>
  </si>
  <si>
    <t>Noise2Image: Noise-Enabled Static Scene Recovery for Event Cameras</t>
  </si>
  <si>
    <t>https://arxiv.org/pdf/2404.08504</t>
  </si>
  <si>
    <t>https://arxiv.org/pdf/2404.11511</t>
  </si>
  <si>
    <t>https://arxiv.org/pdf/2405.08300</t>
  </si>
  <si>
    <t>Vector-Symbolic Architecture for Event-Based Optical Flow</t>
  </si>
  <si>
    <t>https://arxiv.org/pdf/2406.03439</t>
  </si>
  <si>
    <t>https://arxiv.org/pdf/2406.13457</t>
  </si>
  <si>
    <t>https://arxiv.org/pdf/2406.14178</t>
  </si>
  <si>
    <t>EvSegSNN: Neuromorphic Semantic Segmentation for Event Data</t>
  </si>
  <si>
    <t>https://arxiv.org/pdf/2406.17483</t>
  </si>
  <si>
    <t>TRIP: Trainable Region-of-Interest Prediction for Hardware-Efficient Neuromorphic Processing on Event-based Vision</t>
  </si>
  <si>
    <t>ICONS 2024</t>
  </si>
  <si>
    <t>https://arxiv.org/pdf/2407.10802</t>
  </si>
  <si>
    <t>https://arxiv.org/pdf/2407.12239</t>
  </si>
  <si>
    <t>Motion and Structure from Event-based Normal Flow</t>
  </si>
  <si>
    <t>https://arxiv.org/pdf/2408.04633</t>
  </si>
  <si>
    <t>https://arxiv.org/pdf/2408.06248</t>
  </si>
  <si>
    <t>https://arxiv.org/pdf/2408.10395?</t>
  </si>
  <si>
    <t>https://arxiv.org/pdf/2408.15602</t>
  </si>
  <si>
    <t>https://arxiv.org/pdf/2408.15605</t>
  </si>
  <si>
    <t>ES-PTAM: Event-based Stereo Parallel Tracking and Mapping</t>
  </si>
  <si>
    <t>https://arxiv.org/pdf/2409.03358</t>
  </si>
  <si>
    <t>https://arxiv.org/pdf/2409.09628</t>
  </si>
  <si>
    <t>Can Large Language Models Grasp Event Signals? Exploring Pure Zero-Shot Event-based Recognition</t>
  </si>
  <si>
    <t>https://arxiv.org/pdf/2409.13392</t>
  </si>
  <si>
    <t>Elite-EvGS: Learning Event-based 3D Gaussian Splatting by Distilling Event-to-Video Priors</t>
  </si>
  <si>
    <t>https://arxiv.org/pdf/2409.15581</t>
  </si>
  <si>
    <t>Mixing Data-driven and Geometric Models for Satellite Docking Port State Estimation using an RGB or Event Camera</t>
  </si>
  <si>
    <t>https://arxiv.org/pdf/2409.16099</t>
  </si>
  <si>
    <t>Neuromorphic Drone Detection: an Event-RGB Multimodal Approach</t>
  </si>
  <si>
    <t>https://arxiv.org/pdf/2409.17680</t>
  </si>
  <si>
    <t>Event-based Stereo Depth Estimation: A Survey</t>
  </si>
  <si>
    <t>https://arxiv.org/pdf/2409.17981</t>
  </si>
  <si>
    <t>BlinkTrack: Feature Tracking over 100 FPS via Events and Images</t>
  </si>
  <si>
    <t>https://arxiv.org/pdf/2409.18038</t>
  </si>
  <si>
    <t>MMDVS-LF: A Multi-Modal Dynamic-Vision-Sensor Line Following Dataset</t>
  </si>
  <si>
    <t>https://arxiv.org/pdf/2409.19228</t>
  </si>
  <si>
    <t>GS-EVT: Cross-Modal Event Camera Tracking based on Gaussian Splatting</t>
  </si>
  <si>
    <t>https://arxiv.org/pdf/2410.06698</t>
  </si>
  <si>
    <t>https://arxiv.org/pdf/2410.08649</t>
  </si>
  <si>
    <t>E-Motion: Future Motion Simulation via Event Sequence Diffusion</t>
  </si>
  <si>
    <t>NeurIPS 2024</t>
  </si>
  <si>
    <t>https://arxiv.org/pdf/2410.16746</t>
  </si>
  <si>
    <t>SpikMamba: When SNN meets Mamba in Event-based Human Action Recognition</t>
  </si>
  <si>
    <t>https://arxiv.org/pdf/2410.22280</t>
  </si>
  <si>
    <t>https://arxiv.org/pdf/2411.00639</t>
  </si>
  <si>
    <t>https://arxiv.org/pdf/2411.02854</t>
  </si>
  <si>
    <t>SpiDR: A Reconfigurable Digital Compute-in-Memory Spiking Neural Network Accelerator for Event-based Perception</t>
  </si>
  <si>
    <t>https://arxiv.org/pdf/2411.03303</t>
  </si>
  <si>
    <t>https://arxiv.org/pdf/2411.03928</t>
  </si>
  <si>
    <t>DEIO: Deep Event Inertial Odometry</t>
  </si>
  <si>
    <t>https://arxiv.org/pdf/2411.05806</t>
  </si>
  <si>
    <t>SkipSNN: Efficiently Classifying Spike Trains with Event-attention</t>
  </si>
  <si>
    <t>BIgData 2024</t>
  </si>
  <si>
    <t>https://arxiv.org/pdf/2411.16711</t>
  </si>
  <si>
    <t>TSkips: Efficiency Through Explicit Temporal Delay Connections in Spiking Neural Networks</t>
  </si>
  <si>
    <t>https://arxiv.org/pdf/2411.17313</t>
  </si>
  <si>
    <t>Event Ellipsometer: Event-based Mueller-Matrix Video Imaging</t>
  </si>
  <si>
    <t>https://arxiv.org/pdf/2411.18658</t>
  </si>
  <si>
    <t>HDI-Former: Hybrid Dynamic Interaction ANN-SNN Transformer for Object Detection Using Frames and Events</t>
  </si>
  <si>
    <t>https://arxiv.org/pdf/2412.00133</t>
  </si>
  <si>
    <t>ETAP: Event-based Tracking of Any Point</t>
  </si>
  <si>
    <t>https://arxiv.org/pdf/2412.00816</t>
  </si>
  <si>
    <t>Motion-Aware Optical Camera Communication with Event Cameras</t>
  </si>
  <si>
    <t>https://arxiv.org/pdf/2412.00832</t>
  </si>
  <si>
    <t>EventGPT: Event Stream Understanding with Multimodal Large Language Models</t>
  </si>
  <si>
    <t>https://arxiv.org/pdf/2412.01300</t>
  </si>
  <si>
    <t>Event-Based Tracking Any Point with Motion-Augmented Temporal Consistency</t>
  </si>
  <si>
    <t>https://arxiv.org/pdf/2412.08120</t>
  </si>
  <si>
    <t>Dense Depth from Event Focal Stack</t>
  </si>
  <si>
    <t>https://arxiv.org/pdf/2412.08849</t>
  </si>
  <si>
    <t>Labits: Layered Bidirectional Time Surfaces Representation for Event Camera-based Continuous Dense Trajectory Estimation</t>
  </si>
  <si>
    <t>https://arxiv.org/pdf/2412.08909</t>
  </si>
  <si>
    <t>Continuous Gaussian Process Pre-Optimization for Asynchronous Event-Inertial Odometry</t>
  </si>
  <si>
    <t>https://arxiv.org/pdf/2412.09105</t>
  </si>
  <si>
    <t>ResFlow: Fine-tuning Residual Optical Flow for Event-based High Temporal Resolution Motion Estimation</t>
  </si>
  <si>
    <t>https://arxiv.org/pdf/2412.09209</t>
  </si>
  <si>
    <t>eCARLA-scenes: A synthetically generated dataset for event-based optical flow prediction</t>
  </si>
  <si>
    <t>https://arxiv.org/pdf/2412.11436</t>
  </si>
  <si>
    <t>Event-based Detectors for Laser Guide Star Tip-Tilt Sensing</t>
  </si>
  <si>
    <t>https://arxiv.org/pdf/2412.11579</t>
  </si>
  <si>
    <t>SweepEvGS: Event-Based 3D Gaussian Splatting for Macro and Micro Radiance Field Rendering from a Single Sweep</t>
  </si>
  <si>
    <t>https://arxiv.org/pdf/2412.11753</t>
  </si>
  <si>
    <t>DriveGazen: Event-Based Driving Status Recognition using Conventional Camera</t>
  </si>
  <si>
    <t>https://arxiv.org/pdf/2412.11866</t>
  </si>
  <si>
    <t>Event-based Motion Deblurring via Multi-Temporal Granularity Fusion</t>
  </si>
  <si>
    <t>https://arxiv.org/pdf/2501.09396</t>
  </si>
  <si>
    <t>Joint Transmission and Deblurring: A Semantic Communication Approach Using Events</t>
  </si>
  <si>
    <t>https://arxiv.org/pdf/2502.03057</t>
  </si>
  <si>
    <t>High-frequency near-eye ground truth for event-based eye tracking</t>
  </si>
  <si>
    <t>https://arxiv.org/pdf/2503.05112</t>
  </si>
  <si>
    <t>https://arxiv.org/pdf/2504.00139</t>
  </si>
  <si>
    <t>https://arxiv.org/pdf/2504.10400</t>
  </si>
  <si>
    <t>Towards Low-Latency Event-based Obstacle Avoidance on a FPGA-Drone</t>
  </si>
  <si>
    <t>https://arxiv.org/pdf/2504.18235</t>
  </si>
  <si>
    <t>BiasBench: A reproducible benchmark for tuning the biases of event cameras</t>
  </si>
  <si>
    <t>https://arxiv.org/pdf/2504.18447</t>
  </si>
  <si>
    <t>Iterative Event-based Motion Segmentation by Variational Contrast Maximization</t>
  </si>
  <si>
    <t>https://arxiv.org/pdf/2504.18521</t>
  </si>
  <si>
    <t>E-VLC: A Real-World Dataset for Event-based Visible Light Communication And Localization</t>
  </si>
  <si>
    <t>https://arxiv.org/pdf/2505.15412</t>
  </si>
  <si>
    <t>https://arxiv.org/pdf/2505.17582</t>
  </si>
  <si>
    <t>https://arxiv.org/pdf/2505.22378</t>
  </si>
  <si>
    <t>Current trends and future directions in event-based control</t>
  </si>
  <si>
    <t>https://arxiv.org/pdf/2507.03273</t>
  </si>
  <si>
    <t>Event2Audio: Event-Based Optical Vibration Sensing</t>
  </si>
  <si>
    <t>https://arxiv.org/pdf/2507.15734</t>
  </si>
  <si>
    <t>TONUS: Neuromorphic human pose estimation for artistic sound co-creation</t>
  </si>
  <si>
    <t>https://arxiv.org/pdf/2507.22733</t>
  </si>
  <si>
    <t>https://arxiv.org/pdf/2508.00913</t>
  </si>
  <si>
    <t>https://arxiv.org/pdf/2508.11988</t>
  </si>
  <si>
    <t>Exploring Spatial-Temporal Dynamics in Event-based Facial Micro-Expression Analysis</t>
  </si>
  <si>
    <t>https://arxiv.org/pdf/2508.12564</t>
  </si>
  <si>
    <t>Temporal and Rotational Calibration for Event-Centric Multi-Sensor Systems</t>
  </si>
  <si>
    <t>https://arxiv.org/pdf/2508.12637</t>
  </si>
  <si>
    <t>HOMI: Ultra-Fast EdgeAI platform for Event Cameras</t>
  </si>
  <si>
    <t>https://arxiv.org/pdf/2508.12813</t>
  </si>
  <si>
    <t>SIS-Challenge: Event-based Spatio-temporal Instance Segmentation Challenge at the CVPR 2025 Event-based Vision Workshop</t>
  </si>
  <si>
    <t>https://arxiv.org/pdf/2509.22864</t>
  </si>
  <si>
    <t>ControlEvents: Controllable Synthesis of Event Camera Datawith Foundational Prior from Image Diffusion Models</t>
  </si>
  <si>
    <t>https://arxiv.org/pdf/2509.25146</t>
  </si>
  <si>
    <t>https://arxiv.org/pdf/2510.01213</t>
  </si>
  <si>
    <t>JaneEye: A 12-nm 2K-FPS 18.9-μJ/Frame Event-based Eye Tracking Accelerator</t>
  </si>
  <si>
    <t>AP-DAC 2026</t>
  </si>
  <si>
    <t>https://arxiv.org/pdf/2510.06829</t>
  </si>
  <si>
    <t>https://arxiv.org/pdf/2510.26614</t>
  </si>
  <si>
    <t>Spiking Patches: Asynchronous, Sparse, and Efficient Tokens for Event Cameras</t>
  </si>
  <si>
    <t>https://arxiv.org/pdf/2511.03665</t>
  </si>
  <si>
    <t>A Lightweight 3D-CNN for Event-Based Human Action Recognition with Privacy-Preserving Potential</t>
  </si>
  <si>
    <t>https://arxiv.org/pdf/2511.18037</t>
  </si>
  <si>
    <t>Hybrid Event-Frame Sensors: Modeling, Calibration, and Simulation</t>
  </si>
  <si>
    <t>https://arxiv.org/pdf/2511.18920</t>
  </si>
  <si>
    <t>EventSTU: Event-Guided Efficient Spatio-Temporal Understanding for Video Large Language Models</t>
  </si>
  <si>
    <t>https://arxiv.org/pdf/2511.20175</t>
  </si>
  <si>
    <t>Realizing Fully-Integrated, Low-Power, Event-Based Pupil Tracking with Neuromorphic Hardware</t>
  </si>
  <si>
    <t>https://arxiv.org/pdf/2512.00327</t>
  </si>
  <si>
    <t>Odometry Without Correspondence from Inertially Constrained Ruled Surfaces</t>
  </si>
  <si>
    <t>https://arxiv.org/pdf/2512.09016</t>
  </si>
  <si>
    <t>Learning to Remove Lens Flare in Event Camera</t>
  </si>
  <si>
    <t>https://arxiv.org/pdf/2512.17323</t>
  </si>
  <si>
    <t>DESSERT: Diffusion-based Event-driven Single-frame Synthesis via Residual Training</t>
  </si>
  <si>
    <t>https://arxiv.org/pdf/2601.02777</t>
  </si>
  <si>
    <t>M-SEVIQ: A Multi-band Stereo Event Visual-Inertial Quadruped-based Dataset for Perception under Rapid Motion and Challenging Illumination</t>
  </si>
  <si>
    <t>https://arxiv.org/pdf/2601.06647</t>
  </si>
  <si>
    <t>eSkiTB: A Synthetic Event-based Dataset for Tracking Skiers</t>
  </si>
  <si>
    <t>WACVW 2026</t>
  </si>
  <si>
    <t>https://arxiv.org/pdf/2601.10054</t>
  </si>
  <si>
    <t>UEOF: A Benchmark Dataset for Underwater Event-Based Optical Flow</t>
  </si>
  <si>
    <t>https://arxiv.org/search/advanced?advanced=&amp;terms-0-operator=AND&amp;terms-0-term=event+camera&amp;terms-0-field=all&amp;classification-computer_science=y&amp;classification-physics_archives=all&amp;classification-include_cross_list=include&amp;date-filter_by=all_dates&amp;date-year=&amp;date-from_date=&amp;date-to_date=&amp;date-date_type=submitted_date&amp;abstracts=show&amp;size=50&amp;order=-announced_date_first</t>
  </si>
  <si>
    <t>https://assets.researchsquare.com/files/rs-3909704/v1_covered_50f5e4e7-e931-4090-90e9-80a0ba3ca22f.pdf?c=1707994552</t>
  </si>
  <si>
    <t>E2GCO: Event-driven Eye-Gaze-Controlled Operation for Smartphone Interaction</t>
  </si>
  <si>
    <t>https://bestchen97.github.io/EventHumanPerception</t>
  </si>
  <si>
    <t>https://better-flow.github.io/evimo</t>
  </si>
  <si>
    <t>https://blog.bakingai.com/mobility-vla-robot-navigation</t>
  </si>
  <si>
    <t>https://bmva-archive.org.uk/bmvc/2014/files/paper066.pdf</t>
  </si>
  <si>
    <t>https://bmva-archive.org.uk/bmvc/2014/papers/paper066/index.html</t>
  </si>
  <si>
    <t>https://bmvc2019.org/wp-content/uploads/papers/1140-paper.pdf</t>
  </si>
  <si>
    <t>Edge Detection for Event Cameras using Intra-pixel-area Events</t>
  </si>
  <si>
    <t>BMVC 2019</t>
  </si>
  <si>
    <t>https://bmvc2022.mpi-inf.mpg.de/0078.pdf</t>
  </si>
  <si>
    <t>https://bmvc2022.mpi-inf.mpg.de/0577.pdf</t>
  </si>
  <si>
    <t>https://bmvc2022.mpi-inf.mpg.de/577</t>
  </si>
  <si>
    <t>https://bmvc2022.mpi-inf.mpg.de/577/</t>
  </si>
  <si>
    <t>Event Transformer FlowNet for optical flow estimation</t>
  </si>
  <si>
    <t>https://bmvc2022.mpi-inf.mpg.de/603/</t>
  </si>
  <si>
    <t>HDR Reconstruction from Bracketed Exposures and Events</t>
  </si>
  <si>
    <t>https://bmvc2022.mpi-inf.mpg.de/78</t>
  </si>
  <si>
    <t>https://bmvc2022.mpi-inf.mpg.de/785/</t>
  </si>
  <si>
    <t>Self-Supervised Learning of Inlier Events for Event-based Optical Flow</t>
  </si>
  <si>
    <t>https://bmvc2022.mpi-inf.mpg.de/938/</t>
  </si>
  <si>
    <t>Towards a more efficient few-shot learning-based human gesture recognition via dynamic vision sensors</t>
  </si>
  <si>
    <t>https://bottle101.github.io/assets/publications/Report_RotatingWedgePrimEventCam.pdf</t>
  </si>
  <si>
    <t>A Texture-enhanced Event Camera Using Rotating Wedge Prism</t>
  </si>
  <si>
    <t>https://brainsandmachines.net</t>
  </si>
  <si>
    <t>https://capocaccia.ethz.ch/capo/raw-attachment/wiki/2015/hybrid15/frontiers14-nlp.pdf</t>
  </si>
  <si>
    <t>https://cedric-scheerlinck.github.io/continuous-time-intensity-estimation</t>
  </si>
  <si>
    <t>https://cedric-scheerlinck.github.io/files/2018_event_convolutions.pdf</t>
  </si>
  <si>
    <t>https://cedric-scheerlinck.github.io/files/2018_scheerlinck_continuous-time_intensity_estimation.pdf</t>
  </si>
  <si>
    <t>https://cedric-scheerlinck.github.io/files/2019_firenet.pdf</t>
  </si>
  <si>
    <t>https://cedric-scheerlinck.github.io/firenet</t>
  </si>
  <si>
    <t>Fast Image Reconstruction with an Event Camera</t>
  </si>
  <si>
    <t>https://ceur-ws.org/Vol-3848/paper_4.pdf</t>
  </si>
  <si>
    <t>A Spatio-temporal Event Transformer on Versatile Tasks for Human Behavior Analysis</t>
  </si>
  <si>
    <t>IJCAIW 2024</t>
  </si>
  <si>
    <t>https://cg.cs.tsinghua.edu.cn/papers/TVC-2017-HS-Video.pdf</t>
  </si>
  <si>
    <t>https://ci.idm.pku.edu.cn</t>
  </si>
  <si>
    <t>https://ci.idm.pku.edu.cn/Chen_TMM22.pdf</t>
  </si>
  <si>
    <t>https://ci.idm.pku.edu.cn/Zhang_ECCV22e.pdf</t>
  </si>
  <si>
    <t>Data Association between Event Streams and Intensity Frames under Diverse Baselines</t>
  </si>
  <si>
    <t>https://cigl.iit.tsukuba.ac.jp/portfolio/event-based-bispectral-photometry</t>
  </si>
  <si>
    <t>https://citeseerx.ist.psu.edu/viewdoc/summary?doi=10.1.1.192.2794</t>
  </si>
  <si>
    <t>https://cje.ustb.edu.cn/en/article/doi/10.13374/j.issn2095-9389.2024.01.23.004</t>
  </si>
  <si>
    <t>Image and event fusion method based on wavelet and dynamic complementary filtering</t>
  </si>
  <si>
    <t>JES 2024</t>
  </si>
  <si>
    <t>https://cnrs.hal.science/hal-04497648/</t>
  </si>
  <si>
    <t>Simulating Aerial Event-based Environment: Application to Car Detection</t>
  </si>
  <si>
    <t>European Robotics Forum 2024</t>
  </si>
  <si>
    <t>https://compphotolab.northwestern.edu/wordpress/wp-content/uploads/2020/04/cvpr2020-gef-compressed.pdf</t>
  </si>
  <si>
    <t>Joint Filtering of Intensity Images and Neuromorphic Events for High-Resolution Noise-Robust Imaging</t>
  </si>
  <si>
    <t>https://conference.sdo.esoc.esa.int/proceedings/neosst1/paper/475/NEOSST1-paper475.pdf</t>
  </si>
  <si>
    <t>https://conference.sdo.esoc.esa.int/proceedings/sdc9/paper/197/SDC9-paper197.pdf</t>
  </si>
  <si>
    <t>Dynamic Space Object Detection With Neuromorphic Vision Sensors</t>
  </si>
  <si>
    <t>ECSD 2025</t>
  </si>
  <si>
    <t>https://controls.papercept.net/images/temp/SICE/files/0180.pdf</t>
  </si>
  <si>
    <t>Observing Colorless, Transparent, High-speed Airflow: Using Event Camera to Improve Schlieren Airflow Visualization Method</t>
  </si>
  <si>
    <t>SICE 2025</t>
  </si>
  <si>
    <t>https://controls.papercept.net/images/temp/SICE/files/0322.pdf</t>
  </si>
  <si>
    <t>Correlation Image Simulator for Event Camera</t>
  </si>
  <si>
    <t>https://core.ac.uk/download/pdf/211842521.pdf</t>
  </si>
  <si>
    <t>https://criticalplayground.org/news/the-camera-that-sees-change-2</t>
  </si>
  <si>
    <t>https://cse.buffalo.edu/~jsyuan/papers/2019/WACV_2019_Qinyi.pdf</t>
  </si>
  <si>
    <t>Space-time Event Clouds for Gesture Recognition: from RGB Cameras to Event Cameras</t>
  </si>
  <si>
    <t>https://cvpr.thecvf.com</t>
  </si>
  <si>
    <t>https://cvpr.thecvf.com/virtual/2025/35602</t>
  </si>
  <si>
    <t>https://cvpr.thecvf.com/virtual/2025/events/workshop</t>
  </si>
  <si>
    <t>https://cvpr.thecvf.com/virtual/2025/poster/32386</t>
  </si>
  <si>
    <t>Event-based Video Super-Resolution via State Space Models</t>
  </si>
  <si>
    <t>https://cvpr.thecvf.com/virtual/2025/poster/34116</t>
  </si>
  <si>
    <t>Unified Reconstruction of Static and Dynamic Scenes from Events</t>
  </si>
  <si>
    <t>https://cvpr.thecvf.com/virtual/2025/poster/34482</t>
  </si>
  <si>
    <t>S2D-LFE: Sparse-to-Dense Light Field Event Generation</t>
  </si>
  <si>
    <t>https://cvpr.thecvf.com/virtual/2025/poster/35079</t>
  </si>
  <si>
    <t>Asynchronous Collaborative Graph Representation for Frames and Events</t>
  </si>
  <si>
    <t>https://cvteam.buaa.edu.cn/papers/2021-MM-Daxin.pdf</t>
  </si>
  <si>
    <t>https://cvteam.buaa.edu.cn/papers/2024-TPAMI-Daxin.pdf</t>
  </si>
  <si>
    <t>https://cyberleninka.ru/article/n/neuromorphic-localization-microscopy-for-cell-biology</t>
  </si>
  <si>
    <t>Neuromorphic Localization Microscopy for Cell Biology</t>
  </si>
  <si>
    <t>BRICS Workshop on Biophotonics 2023</t>
  </si>
  <si>
    <t>https://dachunkai.github.io/evtexture.github.io</t>
  </si>
  <si>
    <t>https://deepblue.lib.umich.edu/bitstream/handle/2027.42/177658/El_Shair_dissertation_Advanced_Neuromorphic_Event_Based_Vision_Methods.pdf?sequence=1&amp;isAllowed=y</t>
  </si>
  <si>
    <t>https://deepblue.lib.umich.edu/handle/2027.42/177658</t>
  </si>
  <si>
    <t>Advancing Neuromorphic Event-Based Vision Methods for Robotic Perception Tasks</t>
  </si>
  <si>
    <t>PhD Thesis 2024</t>
  </si>
  <si>
    <t>https://developer.nvidia.com/isaac/manipulator</t>
  </si>
  <si>
    <t>https://diglib.eg.org/server/api/core/bitstreams/36c8b02b-63f5-4bc4-bcec-7e8db4265d98/content</t>
  </si>
  <si>
    <t>Learning-based Event-based Human Gaze Tracking with Blink Detection</t>
  </si>
  <si>
    <t>ICART 2024</t>
  </si>
  <si>
    <t>https://direct.mit.edu/neco/article-abstract/27/3/561/8055/What-Can-Neuromorphic-Event-Driven-Precise-Timing?redirectedFrom=fulltext#.WKYj8TuFh7Y</t>
  </si>
  <si>
    <t>What Can Neuromorphic Event-Driven Precise Timing Add to Spike-Based Pattern Recognition?</t>
  </si>
  <si>
    <t>NECO 2015</t>
  </si>
  <si>
    <t>https://dirksavage88.medium.com</t>
  </si>
  <si>
    <t>https://discourse.openrobotics.org/t/event-cameras-benefits-and-challenges-within-aerial-robotics/45136</t>
  </si>
  <si>
    <t>https://discourse.ros.org/t/event-cameras-benefits-and-challenges-within-aerial-robotics/45136</t>
  </si>
  <si>
    <t>https://discover.dtic.mil/results/?q=event+cameras#gsc.tab=0&amp;gsc.q=event%20cameras&amp;gsc.page=1</t>
  </si>
  <si>
    <t>https://discovery.ucl.ac.uk/id/eprint/10111582/1/TIP1.pdf</t>
  </si>
  <si>
    <t>Graph-Based Spatio-Temporal Feature Learning for Neuromorphic Vision Sensing</t>
  </si>
  <si>
    <t>TIP 2020</t>
  </si>
  <si>
    <t>https://dl.acm.org/citation.cfm?id=2744588</t>
  </si>
  <si>
    <t>https://dl.acm.org/citation.cfm?id=2954727</t>
  </si>
  <si>
    <t>https://dl.acm.org/doi/10.1145/3459066.3459075</t>
  </si>
  <si>
    <t>Standard and Event Cameras Fusion for Feature Tracking</t>
  </si>
  <si>
    <t>ICMVA 2021</t>
  </si>
  <si>
    <t>https://dl.acm.org/doi/10.1145/3523132.3523146</t>
  </si>
  <si>
    <t>ASL-SLAM: An Asynchronous Formulation of Lines for SLAM with Event Sensors</t>
  </si>
  <si>
    <t>ICIEA 2022</t>
  </si>
  <si>
    <t>https://dl.acm.org/doi/10.1145/3584954.3584996</t>
  </si>
  <si>
    <t>Translation and Scale Invariance for Event-Based Object tracking</t>
  </si>
  <si>
    <t>https://dl.acm.org/doi/10.1145/3584954.3584996),&lt;br</t>
  </si>
  <si>
    <t>https://dl.acm.org/doi/10.1145/3584954.3584997</t>
  </si>
  <si>
    <t>AEStream: Accelerated event-based processing with coroutines</t>
  </si>
  <si>
    <t>https://dl.acm.org/doi/10.1145/3584954.3584997),&lt;br</t>
  </si>
  <si>
    <t>https://dl.acm.org/doi/10.1145/3593587</t>
  </si>
  <si>
    <t>A Reconfigurable Architecture for Real-time Event-based Multi-Object Tracking</t>
  </si>
  <si>
    <t>TRT 2023</t>
  </si>
  <si>
    <t>https://dl.acm.org/doi/10.1145/3643832.3661415</t>
  </si>
  <si>
    <t>Poster: Profiling Event Vision Processing on Edge Devices</t>
  </si>
  <si>
    <t>MOBISYS 2024</t>
  </si>
  <si>
    <t>https://dl.acm.org/doi/10.1145/3676536.3676710</t>
  </si>
  <si>
    <t>https://dl.acm.org/doi/10.1145/3786794</t>
  </si>
  <si>
    <t>EvSAM: Segment Anything Model with Event-based Assistance</t>
  </si>
  <si>
    <t>TOMM 2026</t>
  </si>
  <si>
    <t>https://dl.acm.org/doi/abs/10.1145/3503161.3548048</t>
  </si>
  <si>
    <t>AEDNet: Asynchronous Event Denoising with Spatial-Temporal Correlation among Irregular Data</t>
  </si>
  <si>
    <t>MM 2022</t>
  </si>
  <si>
    <t>https://dl.acm.org/doi/abs/10.1145/3517343.3517372?casa_token=AU7qGbzeonEAAAAA:RdTJPVgB5ByVFMQy75U0lhZN05oizC78QgtVaUaUjgl5Slbmba0wCQ3DfxEfdCgmG4AUW4swcGiiQA</t>
  </si>
  <si>
    <t>Encoding Event-Based Data With a Hybrid SNN Guided Variational Auto-encoder in Neuromorphic Hardware</t>
  </si>
  <si>
    <t>NICE 2022</t>
  </si>
  <si>
    <t>https://dl.acm.org/doi/abs/10.1145/3574131.3574457</t>
  </si>
  <si>
    <t>6-DoF Pose Relocalization for Event Cameras With Entropy Frame and Attention Networks</t>
  </si>
  <si>
    <t>VRCAI 2022</t>
  </si>
  <si>
    <t>https://dl.acm.org/doi/abs/10.1145/3588028.3603683</t>
  </si>
  <si>
    <t>Updating Human Pose Estimation using Event-based Camera to Improve Its Accuracy</t>
  </si>
  <si>
    <t>SIGGRAPH 2023 poster</t>
  </si>
  <si>
    <t>https://dl.acm.org/doi/abs/10.1145/3589737.3605962</t>
  </si>
  <si>
    <t>Event-based stereopsis with wearable stereo vision demonstrator</t>
  </si>
  <si>
    <t>https://dl.acm.org/doi/abs/10.1145/3678529</t>
  </si>
  <si>
    <t>NeuroCamTags: Long-Range, Battery-free, Wireless Sensing with Neuromorphic Cameras</t>
  </si>
  <si>
    <t>IMWUT 2024</t>
  </si>
  <si>
    <t>https://dl.acm.org/doi/abs/10.1145/3699745</t>
  </si>
  <si>
    <t>https://dl.acm.org/doi/fullHtml/10.1145/3627631.3627650</t>
  </si>
  <si>
    <t>Hybrid SNN-based Privacy-Preserving Fall Detection using Neuromorphic Sensors</t>
  </si>
  <si>
    <t>ICVGIP 2023</t>
  </si>
  <si>
    <t>https://dl.acm.org/doi/pdf/10.1145/3587819.3593028</t>
  </si>
  <si>
    <t>https://dl.acm.org/doi/pdf/10.1145/3636534.3694721</t>
  </si>
  <si>
    <t>EventTracker: 3D Localization and Tracking of High-Speed Object with Event and Depth Fusion</t>
  </si>
  <si>
    <t>PICASSO 2024</t>
  </si>
  <si>
    <t>https://dl.acm.org/doi/pdf/10.1145/3664647.3680992</t>
  </si>
  <si>
    <t>Optical Flow-Guided 6DoF Object Pose Tracking with an Event Camera</t>
  </si>
  <si>
    <t>ACM MM 2024</t>
  </si>
  <si>
    <t>https://dl.acm.org/ft_gateway.cfm?id=3229892&amp;ftid=1990359&amp;dwn=1&amp;CFID=41965358&amp;CFTOKEN=fe90e12f8b0b321e-23C508A3-0508-BCD6-37A17F6C8E171DAB</t>
  </si>
  <si>
    <t>https://docs.github.com/en/communities/documenting-your-project-with-wikis</t>
  </si>
  <si>
    <t>https://docs.google.com/document/d/10X0z4zznuV9j1OOjWpJGv-YCWujkF7FiYjG6efwUrP0/edit</t>
  </si>
  <si>
    <t>https://docs.google.com/document/d/16b4H78f4vG_QvYDK2Tq0sNBA-y7UFnRbNnsGbD1jJOg/edit?usp=sharing</t>
  </si>
  <si>
    <t>https://docs.google.com/document/d/1fb7VA8tdoxuYqZfrPfT46_wiT1isQZwTHgX8O22dJ0Q/edit#bookmark=id.a27r41y53r3t</t>
  </si>
  <si>
    <t>https://docs.google.com/document/d/1HM0CSmjO8nOpUeTvmPjopcBcVCk7KXvLUuiZFS6TWSg/pub</t>
  </si>
  <si>
    <t>https://docs.google.com/document/d/1m4gAHPkPIzVvhHirtSjzUJrKiD5uU2I76hTqXhk8CxI/edit?usp=sharing</t>
  </si>
  <si>
    <t>https://docs.google.com/document/d/1r9sRYANGuDTUcfSSq-sL4sd79SfjHGNRul_10uztDaI/edit?usp=sharing</t>
  </si>
  <si>
    <t>https://docs.google.com/document/d/1r9sRYANGuDTUcfSSq-sL4sd79SfjHGNRul_10uztDaI/pub</t>
  </si>
  <si>
    <t>https://docs.google.com/document/d/1rOltN_BaOTAMbP1chzFZxPjN24eTdbzuCrCM4S2o6qA/edit?usp=sharing</t>
  </si>
  <si>
    <t>https://docs.google.com/document/d/1zpShWZWwbyfp4uZzI5RkOZV-EfR8LGcnXnEa6qQhcys/edit?usp=sharing</t>
  </si>
  <si>
    <r>
      <rPr>
        <rFont val="Arial"/>
        <color theme="1"/>
        <sz val="10.0"/>
      </rPr>
      <t>Live Demo: Online Learning of Privileged Cartpole Pole Angle Offset with Embedded LSTM RNN</t>
    </r>
  </si>
  <si>
    <t>https://docs.google.com/document/d/e/2PACX-1vQ8HzlVv1ZzUEIfCUfUOUazXi__cacsCMU3LTqECrZk3-8nlyDCe2V29CHh20-cr42j8DrrMkFZGd14/pub</t>
  </si>
  <si>
    <t>https://docs.prophesee.ai</t>
  </si>
  <si>
    <t>https://docs.prophesee.ai/stable/data/encoding_formats/index.html</t>
  </si>
  <si>
    <t>https://docs.prophesee.ai/stable/installation/camera_plugins.html</t>
  </si>
  <si>
    <t>https://docs.prophesee.ai/stable/samples/modules/calibration/index.html</t>
  </si>
  <si>
    <t>https://docs.ros.org/en/foxy/The-ROS2-Project/Governance/ROS2-TSC-Charter.html</t>
  </si>
  <si>
    <t>https://docs.ros.org/en/galactic/The-ROS2-Project/Governance/How-To-Start-A-Community-Working-Group.html</t>
  </si>
  <si>
    <t>https://doi.ieeecomputersociety.org/10.1109/3DV.2018.00047</t>
  </si>
  <si>
    <t>Constant velocity 3D convolutions</t>
  </si>
  <si>
    <t>3DV 2018</t>
  </si>
  <si>
    <t>https://doi.ieeecomputersociety.org/10.1109/FG47880.2020.00069</t>
  </si>
  <si>
    <t>https://doi.ieeecomputersociety.org/10.1109/ICALT61570.2024.00052</t>
  </si>
  <si>
    <t>Enhancing Gesture Perception in Learning for Prosthetic Vision with Emerging Event Cameras</t>
  </si>
  <si>
    <t>ICALT 2024</t>
  </si>
  <si>
    <t>https://doi.ieeecomputersociety.org/10.1109/ICONS62911.2024.00020</t>
  </si>
  <si>
    <t>Timing Actions in Games Through Bio-Inspired Reinforcement Learning</t>
  </si>
  <si>
    <t>https://doi.ieeecomputersociety.org/10.1109/TVCG.2021.3067784</t>
  </si>
  <si>
    <t>Event Based, Near Eye Gaze Tracking Beyond 10,000Hz</t>
  </si>
  <si>
    <t>TVCG 2020</t>
  </si>
  <si>
    <t>https://doi.org/10.1002/9783527680863.ch2</t>
  </si>
  <si>
    <t>https://doi.org/10.1002/adfm.202420872</t>
  </si>
  <si>
    <t>A Bio‐Inspired Event‐Driven Mechanoluminescent Visuotactile Sensor for Intelligent Interactions</t>
  </si>
  <si>
    <t>ADFM 2025</t>
  </si>
  <si>
    <t>https://doi.org/10.1002/advs.202510338</t>
  </si>
  <si>
    <t>Ultrafast Dynamic Defect Inspection With Computational Neuromorphic Imaging</t>
  </si>
  <si>
    <t>Adv Sci 2025</t>
  </si>
  <si>
    <t>https://doi.org/10.1002/aisy.202400243</t>
  </si>
  <si>
    <t>EVI-SAM: Robust, Real-time, Tightly-coupled Event-Visual-Inertial State Estimation and 3D Dense Mapping</t>
  </si>
  <si>
    <t>https://doi.org/10.1002/aisy.202400265</t>
  </si>
  <si>
    <t>https://doi.org/10.1002/aisy.202401065</t>
  </si>
  <si>
    <t>Flight of the Future: An Experimental Analysis of Event-Based Vision for Online Perception Onboard Flapping-Wing Robots</t>
  </si>
  <si>
    <t>AISY 2025</t>
  </si>
  <si>
    <t>https://doi.org/10.1002/cta.70091</t>
  </si>
  <si>
    <t>A Multifunctional Pixel With Temperature‐Sensing Capability for Threshold Correction in Dynamic Vision Sensor</t>
  </si>
  <si>
    <t>CTA 2025</t>
  </si>
  <si>
    <t>https://doi.org/10.1002/ece3.70150</t>
  </si>
  <si>
    <t>Millisecond-scale behaviours of plankton quantified in vitro and in situ using the Event-based Vision Sensor</t>
  </si>
  <si>
    <t>ECE 2024</t>
  </si>
  <si>
    <t>https://doi.org/10.1002/inf2.70007</t>
  </si>
  <si>
    <t>Thin‐film event‐based vision sensors for enhanced multispectral perception beyond human vision</t>
  </si>
  <si>
    <t>InfoMat 2025</t>
  </si>
  <si>
    <t>https://doi.org/10.1002/lpor.202400647</t>
  </si>
  <si>
    <t>Angle‐Based Neuromorphic Wave Normal Sensing</t>
  </si>
  <si>
    <t>LPOR 2024</t>
  </si>
  <si>
    <t>https://doi.org/10.1002/lpor.202500106</t>
  </si>
  <si>
    <t>A Neuromorphic Camera for Tracking Passive and Active Matter with Lower Data Throughput</t>
  </si>
  <si>
    <t>LPOR 2025</t>
  </si>
  <si>
    <t>https://doi.org/10.1002/lpor.202502501</t>
  </si>
  <si>
    <t>Multi‐Object Motion Real‐Time Perception Enabled by All‐in‐One Optoelectronic Memory</t>
  </si>
  <si>
    <t>LPOR 2026</t>
  </si>
  <si>
    <t>https://doi.org/10.1002/widm.1310</t>
  </si>
  <si>
    <t>https://doi.org/10.1007/978-3-030-01418-6_24</t>
  </si>
  <si>
    <t>https://doi.org/10.1007/978-3-030-11024-6_54</t>
  </si>
  <si>
    <t>Unsupervised Event-Based Optical Flow Using Motion Compensation</t>
  </si>
  <si>
    <t>ECCVW 2018</t>
  </si>
  <si>
    <t>https://doi.org/10.1007/978-3-030-21074-8_35</t>
  </si>
  <si>
    <t>https://doi.org/10.1007/978-3-030-22750-0_13</t>
  </si>
  <si>
    <t>https://doi.org/10.1007/978-3-030-30642-7_28</t>
  </si>
  <si>
    <t>https://doi.org/10.1007/978-3-030-58574-7_4</t>
  </si>
  <si>
    <t>https://doi.org/10.1007/978-3-030-67832-6_29</t>
  </si>
  <si>
    <t>https://doi.org/10.1007/978-3-031-21065-5_15</t>
  </si>
  <si>
    <t>Event-Based Visual Tracking in Dynamic Environments</t>
  </si>
  <si>
    <t>ROBOT 2022</t>
  </si>
  <si>
    <t>https://doi.org/10.1007/978-3-031-28715-2_8</t>
  </si>
  <si>
    <t>Event Vision for Autonomous Off-Road Navigation</t>
  </si>
  <si>
    <t>Book</t>
  </si>
  <si>
    <t>AIRAS 2023</t>
  </si>
  <si>
    <t>https://doi.org/10.1007/978-3-031-31438-4_34</t>
  </si>
  <si>
    <t>https://doi.org/10.1007/978-3-031-64553-2_41</t>
  </si>
  <si>
    <t>https://doi.org/10.1007/978-3-031-72640-8_13</t>
  </si>
  <si>
    <t>Un-EVIMO: Unsupervised Event-based Independent Motion Segmentation</t>
  </si>
  <si>
    <t>https://doi.org/10.1007/978-3-031-72646-0_2</t>
  </si>
  <si>
    <t>https://doi.org/10.1007/978-3-031-72658-3_8</t>
  </si>
  <si>
    <t>https://doi.org/10.1007/978-3-031-85859-8_26</t>
  </si>
  <si>
    <t>Event-Based Vision for Robot Soccer</t>
  </si>
  <si>
    <t>RoboCup 2024</t>
  </si>
  <si>
    <t>https://doi.org/10.1007/978-3-031-92460-6_14</t>
  </si>
  <si>
    <t>https://doi.org/10.1007/978-3-031-92460-6_19</t>
  </si>
  <si>
    <t>https://doi.org/10.1007/978-3-031-95911-0_16</t>
  </si>
  <si>
    <t>Efficient Real-Time Quadcopter Propeller Detection and Attribute Estimation with High-Resolution Event Camera</t>
  </si>
  <si>
    <t>SCIA 2025</t>
  </si>
  <si>
    <t>https://doi.org/10.1007/978-3-032-04129-6_12</t>
  </si>
  <si>
    <t>A Primer on Neuromorphic Hardware: Underlying Principles and Approaches—From Sensors to Processors</t>
  </si>
  <si>
    <t>MIMS 2026</t>
  </si>
  <si>
    <t>https://doi.org/10.1007/978-3-032-06665-7_4</t>
  </si>
  <si>
    <t>ODDNet-Object Detection in Dark with Attention-Driven RGB-Event Fusion</t>
  </si>
  <si>
    <t>ICT4SD 2025</t>
  </si>
  <si>
    <t>https://doi.org/10.1007/978-3-319-11656-3_16</t>
  </si>
  <si>
    <t>https://doi.org/10.1007/978-3-319-19258-1_27</t>
  </si>
  <si>
    <t>https://doi.org/10.1007/978-3-319-44781-0_54</t>
  </si>
  <si>
    <t>https://doi.org/10.1007/978-3-319-49685-6_13</t>
  </si>
  <si>
    <t>https://doi.org/10.1007/978-3-319-50862-7_7</t>
  </si>
  <si>
    <t>https://doi.org/10.1007/978-3-319-63537-8_11</t>
  </si>
  <si>
    <t>https://doi.org/10.1007/978-3-642-04667-4_18</t>
  </si>
  <si>
    <t>https://doi.org/10.1007/978-3-642-27549-4_80</t>
  </si>
  <si>
    <t>https://doi.org/10.1007/978-981-13-6553-9_18</t>
  </si>
  <si>
    <t>https://doi.org/10.1007/978-981-95-3664-1_3</t>
  </si>
  <si>
    <t>Single-Modal Object Tracking</t>
  </si>
  <si>
    <t>ACVPR 2026</t>
  </si>
  <si>
    <t>https://doi.org/10.1007/978-981-96-6972-1_1</t>
  </si>
  <si>
    <t>eSports Broadcasts with Event Cameras</t>
  </si>
  <si>
    <t>https://doi.org/10.1007/978-981-96-9964-3</t>
  </si>
  <si>
    <t>Joint Frame and Event Object Tracking via Non-causal State Space Duality</t>
  </si>
  <si>
    <t>ICIC 2025</t>
  </si>
  <si>
    <t>https://doi.org/10.1007/978-981-99-9610-0_8</t>
  </si>
  <si>
    <t>Event-Based Sensing for Improved Traffic Detection and Tracking in Intelligent Transport Systems Toward Sustainable Mobility</t>
  </si>
  <si>
    <t>IACESD 2023</t>
  </si>
  <si>
    <t>https://doi.org/10.1007/s00034-025-03141-6</t>
  </si>
  <si>
    <t>Efficient Edge-AI with Binarized Neural Networks and CMOS Image Sensors: A Sparsity-Driven Approach</t>
  </si>
  <si>
    <t>CSSP 2025</t>
  </si>
  <si>
    <t>https://doi.org/10.1007/s00348-011-1207-y</t>
  </si>
  <si>
    <t>https://doi.org/10.1007/s00348-024-03877-y</t>
  </si>
  <si>
    <t>KF-PEV: a causal Kalman filter-based particle event velocimetry</t>
  </si>
  <si>
    <t>Exp Fluids 2024</t>
  </si>
  <si>
    <t>https://doi.org/10.1007/s00348-024-03946-2</t>
  </si>
  <si>
    <t>Dynamic wall shear stress measurement using event-based 3d particle tracking</t>
  </si>
  <si>
    <t>Exp Fluids 2025</t>
  </si>
  <si>
    <t>https://doi.org/10.1007/s00348-025-04003-2</t>
  </si>
  <si>
    <t>Benchmark evaluation of event-based imaging velocimetry using digital micro-mirror device</t>
  </si>
  <si>
    <t>https://doi.org/10.1007/s00348-025-04127-5</t>
  </si>
  <si>
    <t>An evaluation of event-based cameras for particle image velocimetry</t>
  </si>
  <si>
    <t>https://doi.org/10.1007/s00348-025-04170-2</t>
  </si>
  <si>
    <t>An event-data-enhanced particle streak velocimetry based on the fusion of event- and frame-based cameras</t>
  </si>
  <si>
    <t>Exp Fluids 2026</t>
  </si>
  <si>
    <t>https://doi.org/10.1007/s00371-021-02237-9</t>
  </si>
  <si>
    <t>https://doi.org/10.1007/s00371-023-03183-4</t>
  </si>
  <si>
    <t>A motion denoising algorithm with Gaussian self-adjusting threshold for event camera</t>
  </si>
  <si>
    <t>TVC 2024</t>
  </si>
  <si>
    <t>https://doi.org/10.1007/s00371-025-04309-6</t>
  </si>
  <si>
    <t>UREPtrack: single-branch PoolFormer for unified attention-free RGB-event visual object tracking</t>
  </si>
  <si>
    <t>Vis Comput 2025</t>
  </si>
  <si>
    <t>https://doi.org/10.1007/s00422-023-00975-8</t>
  </si>
  <si>
    <t>Learning heterogeneous delays in a layer of spiking neurons for fast motion detection</t>
  </si>
  <si>
    <t>Biol Cybern 2023</t>
  </si>
  <si>
    <t>https://doi.org/10.1007/s00521-024-10686-1</t>
  </si>
  <si>
    <t>SE-GCL: an event-based simple and effective graph contrastive learning for text representation</t>
  </si>
  <si>
    <t>Neural Comput &amp; Applic 2025</t>
  </si>
  <si>
    <t>https://doi.org/10.1007/s10489-024-06019-3</t>
  </si>
  <si>
    <t>GFENet: group-wise feature-enhanced network for steering angle prediction by fusing events and images</t>
  </si>
  <si>
    <t>Appl Intell 2025</t>
  </si>
  <si>
    <t>https://doi.org/10.1007/s10489-025-07047-3</t>
  </si>
  <si>
    <t>Lane mark segmentation from sparse event image via lightweight large kernel network</t>
  </si>
  <si>
    <t>Appl Intell 2026</t>
  </si>
  <si>
    <t>https://doi.org/10.1007/s10845-021-01887-9</t>
  </si>
  <si>
    <t>Real-time grasping strategies using event camera</t>
  </si>
  <si>
    <t>J Intell Manuf 2022</t>
  </si>
  <si>
    <t>https://doi.org/10.1007/s11063-024-11551-x</t>
  </si>
  <si>
    <t>Research on event target recognition based on DRUNet and multi-scale attention</t>
  </si>
  <si>
    <t>NPL 2024</t>
  </si>
  <si>
    <t>https://doi.org/10.1007/s11263-017-1050-6</t>
  </si>
  <si>
    <t>EMVS: Event-Based Multi-View Stereo—3D Reconstruction with an Event Camera in Real-Time</t>
  </si>
  <si>
    <t>IJCV 2018</t>
  </si>
  <si>
    <t>https://doi.org/10.1007/s11263-018-1106-2</t>
  </si>
  <si>
    <t>https://doi.org/10.1007/s11263-020-01410-2</t>
  </si>
  <si>
    <t>https://doi.org/10.1007/s11263-023-01959-8</t>
  </si>
  <si>
    <t>A Universal Event-Based Plug-In Module for Visual Object Tracking in Degraded Conditions</t>
  </si>
  <si>
    <t>IJCV 2023</t>
  </si>
  <si>
    <t>https://doi.org/10.1007/s11263-025-02379-6</t>
  </si>
  <si>
    <t>METS: Motion-Encoded Time-Surface for Event-Based High-Speed Pose Tracking</t>
  </si>
  <si>
    <t>https://doi.org/10.1007/s11263-025-02438-y</t>
  </si>
  <si>
    <t>RGB-D Visual Perception for Occluded Scenes via Event Camera</t>
  </si>
  <si>
    <t>https://doi.org/10.1007/s11263-025-02488-2</t>
  </si>
  <si>
    <t>High-Rate Monocular Depth Estimation via Cross Frame-Rate Collaboration of Frames and Events</t>
  </si>
  <si>
    <t>https://doi.org/10.1007/s11263-025-02666-2</t>
  </si>
  <si>
    <t>Efficient Vision Transformer with Token Sparsification for Event-Based Object Tracking</t>
  </si>
  <si>
    <t>IJCV 2026</t>
  </si>
  <si>
    <t>https://doi.org/10.1007/s11263-025-02670-6</t>
  </si>
  <si>
    <t>Learning Robust Event-Guided Representations for Person Re-Identification</t>
  </si>
  <si>
    <t>https://doi.org/10.1007/s11554-024-01422-y</t>
  </si>
  <si>
    <t>Temporal feature markers for event cameras</t>
  </si>
  <si>
    <t>JRTIP 2024</t>
  </si>
  <si>
    <t>https://doi.org/10.1007/s11633-022-1350-3</t>
  </si>
  <si>
    <t>Image De-occlusion via Event-enhanced Multi-modal Fusion Hybrid Network</t>
  </si>
  <si>
    <t>MIR 2022</t>
  </si>
  <si>
    <t>https://doi.org/10.1007/s11633-022-1370-z</t>
  </si>
  <si>
    <t>https://doi.org/10.1007/s11760-024-03571-w</t>
  </si>
  <si>
    <t>EBSTracker: event-based space multi-object tracking with bidirectional self-attention and multi-stage data association</t>
  </si>
  <si>
    <t>SIViP 2025</t>
  </si>
  <si>
    <t>https://doi.org/10.1007/s11760-025-03945-8</t>
  </si>
  <si>
    <t>Global-regional-local multilevel lightweight attention modeling for event-based efficient video reconstruction</t>
  </si>
  <si>
    <t>https://doi.org/10.1007/s11801-025-4091-z</t>
  </si>
  <si>
    <t>Clustering-based temporal deep neural network denoising method for event-based sensors</t>
  </si>
  <si>
    <t>Optoelectronics Letters 2025</t>
  </si>
  <si>
    <t>https://doi.org/10.1007/s12530-025-09755-0</t>
  </si>
  <si>
    <t>Spiking neural networks: a comprehensive review of diverse applications, research progress, challenges and future research directions</t>
  </si>
  <si>
    <t>Evolving Systems 2025</t>
  </si>
  <si>
    <t>https://doi.org/10.1007/s12650-025-01053-w</t>
  </si>
  <si>
    <t>A temporally adaptive particle tracking velocimetry using continuous-wave illumination for fused event-and frame-based cameras</t>
  </si>
  <si>
    <t>J Visualization 2025</t>
  </si>
  <si>
    <t>https://doi.org/10.1007/s12650-025-01065-6</t>
  </si>
  <si>
    <t>Flow-induced oscillation dynamics of a U-shaped buckled membrane: a comparison with the leading-edge-clamped membrane</t>
  </si>
  <si>
    <t>JVis 2025</t>
  </si>
  <si>
    <t>https://doi.org/10.1007/s40042-022-00684-8</t>
  </si>
  <si>
    <t>High-speed three-dimensional image pickup system using an event camera and integral imaging</t>
  </si>
  <si>
    <t>J. Korean Phys. Soc. 2023</t>
  </si>
  <si>
    <t>https://doi.org/10.1007/s40295-023-00423-6</t>
  </si>
  <si>
    <t>Simulation and Analysis of Event Camera Data for Non-resolved Objects</t>
  </si>
  <si>
    <t>JAS 2023</t>
  </si>
  <si>
    <t>https://doi.org/10.1007/s40295-025-00523-5</t>
  </si>
  <si>
    <t>Event-Based Sensor Noise Modeling for Space-Based Space Domain Awareness</t>
  </si>
  <si>
    <t>JAS 2025</t>
  </si>
  <si>
    <t>https://doi.org/10.1007/s42486-025-00212-0</t>
  </si>
  <si>
    <t>Dynolayout: robust layout estimation from event-stream for extended reality under dynamic scenarios</t>
  </si>
  <si>
    <t>CCFTPCI 2025</t>
  </si>
  <si>
    <t>https://doi.org/10.1007/s44295-025-00065-4</t>
  </si>
  <si>
    <t>UTNet: event-RGB multimodal fusion model for underwater transparent organism detection</t>
  </si>
  <si>
    <t>IMTS 2025</t>
  </si>
  <si>
    <t>https://doi.org/10.1016/j.aei.2025.103300</t>
  </si>
  <si>
    <t>Neuromorphic computing-enabled generalized machine fault diagnosis with dynamic vision</t>
  </si>
  <si>
    <t>JAEI 2025</t>
  </si>
  <si>
    <t>https://doi.org/10.1016/j.aej.2025.04.098</t>
  </si>
  <si>
    <t>Temporal Pyramid Alignment and Adaptive Fusion of Event Stream and Image Frame for Keypoint Detection and Tracking in Autonomous Driving</t>
  </si>
  <si>
    <t>JAEJ 2025</t>
  </si>
  <si>
    <t>https://doi.org/10.1016/j.aej.2025.07.020</t>
  </si>
  <si>
    <t>E-BTS: A low-power Event-driven Blink Tracking System with hardware-software co-optimized design for real-time driver drowsiness detection</t>
  </si>
  <si>
    <t>AEJ 2025</t>
  </si>
  <si>
    <t>https://doi.org/10.1016/j.asoc.2025.114345</t>
  </si>
  <si>
    <t>TactiCore: An event-driven haptic recognition framework with KD-tree and Z-order fusion for high-precision robotic tactile perception</t>
  </si>
  <si>
    <t>JASOC 2025</t>
  </si>
  <si>
    <t>https://doi.org/10.1016/j.asr.2026.01.079</t>
  </si>
  <si>
    <t>Spacecraft Angular Rate Estimation via Event-Based Camera Sensing</t>
  </si>
  <si>
    <t>JASR 2026</t>
  </si>
  <si>
    <t>https://doi.org/10.1016/j.ast.2025.110338</t>
  </si>
  <si>
    <t>Cross-Modal Fusion of Monocular images and Neuromorphic streams for 6D Pose Estimation of Non-Cooperative Targets</t>
  </si>
  <si>
    <t>JAST 2025</t>
  </si>
  <si>
    <t>https://doi.org/10.1016/j.ast.2025.111039</t>
  </si>
  <si>
    <t>Event-RGB Fusion for Spacecraft Pose Estimation Under Harsh Lighting</t>
  </si>
  <si>
    <t>https://doi.org/10.1016/j.ast.2025.111160</t>
  </si>
  <si>
    <t>Development of neuromorphic event-based imaging spectroscopy for hypersonic flight observation</t>
  </si>
  <si>
    <t>https://doi.org/10.1016/j.autcon.2025.106007</t>
  </si>
  <si>
    <t>Three-dimensional reconstruction of asphalt pavement macrotexture using event camera and evolved recurrent convolution network</t>
  </si>
  <si>
    <t>AutCon 2025</t>
  </si>
  <si>
    <t>https://doi.org/10.1016/j.commtr.2025.100202</t>
  </si>
  <si>
    <t>Beyond conventional vision: RGB-event fusion for robust object detection in dynamic traffic scenarios</t>
  </si>
  <si>
    <t>JCOMMTR 2025</t>
  </si>
  <si>
    <t>https://doi.org/10.1016/j.compeleceng.2024.109432</t>
  </si>
  <si>
    <t>Event Vision-based Corner Detection with Count-normalized Multi-Layer Perceptron and Throughput Indicator</t>
  </si>
  <si>
    <t>CompEE 2024</t>
  </si>
  <si>
    <t>https://doi.org/10.1016/j.conb.2010.03.007</t>
  </si>
  <si>
    <t>https://doi.org/10.1016/j.cviu.2023.103817</t>
  </si>
  <si>
    <t>https://doi.org/10.1016/j.cviu.2025.104619</t>
  </si>
  <si>
    <t>EventSleep2: Sleep activity recognition on complete night sleep recordings with an event camera</t>
  </si>
  <si>
    <t>https://doi.org/10.1016/j.cviu.2026.104650</t>
  </si>
  <si>
    <t>Indoor UAV navigation using event cameras and intermediate frame reconstruction</t>
  </si>
  <si>
    <t>CVIU 2026</t>
  </si>
  <si>
    <t>https://doi.org/10.1016/j.dib.2024.110340</t>
  </si>
  <si>
    <t>https://doi.org/10.1016/j.dib.2026.112491</t>
  </si>
  <si>
    <t>C3I-SynMicrosaccade: A Pipeline and Dataset for Microsaccade Recognition Using Neuromorphic Event Camera Streams</t>
  </si>
  <si>
    <t>JDIB 2026</t>
  </si>
  <si>
    <t>https://doi.org/10.1016/j.displa.2025.102985</t>
  </si>
  <si>
    <t>UnSP: Improving event-to-image reconstruction with uncertainty guided self-paced learning</t>
  </si>
  <si>
    <t>JDISPLA 2025</t>
  </si>
  <si>
    <t>https://doi.org/10.1016/j.displa.2025.103303</t>
  </si>
  <si>
    <t>Lightweight deformable attention for event-based monocular depth estimation</t>
  </si>
  <si>
    <t>Displays 2025</t>
  </si>
  <si>
    <t>https://doi.org/10.1016/j.displa.2026.103340</t>
  </si>
  <si>
    <t>AFFLIE: Adaptive feature fusion for low-light image enhancement</t>
  </si>
  <si>
    <t>https://doi.org/10.1016/j.engappai.2025.112445</t>
  </si>
  <si>
    <t>Dynamic vision-based machine vibration sensing and fault diagnosis with signal alignment and feature clustering</t>
  </si>
  <si>
    <t>JEngAppAI 2025</t>
  </si>
  <si>
    <t>https://doi.org/10.1016/j.engappai.2025.112606</t>
  </si>
  <si>
    <t>Event-based video interpolation via complementary motion information</t>
  </si>
  <si>
    <t>JEAAI 2025</t>
  </si>
  <si>
    <t>https://doi.org/10.1016/j.engappai.2025.113359</t>
  </si>
  <si>
    <t>Event-based low-power spiking gaze estimation</t>
  </si>
  <si>
    <t>Engappai 2025</t>
  </si>
  <si>
    <t>https://doi.org/10.1016/j.engappai.2026.113721</t>
  </si>
  <si>
    <t>DualFormer: A dual-branch transformer framework for frame-event tracking with complementary fusion attention and sparse spatial channel attention</t>
  </si>
  <si>
    <t>JENGAPPAI 2026</t>
  </si>
  <si>
    <t>https://doi.org/10.1016/j.eswa.2023.119917</t>
  </si>
  <si>
    <t>Event-based video deblurring based on image and event feature fusion</t>
  </si>
  <si>
    <t>ESWA 2023</t>
  </si>
  <si>
    <t>https://doi.org/10.1016/j.eswa.2023.122743</t>
  </si>
  <si>
    <t>Two-stage cross-fusion network for stereo event-based depth estimation</t>
  </si>
  <si>
    <t>JESWA 2023</t>
  </si>
  <si>
    <t>https://doi.org/10.1016/j.eswa.2024.125746</t>
  </si>
  <si>
    <t>Hyper real-time flame detection: Dynamic insights from event cameras and FlaDE dataset</t>
  </si>
  <si>
    <t>JESWA 2024</t>
  </si>
  <si>
    <t>https://doi.org/10.1016/j.eswa.2025.128988</t>
  </si>
  <si>
    <t>Recurrent event-guided multimodal fusion for high dynamic range video reconstruction</t>
  </si>
  <si>
    <t>JESWA 2025</t>
  </si>
  <si>
    <t>https://doi.org/10.1016/j.eswa.2025.129044</t>
  </si>
  <si>
    <t>Event-Driven Multimodal Fusion for Image Motion Deblurring</t>
  </si>
  <si>
    <t>https://doi.org/10.1016/j.eswa.2025.129802</t>
  </si>
  <si>
    <t>E2D-GS: Event-Enhanced Deblurring Gaussian Splatting</t>
  </si>
  <si>
    <t>https://doi.org/10.1016/j.eswa.2025.129977</t>
  </si>
  <si>
    <t>Spiking Depth: Depth Estimation from Sparse Events with Spiking Neural Networks</t>
  </si>
  <si>
    <t>https://doi.org/10.1016/j.eswa.2025.130055</t>
  </si>
  <si>
    <t>FFEvent: Fast Fourier-based Knowledge Transfer for Event Cameras</t>
  </si>
  <si>
    <t>https://doi.org/10.1016/j.eswa.2025.130628</t>
  </si>
  <si>
    <t>MATRIX-HAR: Lightweight Temporal Motion-guided Feature Network with Adaptive Temporal Resolution Based Transfer Learning for Resource-Constrained Event Camera-based Human Action Recognition</t>
  </si>
  <si>
    <t>https://doi.org/10.1016/j.expthermflusci.2025.111425</t>
  </si>
  <si>
    <t>An assessment of event-based imaging velocimetry for efficient estimation of low-dimensional coordinates in turbulent flows</t>
  </si>
  <si>
    <t>JETFS 2025</t>
  </si>
  <si>
    <t>https://doi.org/10.1016/j.expthermflusci.2025.111554</t>
  </si>
  <si>
    <t>A novel event-based ensemble particle tracking velocimetry for single-pixel turbulence statistics</t>
  </si>
  <si>
    <t>ETF 2025</t>
  </si>
  <si>
    <t>https://doi.org/10.1016/j.fmre.2023.08.004</t>
  </si>
  <si>
    <t>Nighttime Traffic Object Detection via Adaptively Integrating Event and Frame Domains</t>
  </si>
  <si>
    <t>FMRE 2023</t>
  </si>
  <si>
    <t>https://doi.org/10.1016/j.ifacol.2025.10.184</t>
  </si>
  <si>
    <t>Neuromorphic Motion Segmentation with Spiking Neural Networks for Robotic Perception</t>
  </si>
  <si>
    <t>JIFACOL 2025</t>
  </si>
  <si>
    <t>https://doi.org/10.1016/j.image.2024.117136</t>
  </si>
  <si>
    <t>STCC-Filter: A space-time-content correlation-based noise filter with self-adjusting threshold for event camera</t>
  </si>
  <si>
    <t>JImage 2024</t>
  </si>
  <si>
    <t>https://doi.org/10.1016/j.inffus.2024.102642</t>
  </si>
  <si>
    <t>MREIFlow: Unsupervised dense and time-continuous optical flow estimation from and event data</t>
  </si>
  <si>
    <t>INFFUS 2024</t>
  </si>
  <si>
    <t>https://doi.org/10.1016/j.inffus.2024.102891</t>
  </si>
  <si>
    <t>Depth cue fusion for event-based stereo depth estimation</t>
  </si>
  <si>
    <t>https://doi.org/10.1016/j.inffus.2025.103211</t>
  </si>
  <si>
    <t>High-resolution synthetic aperture imaging method and benchmark based on event-frame fusion</t>
  </si>
  <si>
    <t>INFFUS 2025</t>
  </si>
  <si>
    <t>https://doi.org/10.1016/j.inffus.2025.103697</t>
  </si>
  <si>
    <t>Fusion techniques of frame and event cameras in autonomous driving: A review</t>
  </si>
  <si>
    <t>https://doi.org/10.1016/j.ins.2024.120660</t>
  </si>
  <si>
    <t>Intelligent Event-Based Lip Reading Word Classification with SNN Using Spatio-Temporal Attention Features and Triplet Loss</t>
  </si>
  <si>
    <t>JINS 2024</t>
  </si>
  <si>
    <t>https://doi.org/10.1016/j.ins.2024.121539</t>
  </si>
  <si>
    <t>Hierarchical Event-RGB Interaction Network for Single-eye Expression Recognition</t>
  </si>
  <si>
    <t>https://doi.org/10.1016/j.ins.2025.123026</t>
  </si>
  <si>
    <t>Semantics-aware high-frequency enhancement for event-based lip-reading</t>
  </si>
  <si>
    <t>JINS 2025</t>
  </si>
  <si>
    <t>https://doi.org/10.1016/j.isprsjprs.2025.03.013</t>
  </si>
  <si>
    <t>Hybrid depth-event pose estimation for online dense reconstruction in challenging conditions</t>
  </si>
  <si>
    <t>JPRS 2025</t>
  </si>
  <si>
    <t>https://doi.org/10.1016/j.jag.2025.105019</t>
  </si>
  <si>
    <t>WECMD: A multisensor dataset for wearable event cameras in the age of embodied intelligence</t>
  </si>
  <si>
    <t>JJAG 2025</t>
  </si>
  <si>
    <t>https://doi.org/10.1016/j.jmsy.2023.03.001</t>
  </si>
  <si>
    <t>https://doi.org/10.1016/j.measurement.2025.117262</t>
  </si>
  <si>
    <t>An innovational GNN-based Urban Traffic-flow measuring approach using dynamic vision sensor</t>
  </si>
  <si>
    <t>Measurement 2025</t>
  </si>
  <si>
    <t>https://doi.org/10.1016/j.measurement.2025.117854</t>
  </si>
  <si>
    <t>A high-precision calibration method for event cameras towards space situational awareness</t>
  </si>
  <si>
    <t>https://doi.org/10.1016/j.measurement.2025.119309</t>
  </si>
  <si>
    <t>A Hough Transform-based calibration approach for event camera</t>
  </si>
  <si>
    <t>https://doi.org/10.1016/j.mejo.2023.105737</t>
  </si>
  <si>
    <t>Advances in silicon-based in-sensor computing for neuromorphic vision sensors</t>
  </si>
  <si>
    <t>JMEJO 2023</t>
  </si>
  <si>
    <t>https://doi.org/10.1016/j.mejo.2024.106236</t>
  </si>
  <si>
    <t>A dual threshold adaptation method to dynamic vision sensor pixel</t>
  </si>
  <si>
    <t>JMEJO 2024</t>
  </si>
  <si>
    <t>https://doi.org/10.1016/j.mejo.2025.106781</t>
  </si>
  <si>
    <t>A low-latency event-trigger-circuit-shared pixel for synchronous dynamic vision sensor</t>
  </si>
  <si>
    <t>JMEJO 2025</t>
  </si>
  <si>
    <t>https://doi.org/10.1016/j.micpro.2025.105171</t>
  </si>
  <si>
    <t>High Throughput Event Filtering: The Interpolation-based DIF Algorithm Hardware Architecture</t>
  </si>
  <si>
    <t>JMICPRO 2025</t>
  </si>
  <si>
    <t>https://doi.org/10.1016/j.micpro.2025.105240</t>
  </si>
  <si>
    <t>Spike-based neuromorphic computing: An overview from bio-inspiration to hardware architectures and learning mechanisms</t>
  </si>
  <si>
    <t>https://doi.org/10.1016/j.nanoen.2025.111490</t>
  </si>
  <si>
    <t>A Neuromorphic Photodetector with Ferroelectric-Controlled Static, Event, and Short-Term Memory Modes for On-Chip Real-Time Spatiotemporal Classification and Motion Prediction</t>
  </si>
  <si>
    <t>Nano Energy 2025</t>
  </si>
  <si>
    <t>https://doi.org/10.1016/j.neucom.2018.02.019</t>
  </si>
  <si>
    <t>https://doi.org/10.1016/j.neucom.2018.12.048</t>
  </si>
  <si>
    <t>https://doi.org/10.1016/j.neucom.2023.127010</t>
  </si>
  <si>
    <t>https://doi.org/10.1016/j.neucom.2024.128132</t>
  </si>
  <si>
    <t>Generalizing event-based HDR imaging to various exposures</t>
  </si>
  <si>
    <t>Neurocomputing 2024</t>
  </si>
  <si>
    <t>https://doi.org/10.1016/j.neucom.2024.128657</t>
  </si>
  <si>
    <t>Spiking Neural Networks for event-based action recognition: : A new task to understand their advantage</t>
  </si>
  <si>
    <t>JNEUCOM 2025</t>
  </si>
  <si>
    <t>https://doi.org/10.1016/j.neucom.2025.129678</t>
  </si>
  <si>
    <t>Neuromorphic event-based recognition boosted by motion-aware learning</t>
  </si>
  <si>
    <t>https://doi.org/10.1016/j.neucom.2025.129776</t>
  </si>
  <si>
    <t>Event-based video reconstruction via attention-based recurrent network</t>
  </si>
  <si>
    <t>https://doi.org/10.1016/j.neucom.2025.129899</t>
  </si>
  <si>
    <t>Event-based optical flow: Method categorisation and review of techniques that leverage deep learning</t>
  </si>
  <si>
    <t>https://doi.org/10.1016/j.neucom.2025.129974</t>
  </si>
  <si>
    <t>Spectrum-guided Spatial Feature Enhancement Network for event-based lip-reading</t>
  </si>
  <si>
    <t>https://doi.org/10.1016/j.neucom.2025.130026</t>
  </si>
  <si>
    <t>Event denoising for dynamic vision sensor using residual graph neural network with density-based spatial clustering</t>
  </si>
  <si>
    <t>https://doi.org/10.1016/j.neucom.2025.130136</t>
  </si>
  <si>
    <t>A modified automatic label generation method under low-light environments for event-based semantic segmentation</t>
  </si>
  <si>
    <t>https://doi.org/10.1016/j.neucom.2025.131221</t>
  </si>
  <si>
    <t>Advancements in neuromorphic computing for bio-inspired artificial vision: A review</t>
  </si>
  <si>
    <t>https://doi.org/10.1016/j.neucom.2025.131745</t>
  </si>
  <si>
    <t>A novel energy-efficient spike transformer network for depth estimation from event cameras via cross-modality knowledge distillation</t>
  </si>
  <si>
    <t>Neurocomputing 2025</t>
  </si>
  <si>
    <t>https://doi.org/10.1016/j.neucom.2025.131773</t>
  </si>
  <si>
    <t>MSER: Multi-scale event representation model for enhanced spatio-temporal feature extraction</t>
  </si>
  <si>
    <t>https://doi.org/10.1016/j.neucom.2025.132458</t>
  </si>
  <si>
    <t>Visual SLAM in the era of heterogeneous intelligence coexistence: A survey</t>
  </si>
  <si>
    <t>J Neucom 2025</t>
  </si>
  <si>
    <t>https://doi.org/10.1016/j.neunet.2011.11.001</t>
  </si>
  <si>
    <t>https://doi.org/10.1016/j.neunet.2013.03.006</t>
  </si>
  <si>
    <t>https://doi.org/10.1016/j.neunet.2015.02.013</t>
  </si>
  <si>
    <t>https://doi.org/10.1016/j.neunet.2024.106415</t>
  </si>
  <si>
    <t>A robust event-driven approach to always-on object recognition</t>
  </si>
  <si>
    <t>Neural Networks 2024</t>
  </si>
  <si>
    <t>https://doi.org/10.1016/j.neunet.2024.106948</t>
  </si>
  <si>
    <t>TENet: Targetness Entanglement Incorporating with Multi-Scale Pooling and Mutually-Guided Fusion for RGB-E Object Tracking</t>
  </si>
  <si>
    <t>JNeuNet 2024</t>
  </si>
  <si>
    <t>https://doi.org/10.1016/j.neunet.2025.107447</t>
  </si>
  <si>
    <t>Event-based Optical Flow on Neuromorphic Processor: ANN vs. SNN Comparison based on Activation Sparsification</t>
  </si>
  <si>
    <t>JNEUNET 2025</t>
  </si>
  <si>
    <t>https://doi.org/10.1016/j.neunet.2025.107750</t>
  </si>
  <si>
    <t>Few-shot event-based action recognition</t>
  </si>
  <si>
    <t>NeuNet 2025</t>
  </si>
  <si>
    <t>https://doi.org/10.1016/j.neunet.2025.107790</t>
  </si>
  <si>
    <t>The Architecture Design and Training Optimization of Spiking Neural Network with Low-Latency and High-Performance for Classification and Segmentation</t>
  </si>
  <si>
    <t>https://doi.org/10.1016/j.neunet.2025.108024</t>
  </si>
  <si>
    <t>MSFI: Multi-timescale Spatio-temporal Features Integration in Spiking Neural Networks</t>
  </si>
  <si>
    <t>https://doi.org/10.1016/j.optlaseng.2022.107247</t>
  </si>
  <si>
    <t>Millisecond autofocusing microscopy using neuromorphic event sensing</t>
  </si>
  <si>
    <t>OptLasEng 2022</t>
  </si>
  <si>
    <t>https://doi.org/10.1016/j.optlaseng.2024.108431</t>
  </si>
  <si>
    <t>An event-guided image motion deblurring method based on dark channel prior loss</t>
  </si>
  <si>
    <t>JOptLasEng 2024</t>
  </si>
  <si>
    <t>https://doi.org/10.1016/j.optlaseng.2025.108944</t>
  </si>
  <si>
    <t>Reconstruction of moving small targets through scattering media: A hierarchical network approach integrating event information</t>
  </si>
  <si>
    <t>OptLasEng 2025</t>
  </si>
  <si>
    <t>https://doi.org/10.1016/j.optlaseng.2025.109368</t>
  </si>
  <si>
    <t>Dual-modality event-frame fusion for blind star image motion deblurring via sparse residual learning</t>
  </si>
  <si>
    <t>JOptLasEng 2025</t>
  </si>
  <si>
    <t>https://doi.org/10.1016/j.optlastec.2023.110136</t>
  </si>
  <si>
    <t>Event-based diffractive neural network chip for dynamic action recognition</t>
  </si>
  <si>
    <t>OptLasTec 2023</t>
  </si>
  <si>
    <t>https://doi.org/10.1016/j.optlastec.2025.113682</t>
  </si>
  <si>
    <t>Event-based structured light 3D reconstruction driven by spiking neural networks</t>
  </si>
  <si>
    <t>JOptLasTec 2025</t>
  </si>
  <si>
    <t>https://doi.org/10.1016/j.optlastec.2025.114083</t>
  </si>
  <si>
    <t>E-MLF: Event-based frequency detection for multiple light sources</t>
  </si>
  <si>
    <t>https://doi.org/10.1016/j.patcog.2023.110215</t>
  </si>
  <si>
    <t>Bimodal SegNet: Instance Segmentation Fusing Events and RGB Frames for Robotic Grasping</t>
  </si>
  <si>
    <t>https://doi.org/10.1016/j.patcog.2024.111320</t>
  </si>
  <si>
    <t>An Event-based motion scene feature extraction framework</t>
  </si>
  <si>
    <t>JPATCOG 2024</t>
  </si>
  <si>
    <t>https://doi.org/10.1016/j.patcog.2025.112718</t>
  </si>
  <si>
    <t>Revisiting Color-Event based Tracking: A Unified Network, Dataset, and Metric</t>
  </si>
  <si>
    <t>PR 2025</t>
  </si>
  <si>
    <t>https://doi.org/10.1016/j.rineng.2025.106771</t>
  </si>
  <si>
    <t>Event camera-based human pose estimation via hybrid spiking-point cloud neural architecture</t>
  </si>
  <si>
    <t>JRINENG 2025</t>
  </si>
  <si>
    <t>https://doi.org/10.1016/j.sigpro.2024.109580</t>
  </si>
  <si>
    <t>Cross-modal learning for optical flow estimation with events</t>
  </si>
  <si>
    <t>Signal Proc 2024</t>
  </si>
  <si>
    <t>https://doi.org/10.1016/j.sintl.2025.100355</t>
  </si>
  <si>
    <t>Real-time fault detection in robotic manufacturing using high-bandwidth event Vision-Based Tactile Sensing</t>
  </si>
  <si>
    <t>JSintl 2025</t>
  </si>
  <si>
    <t>https://doi.org/10.1016/j.visres.2025.108732</t>
  </si>
  <si>
    <t>Our machines need new eyes</t>
  </si>
  <si>
    <t>Vision Research 2025</t>
  </si>
  <si>
    <t>https://doi.org/10.1021/acsami.4c09303</t>
  </si>
  <si>
    <t>Artificial Amacrine Retinal Circuits</t>
  </si>
  <si>
    <t>ACS AMI 2024</t>
  </si>
  <si>
    <t>https://doi.org/10.1038/s41467-022-28487-2</t>
  </si>
  <si>
    <t>https://doi.org/10.1038/s41467-024-47811-6</t>
  </si>
  <si>
    <t>Spike-based dynamic computing with asynchronous sensing-computing neuromorphic chip</t>
  </si>
  <si>
    <t>Nat Commun 2024</t>
  </si>
  <si>
    <t>https://doi.org/10.1038/s41467-024-54789-8</t>
  </si>
  <si>
    <t>https://doi.org/10.1038/s41467-024-55094-0</t>
  </si>
  <si>
    <t>Neuromorphic-enabled video-activated cell sorting</t>
  </si>
  <si>
    <t>Nature Comm 2024</t>
  </si>
  <si>
    <t>https://doi.org/10.1038/s41467-025-57352-1</t>
  </si>
  <si>
    <t>The road to commercial success for neuromorphic technologies</t>
  </si>
  <si>
    <t>Nature Commun 2025</t>
  </si>
  <si>
    <t>https://doi.org/10.1038/s41467-025-64234-z</t>
  </si>
  <si>
    <t>Predictive Coding Light</t>
  </si>
  <si>
    <t>https://doi.org/10.1038/s41467-025-65387-7</t>
  </si>
  <si>
    <t>Exploiting neuro-inspired dynamic sparsity for energy-efficient intelligent perception</t>
  </si>
  <si>
    <t>https://doi.org/10.1038/s41467-025-65677-0</t>
  </si>
  <si>
    <t>Neuromorphic detection and cooling of microparticles in arrays</t>
  </si>
  <si>
    <t>https://doi.org/10.1038/s41565-022-01291-1</t>
  </si>
  <si>
    <t>https://doi.org/10.1038/s41566-023-01308-8</t>
  </si>
  <si>
    <t>Event-based vision sensor for fast and dense single-molecule localization microscopy</t>
  </si>
  <si>
    <t>Nature Photonics 2023</t>
  </si>
  <si>
    <t>https://doi.org/10.1038/s41586-025-08991-3</t>
  </si>
  <si>
    <t>Dynamic range and precision of hybrid vision sensors</t>
  </si>
  <si>
    <t>Nature 2025</t>
  </si>
  <si>
    <t>https://doi.org/10.1038/s41597-024-02920-1</t>
  </si>
  <si>
    <t>A neuromorphic dataset for tabletop object segmentation in indoor cluttered environment</t>
  </si>
  <si>
    <t>Sci Data 2024</t>
  </si>
  <si>
    <t>https://doi.org/10.1038/s41597-025-04536-5</t>
  </si>
  <si>
    <t>E-POSE: A Large Scale Event Camera Dataset for Object Pose Estimation</t>
  </si>
  <si>
    <t>Scientific Data 2025</t>
  </si>
  <si>
    <t>https://doi.org/10.1038/s41598-019-40064-0</t>
  </si>
  <si>
    <t>https://doi.org/10.1038/s41598-022-11723-6</t>
  </si>
  <si>
    <t>https://doi.org/10.1038/s41598-024-57333-2</t>
  </si>
  <si>
    <t>An Event-Oriented Diffusion-Refinement Method for Sparse Events Completion</t>
  </si>
  <si>
    <t>SciRep 2024</t>
  </si>
  <si>
    <t>https://doi.org/10.1038/s41598-025-09821-2</t>
  </si>
  <si>
    <t>The first observations of auroras with dynamic vision sensors</t>
  </si>
  <si>
    <t>SciRep 2025</t>
  </si>
  <si>
    <t>https://doi.org/10.1038/s41598-025-19215-z</t>
  </si>
  <si>
    <t>Boosting microparticle tracking with neuromorphic cameras by optical modulation</t>
  </si>
  <si>
    <t>https://doi.org/10.1038/s42005-025-02142-w</t>
  </si>
  <si>
    <t>Event-guided temporally super-resolved synchrotron X-ray imaging</t>
  </si>
  <si>
    <t>Comm Phys 2025</t>
  </si>
  <si>
    <t>https://doi.org/10.1038/s43588-024-00751-z</t>
  </si>
  <si>
    <t>Resistive memory-based zero-shot liquid state machine for multimodal event data learning</t>
  </si>
  <si>
    <t>Nature Comput Sci 2025</t>
  </si>
  <si>
    <t>https://doi.org/10.1038/s44172-025-00555-7</t>
  </si>
  <si>
    <t>Single photon event-driven 3D imaging</t>
  </si>
  <si>
    <t>Commun Eng 2026</t>
  </si>
  <si>
    <t>https://doi.org/10.1038/s44335-025-00031-7</t>
  </si>
  <si>
    <t>Bio-inspired optoelectronic devices and systems for energy-efficient in-sensor computing</t>
  </si>
  <si>
    <t>npj Unconv. Comput. 2025</t>
  </si>
  <si>
    <t>https://doi.org/10.1038/s44335-025-00036-2</t>
  </si>
  <si>
    <t>Integrated algorithm and hardware design for hybrid neuromorphic systems</t>
  </si>
  <si>
    <t>https://doi.org/10.1038/s44335-025-00046-0</t>
  </si>
  <si>
    <t>Modified spike backpropagation design towards highly parallelable hardware implementation</t>
  </si>
  <si>
    <t>NPJ UC</t>
  </si>
  <si>
    <t>https://doi.org/10.1038/s44335-025-00047-z</t>
  </si>
  <si>
    <t>AI-native robotic vision systems enabled by in-sensor computing</t>
  </si>
  <si>
    <t>https://doi.org/10.1038/s44460-025-00013-z</t>
  </si>
  <si>
    <t>Event-based neuromorphic sensing system with flexible haptic sensors and a memristive system on a chip</t>
  </si>
  <si>
    <t>Nature Sensors 2026</t>
  </si>
  <si>
    <t>https://doi.org/10.1039/D5JA00238A</t>
  </si>
  <si>
    <t>Attention-based multimodal fusion of event-reconstructed images and LIBS spectra using CNN and BiLSTM for metal classification</t>
  </si>
  <si>
    <t>JAAS 2025</t>
  </si>
  <si>
    <t>https://doi.org/10.1049/hve2.12498</t>
  </si>
  <si>
    <t>Discharge image reconstruction and frequency domain analysis based on event data</t>
  </si>
  <si>
    <t>HVE2 2024</t>
  </si>
  <si>
    <t>https://doi.org/10.1049/icp.2024.3288</t>
  </si>
  <si>
    <t>https://doi.org/10.1063/5.0090714</t>
  </si>
  <si>
    <t>Event-based vision in magneto-optic Kerr effect microscopy</t>
  </si>
  <si>
    <t>AIP advances</t>
  </si>
  <si>
    <t>https://doi.org/10.1063/5.0160748</t>
  </si>
  <si>
    <t>Recent advances in bioinspired vision sensor arrays based on advanced optoelectronic materials</t>
  </si>
  <si>
    <t>APL Mater 2023</t>
  </si>
  <si>
    <t>https://doi.org/10.1063/5.0199514</t>
  </si>
  <si>
    <t>Cell detection with convolutional spiking neural network for neuromorphic cytometry</t>
  </si>
  <si>
    <t>APL Mach Learning 2024</t>
  </si>
  <si>
    <t>https://doi.org/10.1073/pnas.2528654122</t>
  </si>
  <si>
    <t>Can neuromorphic computing help reduce AI's high energy cost?</t>
  </si>
  <si>
    <t>PNAS 2025</t>
  </si>
  <si>
    <t>https://doi.org/10.1080/10447318.2025.2491187</t>
  </si>
  <si>
    <t>E2GO: Free Your Hands for Smartphone Interaction</t>
  </si>
  <si>
    <t>IJHCI 2025</t>
  </si>
  <si>
    <t>https://doi.org/10.1080/10447318.2025.2595547</t>
  </si>
  <si>
    <t>Where Is My Eye? Spatial-Temporal Modeling for Event-Based Eye Tracking</t>
  </si>
  <si>
    <t>IJHCI 2026</t>
  </si>
  <si>
    <t>https://doi.org/10.1088/1748-0221/7/01/C01054</t>
  </si>
  <si>
    <t>https://doi.org/10.1088/1748-3190/ad2a7c</t>
  </si>
  <si>
    <t>Colorful image reconstruction from neuromorphic event cameras with biologically inspired deep color fusion neural networks</t>
  </si>
  <si>
    <t>Bioinspiration &amp; Biomimetics 2024</t>
  </si>
  <si>
    <t>https://doi.org/10.1088/2515-7639/adf35a</t>
  </si>
  <si>
    <t>Near-infrared-detectable artificial synapses for advanced neuromorphic vision applications</t>
  </si>
  <si>
    <t>JPM 2025</t>
  </si>
  <si>
    <t>https://doi.org/10.1088/2634-4386/ac2bed</t>
  </si>
  <si>
    <t>Optical flow estimation using the Fisher–Rao metric</t>
  </si>
  <si>
    <t>Neuromorph. Comput. Eng. 2021</t>
  </si>
  <si>
    <t>https://doi.org/10.1088/2634-4386/ad207b</t>
  </si>
  <si>
    <t>https://doi.org/10.1088/2634-4386/adf091</t>
  </si>
  <si>
    <t>Neuromorphic Touch for Robotics-a review</t>
  </si>
  <si>
    <t>https://doi.org/10.1089/soro.2022.0030</t>
  </si>
  <si>
    <t>Proprioception and Exteroception of a Soft Robotic Finger Using Neuromorphic Vision-Based Sensing</t>
  </si>
  <si>
    <t>fscence</t>
  </si>
  <si>
    <t>https://doi.org/10.1101/2022.07.22.501162</t>
  </si>
  <si>
    <t>https://doi.org/10.1108/SR-03-2021-0095</t>
  </si>
  <si>
    <t>https://doi.org/10.1109/3DV.2018.00047</t>
  </si>
  <si>
    <t>https://doi.org/10.1109/3DV.2018.00080</t>
  </si>
  <si>
    <t>ACE: An Efficient Asynchronous Corner Tracker for Event Cameras</t>
  </si>
  <si>
    <t>https://doi.org/10.1109/3DV53792.2021.00030</t>
  </si>
  <si>
    <t>E-RAFT: Dense Optical Flow from Event Cameras</t>
  </si>
  <si>
    <t>3DV 2021</t>
  </si>
  <si>
    <t>https://doi.org/10.1109/3DV53792.2021.00048</t>
  </si>
  <si>
    <t>Event Guided Depth Sensing</t>
  </si>
  <si>
    <t>https://doi.org/10.1109/3DV53792.2021.00124</t>
  </si>
  <si>
    <t>ESL: Event-based Structured Light</t>
  </si>
  <si>
    <t>https://doi.org/10.1109/81.788808</t>
  </si>
  <si>
    <t>https://doi.org/10.1109/A-SSCC60305.2024.10849082</t>
  </si>
  <si>
    <t>A Real-Time Event Vision Sensor based Object Detection and Tracking System for Edge Applications</t>
  </si>
  <si>
    <t>ASSCC 2024</t>
  </si>
  <si>
    <t>https://doi.org/10.1109/ACC.2015.7171931</t>
  </si>
  <si>
    <t>https://doi.org/10.1109/ACCESS.2018.2883340</t>
  </si>
  <si>
    <t>https://doi.org/10.1109/ACCESS.2019.2933594</t>
  </si>
  <si>
    <t>https://doi.org/10.1109/ACCESS.2019.2941282</t>
  </si>
  <si>
    <t>https://doi.org/10.1109/ACCESS.2019.2943160</t>
  </si>
  <si>
    <t>https://doi.org/10.1109/ACCESS.2020.2978109</t>
  </si>
  <si>
    <t>https://doi.org/10.1109/ACCESS.2020.2996661</t>
  </si>
  <si>
    <t>https://doi.org/10.1109/ACCESS.2020.3015759</t>
  </si>
  <si>
    <t>https://doi.org/10.1109/ACCESS.2020.3017738</t>
  </si>
  <si>
    <t>https://doi.org/10.1109/ACCESS.2021.3071261</t>
  </si>
  <si>
    <t>Neuromorphic Eye-in-Hand Visual Servoing</t>
  </si>
  <si>
    <t>https://doi.org/10.1109/ACCESS.2021.3085708</t>
  </si>
  <si>
    <t>Making Sense of Neuromorphic Event Data for Human Action Recognition</t>
  </si>
  <si>
    <t>https://doi.org/10.1109/ACCESS.2022.3154895</t>
  </si>
  <si>
    <t>https://doi.org/10.1109/ACCESS.2022.3177744</t>
  </si>
  <si>
    <t>https://doi.org/10.1109/ACCESS.2023.3297500</t>
  </si>
  <si>
    <t>https://doi.org/10.1109/ACCESS.2023.3312190</t>
  </si>
  <si>
    <t>https://doi.org/10.1109/ACCESS.2023.3316143</t>
  </si>
  <si>
    <t>https://doi.org/10.1109/ACCESS.2023.3328220</t>
  </si>
  <si>
    <t>Event-Based Gesture and Facial Expression Recognition: A Comparative Analysis</t>
  </si>
  <si>
    <t>https://doi.org/10.1109/ACCESS.2024.3371487</t>
  </si>
  <si>
    <t>Optimization of Event Camera Bias Settings for a Neuromorphic Driver Monitoring System</t>
  </si>
  <si>
    <t>IEEE Access 2024</t>
  </si>
  <si>
    <t>https://doi.org/10.1109/ACCESS.2024.3462109</t>
  </si>
  <si>
    <t>Event Camera-Based Eye Motion Analysis: A Survey</t>
  </si>
  <si>
    <t>Access 2024</t>
  </si>
  <si>
    <t>https://doi.org/10.1109/ACCESS.2025.3549910</t>
  </si>
  <si>
    <t>Event-Based Multi-Task Facial Landmark and Blink Detection</t>
  </si>
  <si>
    <t>Access 2025</t>
  </si>
  <si>
    <t>https://doi.org/10.1109/ACCESS.2025.3551073</t>
  </si>
  <si>
    <t>A Double Deep Learning-based Solution for Efficient Event Data Coding and Classification</t>
  </si>
  <si>
    <t>https://doi.org/10.1109/ACCESS.2025.3580578</t>
  </si>
  <si>
    <t>A Novel Approach for Pulse Signals Extraction and Heart Rate Estimation with Hilbert Space Orthogonalization Using Event-based Camera</t>
  </si>
  <si>
    <t>https://doi.org/10.1109/ACCESS.2025.3584382</t>
  </si>
  <si>
    <t>Instant Slow-Motion Visualization of High-Speed Phenomena Based on Event Camera</t>
  </si>
  <si>
    <t>https://doi.org/10.1109/ACCESS.2025.3589506</t>
  </si>
  <si>
    <t>EvSat3D: Satellite Pose Estimation and 3D Reconstruction with Event Camera</t>
  </si>
  <si>
    <t>https://doi.org/10.1109/AICAS.2019.8771472</t>
  </si>
  <si>
    <t>https://doi.org/10.1109/AICAS.2019.8771512</t>
  </si>
  <si>
    <t>https://doi.org/10.1109/AICAS.2019.8771520</t>
  </si>
  <si>
    <t>https://doi.org/10.1109/AICAS54282.2022.9869977</t>
  </si>
  <si>
    <t>Neuromorphic Event-Based Spatio-temporal Attention using Adaptive Mechanisms</t>
  </si>
  <si>
    <t>AICAS 2022</t>
  </si>
  <si>
    <t>https://doi.org/10.1109/AIRC64931.2025.11077548</t>
  </si>
  <si>
    <t>Event-Based Ratslam: Enhancing Ratslam with Event-Aligned Velocity Estimation and Kalman Filtering for Mapping</t>
  </si>
  <si>
    <t>AIRC 2025</t>
  </si>
  <si>
    <t>https://doi.org/10.1109/ASAP49362.2020.00038</t>
  </si>
  <si>
    <t>https://doi.org/10.1109/ASICON66040.2025.11326462</t>
  </si>
  <si>
    <t>Full-spiking Bio-inspired Target Detection Vision Algorithm based on Gating Attention Prediction for DVS and SPAD Sensors</t>
  </si>
  <si>
    <t>ASICON 2025</t>
  </si>
  <si>
    <t>https://doi.org/10.1109/ASYU58738.2023.10296754</t>
  </si>
  <si>
    <t>Fully Convolutional Event-camera Voice Activity Detection Based on Event Intensity</t>
  </si>
  <si>
    <t>ASYU 2023</t>
  </si>
  <si>
    <t>https://doi.org/10.1109/BIOCAS.2009.5372034</t>
  </si>
  <si>
    <t>https://doi.org/10.1109/BioCAS.2013.6679698</t>
  </si>
  <si>
    <t>https://doi.org/10.1109/BioCAS.2014.6981681</t>
  </si>
  <si>
    <t>https://doi.org/10.1109/BioCAS.2014.6981783</t>
  </si>
  <si>
    <t>https://doi.org/10.1109/BioCAS54905.2022.9948687</t>
  </si>
  <si>
    <t>FPGA Implementation of An Event-driven Saliency-based Selective Attention Model</t>
  </si>
  <si>
    <t>BioCAS 2022</t>
  </si>
  <si>
    <t>https://doi.org/10.1109/BioCAS61083.2024.10798206</t>
  </si>
  <si>
    <t>Neuromorphic Electronics at BioCAS: A 20-year Legacy of Sparking Technology Revolutions</t>
  </si>
  <si>
    <t>BioCAS 2024</t>
  </si>
  <si>
    <t>https://doi.org/10.1109/BioCAS61083.2024.10798345</t>
  </si>
  <si>
    <t>Memory in Motion: Exploring Leaky Integration of Time Surfaces for Event-based Eye-tracking</t>
  </si>
  <si>
    <t>https://doi.org/10.1109/BIOSIG55365.2022.9897039</t>
  </si>
  <si>
    <t>GAIT3: An Event-based, Visible and Thermal Database for Gait Recognition</t>
  </si>
  <si>
    <t>BIOSIG 2022</t>
  </si>
  <si>
    <t>https://doi.org/10.1109/CAI64502.2025.00137</t>
  </si>
  <si>
    <t>When Event-Based Shape from Polarization Meets Spiking Neural Networks</t>
  </si>
  <si>
    <t>CAI 2025</t>
  </si>
  <si>
    <t>https://doi.org/10.1109/CANDAR68384.2025.00026</t>
  </si>
  <si>
    <t>Ultra Low Latency Spiking Locally Competitive Algorithm for Spatio-temporal Data and Hierarchical Networks</t>
  </si>
  <si>
    <t>CANDAR 2025</t>
  </si>
  <si>
    <t>https://doi.org/10.1109/CASE58245.2025.11163738</t>
  </si>
  <si>
    <t>Bringing Loop Closure To Event-based SLAM: A Place Recognition Approach</t>
  </si>
  <si>
    <t>CASE 2025</t>
  </si>
  <si>
    <t>https://doi.org/10.1109/CCTA53793.2025.11151501</t>
  </si>
  <si>
    <t>EVO-RatSLAM: A Biologically-Inspired SLAM for Event-Based Visual Odometry</t>
  </si>
  <si>
    <t>CCTA 2025</t>
  </si>
  <si>
    <t>https://doi.org/10.1109/CDC.2015.7402002</t>
  </si>
  <si>
    <t>https://doi.org/10.1109/CDC.2016.7798722</t>
  </si>
  <si>
    <t>https://doi.org/10.1109/CDC49753.2023.10383696</t>
  </si>
  <si>
    <t>Asymptotically Optimal Finite-Dimensional Approximations for Linear Filtering with Infinite-Dimensional Measurements</t>
  </si>
  <si>
    <t>CDC 2024</t>
  </si>
  <si>
    <t>https://doi.org/10.1109/CDC57313.2025.11312322</t>
  </si>
  <si>
    <t>Spiking control for the stabilization of linear time-invariant systems: An emulation-based design approach</t>
  </si>
  <si>
    <t>CDC 2025</t>
  </si>
  <si>
    <t>https://doi.org/10.1109/CISP-BMEI60920.2023.10373309</t>
  </si>
  <si>
    <t>Speckle-Projection-Based High-Speed 3D Reconstruction Using Event Cameras</t>
  </si>
  <si>
    <t>CISP-BMEI 2023</t>
  </si>
  <si>
    <t>https://doi.org/10.1109/CISP-BMEI60920.2023.10373321</t>
  </si>
  <si>
    <t>Laser Scanning Measurement based on Event Cameras</t>
  </si>
  <si>
    <t>https://doi.org/10.1109/CISS50987.2021.9400234</t>
  </si>
  <si>
    <t>https://doi.org/10.1109/CISS50987.2021.9400308</t>
  </si>
  <si>
    <t>https://doi.org/10.1109/CLEO/Europe-EQEC65582.2025.11110537</t>
  </si>
  <si>
    <t>Affordable High-Frequency Interrogation of Optical Fiber Speckle Sensors with Event-Based Cameras</t>
  </si>
  <si>
    <t>CLEO 2025</t>
  </si>
  <si>
    <t>https://doi.org/10.1109/COASE.2019.8843238</t>
  </si>
  <si>
    <t>https://doi.org/10.1109/CONECCT57959.2023.10234775</t>
  </si>
  <si>
    <t>AeVIO: Asynchronous Event based Visual Inertial Odometry</t>
  </si>
  <si>
    <t>CONECCT 2023</t>
  </si>
  <si>
    <t>https://doi.org/10.1109/CONIT65521.2025.11166960</t>
  </si>
  <si>
    <t>Event-Based Imaging for High-Speed Object Detection: A Neuromorphic Computing Approach</t>
  </si>
  <si>
    <t>CONIT 2025</t>
  </si>
  <si>
    <t>https://doi.org/10.1109/CRC55853.2022.10041200</t>
  </si>
  <si>
    <t xml:space="preserve">Event Tubelet Compressor: Generating Compact Representations for Event-Based Action Recognition </t>
  </si>
  <si>
    <t>CRC 2022</t>
  </si>
  <si>
    <t>https://doi.org/10.1109/CVIDL65390.2025.11085943</t>
  </si>
  <si>
    <t>Sex Detection in Poecilia Reticulata Based on Dual-Modal</t>
  </si>
  <si>
    <t>CVIDL 2025</t>
  </si>
  <si>
    <t>https://doi.org/10.1109/CVPR.2015.7298644</t>
  </si>
  <si>
    <t>Event-Driven Stereo Matching for Real-Time 3D Panoramic Vision</t>
  </si>
  <si>
    <t>CVPR 2015</t>
  </si>
  <si>
    <t>https://doi.org/10.1109/CVPR.2017.616</t>
  </si>
  <si>
    <t>Event-based Visual Inertial Odometry</t>
  </si>
  <si>
    <t>CVPR 2017</t>
  </si>
  <si>
    <t>https://doi.org/10.1109/CVPR.2017.781</t>
  </si>
  <si>
    <t>A Low Power, Fully Event-Based Gesture Recognition System</t>
  </si>
  <si>
    <t>https://doi.org/10.1109/CVPR52729.2023.00155</t>
  </si>
  <si>
    <t>https://doi.org/10.1109/CVPRW.2010.5543170</t>
  </si>
  <si>
    <t>https://doi.org/10.1109/CVPRW.2010.5543775</t>
  </si>
  <si>
    <t>https://doi.org/10.1109/CVPRW.2010.5543810</t>
  </si>
  <si>
    <t>https://doi.org/10.1109/CVPRW.2011.5981722</t>
  </si>
  <si>
    <t>https://doi.org/10.1109/CVPRW.2011.5981819</t>
  </si>
  <si>
    <t>https://doi.org/10.1109/CVPRW.2012.6238892</t>
  </si>
  <si>
    <t>https://doi.org/10.1109/CVPRW.2012.6238894</t>
  </si>
  <si>
    <t>https://doi.org/10.1109/CVPRW.2012.6238896</t>
  </si>
  <si>
    <t>https://doi.org/10.1109/CVPRW.2012.6238898</t>
  </si>
  <si>
    <t>https://doi.org/10.1109/CVPRW.2012.6239184</t>
  </si>
  <si>
    <t>https://doi.org/10.1109/CVPRW.2014.69</t>
  </si>
  <si>
    <t>A Novel HDR Depth Camera for Real-time 3D 360-degree Panoramic Vision</t>
  </si>
  <si>
    <t>CVPRW 2014</t>
  </si>
  <si>
    <t>https://doi.org/10.1109/CVPRW.2014.97</t>
  </si>
  <si>
    <t>A High-Performance Hardware Architecture for a Frameless Stereo Vision Algorithm Implemented on a FPGA Platform</t>
  </si>
  <si>
    <t>https://doi.org/10.1109/CVPRW59228.2023.00420</t>
  </si>
  <si>
    <t>https://doi.org/10.1109/CVPRW59228.2023.00422</t>
  </si>
  <si>
    <t>https://doi.org/10.1109/CVPRW63382.2024.00224</t>
  </si>
  <si>
    <t>ED-DCFNet: an unsupervised encoder-decoder neural model for event-driven feature extraction and object tracking</t>
  </si>
  <si>
    <t>https://doi.org/10.1109/CVPRW63382.2024.00568</t>
  </si>
  <si>
    <t>https://doi.org/10.1109/CVPRW67362.2025.00479</t>
  </si>
  <si>
    <t>https://doi.org/10.1109/CVPRW67362.2025.00480</t>
  </si>
  <si>
    <t>https://doi.org/10.1109/CVPRW67362.2025.00482</t>
  </si>
  <si>
    <t>https://doi.org/10.1109/CVPRW67362.2025.00484</t>
  </si>
  <si>
    <t>https://doi.org/10.1109/CyberC58899.2023.00023</t>
  </si>
  <si>
    <t>Event-Based Weak Target Detection and Tracking for Space Situational Awareness</t>
  </si>
  <si>
    <t>CyberC 2023</t>
  </si>
  <si>
    <t>https://doi.org/10.1109/DAC63849.2025.11132508</t>
  </si>
  <si>
    <t>Espresso: Exploiting the Sparsity Property in Event Sensors with Spatiotemporal Ordering</t>
  </si>
  <si>
    <t>DAC 2025</t>
  </si>
  <si>
    <t>https://doi.org/10.1109/DAC63849.2025.11133248</t>
  </si>
  <si>
    <t>Towards In-Situ Neuromorphic Computing Architecture for Event Stream Super-Resolution</t>
  </si>
  <si>
    <t>https://doi.org/10.1109/DASC62030.2024.10749524</t>
  </si>
  <si>
    <t>Martian Flight: Enabling Motion Estimation of NASA's Next-Generation Mars Flying Drone by Implementing a Neuromorphic Event-Camera and Explainable Fuzzy Spiking Neural Network Model</t>
  </si>
  <si>
    <t>DASC 2024</t>
  </si>
  <si>
    <t>https://doi.org/10.1109/DCC.2018.00020</t>
  </si>
  <si>
    <t>Spike coding for dynamic vision sensors</t>
  </si>
  <si>
    <t>DCC 2018</t>
  </si>
  <si>
    <t>https://doi.org/10.1109/DCIS67520.2025.11281900</t>
  </si>
  <si>
    <t>Three Decades of IMSE Neuromorphic Group</t>
  </si>
  <si>
    <t>DCIS 2025</t>
  </si>
  <si>
    <t>https://doi.org/10.1109/DICTA56598.2022.10034617</t>
  </si>
  <si>
    <t>Deep Learning For Pose Estimation From Event Camera</t>
  </si>
  <si>
    <t>DICTA 2023</t>
  </si>
  <si>
    <t>https://doi.org/10.1109/DSPWS.2006.265448</t>
  </si>
  <si>
    <t>https://doi.org/10.1109/EBCCSP.2015.7300672</t>
  </si>
  <si>
    <t>https://doi.org/10.1109/EBCCSP.2015.7300673</t>
  </si>
  <si>
    <t>https://doi.org/10.1109/EBCCSP.2016.7605086</t>
  </si>
  <si>
    <t>https://doi.org/10.1109/EBCCSP.2016.7605233</t>
  </si>
  <si>
    <t>https://doi.org/10.1109/EBCCSP.2016.7605244</t>
  </si>
  <si>
    <t>https://doi.org/10.1109/EBCCSP51266.2020.9291346</t>
  </si>
  <si>
    <t>https://doi.org/10.1109/EBCCSP56922.2022.9845500</t>
  </si>
  <si>
    <t>High-Throughput Asynchronous Convolutions for High-Resolution Event-Cameras</t>
  </si>
  <si>
    <t>EBCCSP 2022</t>
  </si>
  <si>
    <t>https://doi.org/10.1109/EBCCSP56922.2022.9845526</t>
  </si>
  <si>
    <t>[WIP] Unlocking Static Images for Training Event-driven Neural Networks</t>
  </si>
  <si>
    <t>https://doi.org/10.1109/EBCCSP56922.2022.9845595</t>
  </si>
  <si>
    <t>Work in Progress: Neuromorphic Cytometry, High-throughput Event-based flow Flow-Imaging</t>
  </si>
  <si>
    <t>https://doi.org/10.1109/EBCCSP56922.2022.9845622</t>
  </si>
  <si>
    <t>How Late is too Late? A Preliminary Event-based Latency Evaluation</t>
  </si>
  <si>
    <t>https://doi.org/10.1109/EBCCSP56922.2022.9845661</t>
  </si>
  <si>
    <t>Morphological, Object Detection Framework for Embedded, Event-based Sensing</t>
  </si>
  <si>
    <t>https://doi.org/10.1109/EBCCSP56922.2022.9845664</t>
  </si>
  <si>
    <t>A toolbox for neuromorphic perception in robotics</t>
  </si>
  <si>
    <t>https://doi.org/10.1109/ECMR.2015.7324048</t>
  </si>
  <si>
    <t>https://doi.org/10.1109/ESSDERC.2016.7599576</t>
  </si>
  <si>
    <t>https://doi.org/10.1109/ESSERC62670.2024.10719521</t>
  </si>
  <si>
    <t>https://doi.org/10.1109/EUSIPCO.2015.7362498</t>
  </si>
  <si>
    <t>https://doi.org/10.1109/FG.2018.00055</t>
  </si>
  <si>
    <t>Energy and Computation Efficient Audio-Visual Voice Activity Detection Driven by Event-Cameras</t>
  </si>
  <si>
    <t>FG 2018</t>
  </si>
  <si>
    <t>https://doi.org/10.1109/HUMANOIDS.2016.7803355</t>
  </si>
  <si>
    <t>https://doi.org/10.1109/I2MTC62753.2025.11078951</t>
  </si>
  <si>
    <t>Beyond RGB: Evaluating Event-Based and Light-Field Sensors for Perception in Highly Automated Vehicles</t>
  </si>
  <si>
    <t>I2MTC 2025</t>
  </si>
  <si>
    <t>https://doi.org/10.1109/IAEAC59436.2024.10503865</t>
  </si>
  <si>
    <t>Event-based Fast Visual-Inertial Odometry by Adaptive Slicing of Time Surface</t>
  </si>
  <si>
    <t>IAEAC 2024</t>
  </si>
  <si>
    <t>https://doi.org/10.1109/ICACI49185.2020.9177628</t>
  </si>
  <si>
    <t>https://doi.org/10.1109/ICAR46387.2019.8981569</t>
  </si>
  <si>
    <t>https://doi.org/10.1109/ICARSC65809.2025.10970178</t>
  </si>
  <si>
    <t>Online Classification of Human Gestures Through Event Camera Data Using a 3DCNN</t>
  </si>
  <si>
    <t>ICARSC 2025</t>
  </si>
  <si>
    <t>https://doi.org/10.1109/ICASSP40776.2020.9053002</t>
  </si>
  <si>
    <t>https://doi.org/10.1109/ICASSP40776.2020.9054584</t>
  </si>
  <si>
    <t>https://doi.org/10.1109/ICASSP43922.2022.9746331</t>
  </si>
  <si>
    <t>https://doi.org/10.1109/ICASSP48485.2024.10447951</t>
  </si>
  <si>
    <t>Token-Based Spatiotemporal Representation of the Events</t>
  </si>
  <si>
    <t>https://doi.org/10.1109/ICASSP49357.2023.10094677</t>
  </si>
  <si>
    <t>Event-Based Visual Microphone</t>
  </si>
  <si>
    <t>https://doi.org/10.1109/ICASSP49660.2025.10888388</t>
  </si>
  <si>
    <t>Flexible Event-Driven Biological Imaging via Bayesian Inference</t>
  </si>
  <si>
    <t>https://doi.org/10.1109/ICASSP49660.2025.10888665</t>
  </si>
  <si>
    <t>Adaptive Gradient-Based Timesurface for Event-based Detection</t>
  </si>
  <si>
    <t>https://doi.org/10.1109/ICASSP49660.2025.10888760</t>
  </si>
  <si>
    <t>https://doi.org/10.1109/ICASSP49660.2025.10889195</t>
  </si>
  <si>
    <t>SNNPTrack: Spiking Neural Network Based Prompt for High-Accuracy RGBE Tracking</t>
  </si>
  <si>
    <t>https://doi.org/10.1109/ICASSP49660.2025.10889468</t>
  </si>
  <si>
    <t>Two-Stream Spiking Neural Network for Event-based Action Recognition</t>
  </si>
  <si>
    <t>https://doi.org/10.1109/ICASSP49660.2025.10889628</t>
  </si>
  <si>
    <t>Event-based Video Person Re-identification via Cross-Modality and Temporal Collaboration</t>
  </si>
  <si>
    <t>https://doi.org/10.1109/ICCCWorkshops67136.2025.11148099</t>
  </si>
  <si>
    <t>NOMA Digital Semantic Communication for Neuromorphic Multi-task Edge Inference</t>
  </si>
  <si>
    <t>ICCCW 2025</t>
  </si>
  <si>
    <t>https://doi.org/10.1109/ICCE59016.2024.10444301</t>
  </si>
  <si>
    <t>Enhancing Scene Understanding in VR for Visually Impaired Individuals with High-Frame Videos and Event Overlays</t>
  </si>
  <si>
    <t>ICCE 2024</t>
  </si>
  <si>
    <t>https://doi.org/10.1109/ICCKE60553.2023.10326267</t>
  </si>
  <si>
    <t>Intensity-Image Reconstruction Using Event Camera Data by Changing in LSTM Update</t>
  </si>
  <si>
    <t>ICCKE 2023</t>
  </si>
  <si>
    <t>https://doi.org/10.1109/ICCPHOT.2015.7168370</t>
  </si>
  <si>
    <t>MC3D: Motion Contrast 3D Scanning</t>
  </si>
  <si>
    <t>ICCP 2015</t>
  </si>
  <si>
    <t>https://doi.org/10.1109/ICCPHOT.2017.7951488</t>
  </si>
  <si>
    <t>Real-Time Panoramic Tracking for Event Cameras</t>
  </si>
  <si>
    <t>ICCP 2017</t>
  </si>
  <si>
    <t>https://doi.org/10.1109/ICCV.2015.63</t>
  </si>
  <si>
    <t>Contour Detection and Characterization for Asynchronous Event Sensors</t>
  </si>
  <si>
    <t>ICCV 2015</t>
  </si>
  <si>
    <t>https://doi.org/10.1109/ICCV51070.2023.01219</t>
  </si>
  <si>
    <t>https://doi.org/10.1109/ICCVW.2009.5457625</t>
  </si>
  <si>
    <t>https://doi.org/10.1109/ICCVW.2011.6130437</t>
  </si>
  <si>
    <t>https://doi.org/10.1109/ICCVW.2013.13</t>
  </si>
  <si>
    <t>https://doi.org/10.1109/ICDSC.2007.4357509</t>
  </si>
  <si>
    <t>https://doi.org/10.1109/ICECS.2006.379767</t>
  </si>
  <si>
    <t>https://doi.org/10.1109/ICECS.2008.4674996</t>
  </si>
  <si>
    <t>https://doi.org/10.1109/ICECS.2011.6122221</t>
  </si>
  <si>
    <t>https://doi.org/10.1109/ICECS46596.2019.8964964</t>
  </si>
  <si>
    <t>https://doi.org/10.1109/ICECS58634.2023.10382873</t>
  </si>
  <si>
    <t>CDS Free Frame Differencing Event Vision Pixel with Lateral Overflow Capacitor for Dynamic Range Extension</t>
  </si>
  <si>
    <t>ICECS 2024</t>
  </si>
  <si>
    <t>https://doi.org/10.1109/ICECS61496.2024.10848983</t>
  </si>
  <si>
    <t>Enhancing Dynamic Vision Sensors Performance with a Photovoltaic Receptor</t>
  </si>
  <si>
    <t>https://doi.org/10.1109/ICEIC61013.2024.10457200</t>
  </si>
  <si>
    <t>Enhancing Object Detection Accuracy Through RGB and Event Fusion in Motion Blurred Images</t>
  </si>
  <si>
    <t>ICEIC 2024</t>
  </si>
  <si>
    <t>https://doi.org/10.1109/ICIBA62489.2024.10869252</t>
  </si>
  <si>
    <t>A Real-time Sparse Semantic Segmentation Approach for Event-based Vision Sensors</t>
  </si>
  <si>
    <t>ICIBA 2024</t>
  </si>
  <si>
    <t>https://doi.org/10.1109/ICICC63565.2024.10780721</t>
  </si>
  <si>
    <t>Dynamic Obstacle Detection for Quadrotors with Event Cameras</t>
  </si>
  <si>
    <t>ICICC 2024</t>
  </si>
  <si>
    <t>https://doi.org/10.1109/ICICSP66564.2025.11338275</t>
  </si>
  <si>
    <t>Enhancing Spikeformer Interacting with Spatio-Temporal Attention for Accurate Human Action Recognition</t>
  </si>
  <si>
    <t>ICICSP 2025</t>
  </si>
  <si>
    <t>https://doi.org/10.1109/ICIP.2014.7025040</t>
  </si>
  <si>
    <t>Real-time motion estimation based on event-based vision sensor</t>
  </si>
  <si>
    <t>ICIP 2014</t>
  </si>
  <si>
    <t>https://doi.org/10.1109/ICIP.2014.7025834</t>
  </si>
  <si>
    <t>Uniformly minimum variance unbiased estimation for asynchronous event-based cameras</t>
  </si>
  <si>
    <t>https://doi.org/10.1109/ICIP.2016.7532523</t>
  </si>
  <si>
    <t>Context-Aware Event-driven Stereo Matching</t>
  </si>
  <si>
    <t>https://doi.org/10.1109/ICIP40778.2020.9190830</t>
  </si>
  <si>
    <t>https://doi.org/10.1109/ICIP40778.2020.9191114</t>
  </si>
  <si>
    <t>https://doi.org/10.1109/ICIP40778.2020.9191148</t>
  </si>
  <si>
    <t>https://doi.org/10.1109/ICIP42928.2021.9506561</t>
  </si>
  <si>
    <t>An Attention Fusion Network For Event-Based Vehicle Object Detection</t>
  </si>
  <si>
    <t>https://doi.org/10.1109/ICIP49359.2023.10222287</t>
  </si>
  <si>
    <t>Event Data Stream Compression Based on Point Cloud Representation</t>
  </si>
  <si>
    <t>ICIP 2023</t>
  </si>
  <si>
    <t>https://doi.org/10.1109/ICIP49359.2023.10222777</t>
  </si>
  <si>
    <t>Introducing A Framework for Single-Human Tracking Using Event-Based Cameras</t>
  </si>
  <si>
    <t>https://doi.org/10.1109/ICIP49359.2023.10222922</t>
  </si>
  <si>
    <t>Video Super-Resolution Via Event-Driven Temporal Alignment</t>
  </si>
  <si>
    <t>https://doi.org/10.1109/ICIP55913.2025.11084303</t>
  </si>
  <si>
    <t>Long-Short Exposure Fusion With Event Data For Low-Light Video Enhancement</t>
  </si>
  <si>
    <t>ICIP 2025</t>
  </si>
  <si>
    <t>https://doi.org/10.1109/ICIP55913.2025.11084381</t>
  </si>
  <si>
    <t>Event-based Egocentric Human Pose Estimation in Dynamic Environment</t>
  </si>
  <si>
    <t>https://doi.org/10.1109/ICIP55913.2025.11084548</t>
  </si>
  <si>
    <t>WaveE2VID: Frequency-Aware Event-Based Video Reconstruction</t>
  </si>
  <si>
    <t>https://doi.org/10.1109/ICIP55913.2025.11084717</t>
  </si>
  <si>
    <t>Event Denoising Based on Iterative Tree-Structured Information Aggregation</t>
  </si>
  <si>
    <t>https://doi.org/10.1109/ICIP55913.2025.11084739</t>
  </si>
  <si>
    <t>Event-Guided Motion Deblurring with Wavelet-Based Cross-Modal Feature Fusion</t>
  </si>
  <si>
    <t>https://doi.org/10.1109/ICIP55913.2025.11084751</t>
  </si>
  <si>
    <t>EventEgoHands: Event-based Egocentric 3D Hand Mesh Reconstruction</t>
  </si>
  <si>
    <t>https://doi.org/10.1109/ICME.2019.00242</t>
  </si>
  <si>
    <t>https://doi.org/10.1109/ICMEW63481.2024.10645394</t>
  </si>
  <si>
    <t>A Micro-Expression Recognition System with Event Cameras</t>
  </si>
  <si>
    <t>ICMEW 2024</t>
  </si>
  <si>
    <t>https://doi.org/10.1109/ICNC64304.2024.10987707</t>
  </si>
  <si>
    <t>EMDepth: Self-Supervised Event-Based Monocular Depth Estimation</t>
  </si>
  <si>
    <t>ICNC 2025</t>
  </si>
  <si>
    <t>https://doi.org/10.1109/ICNSC62968.2024.10760025</t>
  </si>
  <si>
    <t>A Novel Dynamic Vision Sensor Image Rain Removal Method Based on Event Density Clustering</t>
  </si>
  <si>
    <t>ICNSC 2024</t>
  </si>
  <si>
    <t>https://doi.org/10.1109/ICNSC62968.2024.10760193</t>
  </si>
  <si>
    <t>A Dynamic Visual Sensor Denoising Method Based on Event Density Classification</t>
  </si>
  <si>
    <t>https://doi.org/10.1109/ICONS62911.2024.00026</t>
  </si>
  <si>
    <t>Scalable Event-by-Event Processing of Neuromorphic Sensory Signals with Deep State-Space Models</t>
  </si>
  <si>
    <t>https://doi.org/10.1109/ICONS62911.2024.00033</t>
  </si>
  <si>
    <t>Digital Computing Continuum Abstraction for Neuromorphic Systems</t>
  </si>
  <si>
    <t>https://doi.org/10.1109/ICONS69015.2025.00015</t>
  </si>
  <si>
    <t>DESTformer: Energy-Efficient Monocular Depth Estimation with Spiking Transformer for Edge Devices</t>
  </si>
  <si>
    <t>https://doi.org/10.1109/ICONS69015.2025.00030</t>
  </si>
  <si>
    <t>Propeller-Based Drone Tracking with a Moving Neuromorphic Camera</t>
  </si>
  <si>
    <t>https://doi.org/10.1109/ICPADS67057.2025.11323098</t>
  </si>
  <si>
    <t>Ev-SLAM: Event-Based Visual SLAM Through Adaptive Neural Radiance Fields</t>
  </si>
  <si>
    <t>ICPADS 2025</t>
  </si>
  <si>
    <t>https://doi.org/10.1109/ICPR48806.2021.9413238</t>
  </si>
  <si>
    <t>A Lightweight Network to Learn Optical Flow from Event Data</t>
  </si>
  <si>
    <t>https://doi.org/10.1109/ICRA.2014.6906882</t>
  </si>
  <si>
    <t>Event-based 3D SLAM with a depth-augmented dynamic vision sensor</t>
  </si>
  <si>
    <t>ICRA 2014</t>
  </si>
  <si>
    <t>https://doi.org/10.1109/ICRA.2014.6906931</t>
  </si>
  <si>
    <t>Low-latency Event-based Visual Odometry</t>
  </si>
  <si>
    <t>https://doi.org/10.1109/ICRA.2014.6907270</t>
  </si>
  <si>
    <t>Event-based neural computing on an autonomous mobile platform</t>
  </si>
  <si>
    <t>https://doi.org/10.1109/ICRA.2016.7487657</t>
  </si>
  <si>
    <t>https://doi.org/10.1109/ICRA.2017.7989517</t>
  </si>
  <si>
    <t>Event-based Feature Tracking with Probabilistic Data Association</t>
  </si>
  <si>
    <t>ICRA 2017</t>
  </si>
  <si>
    <t>https://doi.org/10.1109/ICRA.2018.8460541</t>
  </si>
  <si>
    <t>A Controlled-Delay Event Camera Framework for On-Line Robotics</t>
  </si>
  <si>
    <t>ICRA 2018</t>
  </si>
  <si>
    <t>https://doi.org/10.1109/ICRA.2019.8793924</t>
  </si>
  <si>
    <t>Mixed Frame-/Event-Driven Fast Pedestrian Detection</t>
  </si>
  <si>
    <t>https://doi.org/10.1109/ICRA40945.2020.9197046</t>
  </si>
  <si>
    <t>NeuroTac: A Neuromorphic Optical Tactile Sensor applied to Texture Recognition</t>
  </si>
  <si>
    <t>https://doi.org/10.1109/ICRA46639.2022.9811805</t>
  </si>
  <si>
    <t>DEVO: Depth-Event Camera Visual Odometry in Challenging Conditions</t>
  </si>
  <si>
    <t>https://doi.org/10.1109/ICRA46639.2022.9812003</t>
  </si>
  <si>
    <t>https://doi.org/10.1109/ICRA48506.2021.9560881</t>
  </si>
  <si>
    <t>Event-Driven Vision and Control for UAVs on a Neuromorphic Chip</t>
  </si>
  <si>
    <t>https://doi.org/10.1109/ICRA48506.2021.9561290</t>
  </si>
  <si>
    <t>https://doi.org/10.1109/ICRA48506.2021.9561741</t>
  </si>
  <si>
    <t>An Event-Based Vision Dataset for Visual Navigation Tasks in Agricultural Environments</t>
  </si>
  <si>
    <t>https://doi.org/10.1109/ICRA48506.2021.9561755</t>
  </si>
  <si>
    <t>0-MMS: Zero-Shot Multi-Motion Segmentation with a Monocular Event Camera</t>
  </si>
  <si>
    <t>https://doi.org/10.1109/ICRA48506.2021.9561760</t>
  </si>
  <si>
    <t>Tracking 6-DoF Object Motion from Events and Frames</t>
  </si>
  <si>
    <t>https://doi.org/10.1109/ICRA48891.2023.10160472</t>
  </si>
  <si>
    <t>Event-Based Real-Time Moving Object Detection Based on IMU Ego-Motion Compensation</t>
  </si>
  <si>
    <t>https://doi.org/10.1109/ICRA48891.2023.10160605</t>
  </si>
  <si>
    <t>Improved Event-Based Dense Depth Estimation Via Optical Flow Compensation</t>
  </si>
  <si>
    <t>https://doi.org/10.1109/ICRA48891.2023.10160967</t>
  </si>
  <si>
    <t>Direct Angular Rate Estimation without Event Motion-Compensation at High Angular Rates</t>
  </si>
  <si>
    <t>https://doi.org/10.1109/ICRA48891.2023.10161098</t>
  </si>
  <si>
    <t>Fusion of Events and Frames Using 8-DOF Warping Model for Robust Feature Tracking</t>
  </si>
  <si>
    <t>https://doi.org/10.1109/ICRA55743.2025.11127670</t>
  </si>
  <si>
    <t>Hierarchical Spatiotemporal Fusion for Event-Visible Object Detection</t>
  </si>
  <si>
    <t>https://doi.org/10.1109/ICRA55743.2025.11127695</t>
  </si>
  <si>
    <t>E2B: A Single Modality Point-Based Tracker with Event Cameras</t>
  </si>
  <si>
    <t>https://doi.org/10.1109/ICRA55743.2025.11127812</t>
  </si>
  <si>
    <t>Towards Survivability in Complex Motion Scenarios: RGB-Event Object Tracking Via Historical Trajectory Prompting</t>
  </si>
  <si>
    <t>https://doi.org/10.1109/ICRA55743.2025.11127875</t>
  </si>
  <si>
    <t>A Coarse-To-Fine Event-Based Framework for Camera Pose Relocalization with Spatio-Temporal Retrieval and Refinement Network</t>
  </si>
  <si>
    <t>https://doi.org/10.1109/ICRA55743.2025.11128155</t>
  </si>
  <si>
    <t>DVS-Aware Visual Perception for Mobile Robots with Neuromorphic Hardware</t>
  </si>
  <si>
    <t>https://doi.org/10.1109/ICRA55743.2025.11128164</t>
  </si>
  <si>
    <t>A New Stereo Fisheye Event Camera for Fast Drone Detection and Tracking</t>
  </si>
  <si>
    <t>https://doi.org/10.1109/ICRA55743.2025.11128605</t>
  </si>
  <si>
    <t>Rapid Dynamic Obstacle Avoidance for UAVs Enhanced by DVS and Neuromorphic Computing</t>
  </si>
  <si>
    <t>https://doi.org/10.1109/ICRA57147.2024.10609864</t>
  </si>
  <si>
    <t>V2CE: Video to Continuous Events Simulator</t>
  </si>
  <si>
    <t>https://doi.org/10.1109/ICRA57147.2024.10610116</t>
  </si>
  <si>
    <t>eWand: An extrinsic calibration framework for wide baseline frame-based and event-based camera systems</t>
  </si>
  <si>
    <t>https://doi.org/10.1109/ICRA57147.2024.10610325</t>
  </si>
  <si>
    <t>Object-centric Cross-modal Feature Distillation for Event-based Object Detection</t>
  </si>
  <si>
    <t>https://doi.org/10.1109/ICRA57147.2024.10610353</t>
  </si>
  <si>
    <t>Lightweight Event-based Optical Flow Estimation via Iterative Deblurring</t>
  </si>
  <si>
    <t>https://doi.org/10.1109/ICRA57147.2024.10610608</t>
  </si>
  <si>
    <t>https://doi.org/10.1109/ICRA57147.2024.10610921</t>
  </si>
  <si>
    <t>SRFNet: Monocular Depth Estimation with Fine-grained Structure via Spatial Reliability-oriented Fusion of Frames and Events</t>
  </si>
  <si>
    <t>https://doi.org/10.1109/ICRA57147.2024.10611033</t>
  </si>
  <si>
    <t>Bicode: A Hybrid Blinking Marker System for Event Cameras</t>
  </si>
  <si>
    <t>https://doi.org/10.1109/ICRA57147.2024.10611231</t>
  </si>
  <si>
    <t>SPADES: A Realistic Spacecraft Pose Estimation Dataset using Event Sensing</t>
  </si>
  <si>
    <t>https://doi.org/10.1109/ICRA57147.2024.10611439</t>
  </si>
  <si>
    <t>IMU-Aided Event-based Stereo Visual Odometry</t>
  </si>
  <si>
    <t>https://doi.org/10.1109/ICRA57147.2024.10611511</t>
  </si>
  <si>
    <t>EDOPT: Event-camera 6-DoF Dynamic Object Pose Tracking</t>
  </si>
  <si>
    <t>https://doi.org/10.1109/ICRA57147.2024.10611705</t>
  </si>
  <si>
    <t>Chasing Day and Night: Towards Robust and Efficient All-Day Object Detection Guided by an Event Camera</t>
  </si>
  <si>
    <t>https://doi.org/10.1109/ICTIS60134.2023.10243764</t>
  </si>
  <si>
    <t>Feature Analysis and Classification Method of Road Targets Based on Two-Dimensional Point Cloud Data by Event Camera</t>
  </si>
  <si>
    <t>ICTIS 2023</t>
  </si>
  <si>
    <t>https://doi.org/10.1109/ICUAS60882.2024.10557118</t>
  </si>
  <si>
    <t>Dynamic-Obstacle Relative Localization Using Motion Segmentation with Event Cameras</t>
  </si>
  <si>
    <t>ICUAS 2024</t>
  </si>
  <si>
    <t>https://doi.org/10.1109/ICUS66297.2025.11294255</t>
  </si>
  <si>
    <t>Review on Event-Based Vision: Data Representation, Image Generation, Calibration and Recognition</t>
  </si>
  <si>
    <t>ICUS 2025</t>
  </si>
  <si>
    <t>https://doi.org/10.1109/ICVR57957.2023.10169359</t>
  </si>
  <si>
    <t>https://doi.org/10.1109/IECON58223.2025.11221048</t>
  </si>
  <si>
    <t>Event-Based Photometric Gaussian Mixture Models for Visual Servoing</t>
  </si>
  <si>
    <t>IECON 2025</t>
  </si>
  <si>
    <t>https://doi.org/10.1109/IEDM.2015.7409623</t>
  </si>
  <si>
    <t>https://doi.org/10.1109/IEDM19573.2019.8993468</t>
  </si>
  <si>
    <t>https://doi.org/10.1109/IEEECONF60004.2024.10942764</t>
  </si>
  <si>
    <t>Spike Vision: A Fully Spiking Neural Network Transformer-Inspired Model for Dynamic Vision Sensors</t>
  </si>
  <si>
    <t>Asilomar Conf 2025</t>
  </si>
  <si>
    <t>https://doi.org/10.1109/IEEECONF60004.2024.10943052</t>
  </si>
  <si>
    <t>Event-Based Video Frame Extrapolation with Recurrent Neural Networks</t>
  </si>
  <si>
    <t>https://doi.org/10.1109/IEEEDATA.2024.3485026</t>
  </si>
  <si>
    <t>Descriptor: Smart Event Face Dataset (SEFD)</t>
  </si>
  <si>
    <t>DATA 2024</t>
  </si>
  <si>
    <t>https://doi.org/10.1109/IJCNN.2011.6033299</t>
  </si>
  <si>
    <t>https://doi.org/10.1109/IJCNN52387.2021.9534106</t>
  </si>
  <si>
    <t>Optical Flow Estimation through Fusion Network based on Self-supervised Deep Learning</t>
  </si>
  <si>
    <t>https://doi.org/10.1109/IJCNN60899.2024.10649943</t>
  </si>
  <si>
    <t>Embedded event based object detection with spiking neural network</t>
  </si>
  <si>
    <t>IJCNN 2024</t>
  </si>
  <si>
    <t>https://doi.org/10.1109/IJCNN60899.2024.10649964</t>
  </si>
  <si>
    <t>Efficient Spatio-temporal Event Representation Based on Kalman Filtering and Linear Weighted Timestamps</t>
  </si>
  <si>
    <t>https://doi.org/10.1109/IJCNN60899.2024.10650047</t>
  </si>
  <si>
    <t>A Time-Surface Enhancement Model for Event-based Spatiotemporal Feature Extraction</t>
  </si>
  <si>
    <t>https://doi.org/10.1109/IJCNN60899.2024.10650320</t>
  </si>
  <si>
    <t>Spiking Neural Network with Learnable Threshold for Event-based Classification and Object Detection</t>
  </si>
  <si>
    <t>https://doi.org/10.1109/IJCNN60899.2024.10650378</t>
  </si>
  <si>
    <t>Segmentation of Human Body Parts using Growing Neural Gas with Event Camera</t>
  </si>
  <si>
    <t>https://doi.org/10.1109/IJCNN60899.2024.10650426</t>
  </si>
  <si>
    <t>An Event-based Feature Representation Method for Event Stream Classification using Deep Spiking Neural Networks</t>
  </si>
  <si>
    <t>https://doi.org/10.1109/IJCNN60899.2024.10650655</t>
  </si>
  <si>
    <t>Generalized Gaze-Vector Estimation in Low-light with Encoded Event-driven Neural Network</t>
  </si>
  <si>
    <t>https://doi.org/10.1109/IJCNN60899.2024.10650679</t>
  </si>
  <si>
    <t>Multi-scale Harmonic Mean Time Surfaces for Event-based Object Classification</t>
  </si>
  <si>
    <t>https://doi.org/10.1109/IJCNN60899.2024.10650843</t>
  </si>
  <si>
    <t>Low-power event-based face detection with asynchronous neuromorphic hardware</t>
  </si>
  <si>
    <t>https://doi.org/10.1109/IJCNN60899.2024.10650870</t>
  </si>
  <si>
    <t>Event Camera-Based Real-Time Gesture Recognition for Improved Robotic Guidance</t>
  </si>
  <si>
    <t>https://doi.org/10.1109/IJCNN64981.2025.11227905</t>
  </si>
  <si>
    <t>Event-Frame Temporal Information Fusion for Visual Object Tracking</t>
  </si>
  <si>
    <t>https://doi.org/10.1109/IJCNN64981.2025.11228029</t>
  </si>
  <si>
    <t>FM-EVT:Feedforward Neural Network and Multilayer Perceptron Classifier Enhanced Event Transformer</t>
  </si>
  <si>
    <t>https://doi.org/10.1109/IJCNN64981.2025.11228097</t>
  </si>
  <si>
    <t>Persistent Representation of Event Camera Output Using Spiking Neural Networks</t>
  </si>
  <si>
    <t>https://doi.org/10.1109/IJCNN64981.2025.11229414</t>
  </si>
  <si>
    <t>Neuromorphic eye tracking: a survey</t>
  </si>
  <si>
    <t>https://doi.org/10.1109/INDICON56171.2022.10039894</t>
  </si>
  <si>
    <t>Real-Time Privacy-Preserving Fall Detection using Dynamic Vision Sensors</t>
  </si>
  <si>
    <t>INDICON 2023</t>
  </si>
  <si>
    <t>https://doi.org/10.1109/INDIN64977.2025.11279189</t>
  </si>
  <si>
    <t>Domain Generalized Neuromorphic Computing for Cross-Domain Machinery Fault Diagnosis with Dynamic Vision</t>
  </si>
  <si>
    <t>INDIN 2025</t>
  </si>
  <si>
    <t>https://doi.org/10.1109/INFOCOM52122.2024.10621101</t>
  </si>
  <si>
    <t>EventBoost: Event-based Acceleration Platform for Real-time Drone Localization and Tracking</t>
  </si>
  <si>
    <t>INFOCOM 2024</t>
  </si>
  <si>
    <t>https://doi.org/10.1109/IPAS63548.2025.10924544</t>
  </si>
  <si>
    <t>Multichannel Object Detection with Event Camera</t>
  </si>
  <si>
    <t>IPAS 2025</t>
  </si>
  <si>
    <t>https://doi.org/10.1109/IPPR66507.2025.11198564</t>
  </si>
  <si>
    <t>An Improved PVMM Micro-Motion Magnification Method Based on Event Stream Reconstructed Images</t>
  </si>
  <si>
    <t>IPPR 2025</t>
  </si>
  <si>
    <t>https://doi.org/10.1109/IPTA59101.2023.10320008</t>
  </si>
  <si>
    <t>Frequency Analysis on Neuromorphic Data Using Discrete Fourier Transform</t>
  </si>
  <si>
    <t>IPTA 2023</t>
  </si>
  <si>
    <t>https://doi.org/10.1109/IROS.2013.6696456</t>
  </si>
  <si>
    <t>https://doi.org/10.1109/IROS.2014.6942940</t>
  </si>
  <si>
    <t>Event-based, 6-DOF Pose Tracking for High-Speed Maneuvers</t>
  </si>
  <si>
    <t>IROS 2014</t>
  </si>
  <si>
    <t>https://doi.org/10.1109/IROS.2016.7758089</t>
  </si>
  <si>
    <t>Low-Latency Visual Odometry using Event-based Feature Tracks</t>
  </si>
  <si>
    <t>IROS 2016</t>
  </si>
  <si>
    <t>https://doi.org/10.1109/IROS.2016.7759345</t>
  </si>
  <si>
    <t>Event-driven ball detection and gaze fixation in clutter</t>
  </si>
  <si>
    <t>https://doi.org/10.1109/IROS.2016.7759610</t>
  </si>
  <si>
    <t>Fast event-based Harris corner detection exploiting the advantages of event-driven cameras</t>
  </si>
  <si>
    <t>https://doi.org/10.1109/IROS.2017.8206226</t>
  </si>
  <si>
    <t>Robust Visual Tracking with a Freely-moving Event Camera</t>
  </si>
  <si>
    <t>IROS 2017</t>
  </si>
  <si>
    <t>https://doi.org/10.1109/IROS.2018.8593380</t>
  </si>
  <si>
    <t>Real-Time Clustering and Multi-Target Tracking Using Event-Based Sensors</t>
  </si>
  <si>
    <t>IROS 2018</t>
  </si>
  <si>
    <t>https://doi.org/10.1109/IROS.2018.8593805</t>
  </si>
  <si>
    <t>Event-based Moving Object Detection and Tracking</t>
  </si>
  <si>
    <t>https://doi.org/10.1109/IROS.2018.8594119</t>
  </si>
  <si>
    <t>Towards Event-Driven Object Detection with Off-The-Shelf Deep Learning</t>
  </si>
  <si>
    <t>https://doi.org/10.1109/IROS40897.2019.8967943</t>
  </si>
  <si>
    <t>Proto-Object Based Saliency for Event-Driven Cameras</t>
  </si>
  <si>
    <t>https://doi.org/10.1109/IROS40897.2019.8968223</t>
  </si>
  <si>
    <t>https://doi.org/10.1109/IROS40897.2019.8968491</t>
  </si>
  <si>
    <t>https://doi.org/10.1109/IROS40897.2019.8968520</t>
  </si>
  <si>
    <t>https://doi.org/10.1109/IROS47612.2022.9981249</t>
  </si>
  <si>
    <t>A Tightly-Coupled Event-Inertial Odometry Using Exponential Decay and Linear Preintegrated Measurements</t>
  </si>
  <si>
    <t>https://doi.org/10.1109/IROS47612.2022.9981451</t>
  </si>
  <si>
    <t>https://doi.org/10.1109/IROS51168.2021.9635834</t>
  </si>
  <si>
    <t>Accurate depth estimation from a hybrid event-RGB stereo setup</t>
  </si>
  <si>
    <t>IROS 2021</t>
  </si>
  <si>
    <t>https://doi.org/10.1109/IROS51168.2021.9635907</t>
  </si>
  <si>
    <t>EventVLAD: Visual Place Recognition with Reconstructed Edges from Event Cameras</t>
  </si>
  <si>
    <t>https://doi.org/10.1109/IROS51168.2021.9635975</t>
  </si>
  <si>
    <t>Self-Supervised Optical Flow with Spiking Neural Networks and Event Based Cameras</t>
  </si>
  <si>
    <t>https://doi.org/10.1109/IROS51168.2021.9636109</t>
  </si>
  <si>
    <t>ISSAFE: Improving Semantic Segmentation in Accidents by Fusing Event-based Data</t>
  </si>
  <si>
    <t>https://doi.org/10.1109/IROS51168.2021.9636307</t>
  </si>
  <si>
    <t>Event-based Motion Segmentation by Cascaded Two-Level Multi-Model Fitting</t>
  </si>
  <si>
    <t>https://doi.org/10.1109/IROS51168.2021.9636312</t>
  </si>
  <si>
    <t>Stereo Hybrid Event-Frame (SHEF) Cameras for 3D Perception</t>
  </si>
  <si>
    <t>https://doi.org/10.1109/IROS51168.2021.9636315</t>
  </si>
  <si>
    <t>Why fly blind? Event-based visual guidance for ornithopter robot flight</t>
  </si>
  <si>
    <t>https://doi.org/10.1109/IROS51168.2021.9636327</t>
  </si>
  <si>
    <t>EVReflex: Dense Time-to-Impact Prediction for Event-based Obstacle Avoidance</t>
  </si>
  <si>
    <t>https://doi.org/10.1109/IROS51168.2021.9636398</t>
  </si>
  <si>
    <t>Dynamic Event Camera Calibration</t>
  </si>
  <si>
    <t>https://doi.org/10.1109/IROS51168.2021.9636448</t>
  </si>
  <si>
    <t>FAST-Dynamic-Vision: Detection and Tracking Dynamic Objects with Event and Depth Sensing</t>
  </si>
  <si>
    <t>https://doi.org/10.1109/IROS51168.2021.9636506</t>
  </si>
  <si>
    <t>SpikeMS: Deep Spiking Neural Network for Motion Segmentation</t>
  </si>
  <si>
    <t>https://doi.org/10.1109/IROS51168.2021.9636665</t>
  </si>
  <si>
    <t>An Optical Spatial Localization System for Tracking Unmanned Aerial Vehicles Using a Single Dynamic Vision Sensor</t>
  </si>
  <si>
    <t>https://doi.org/10.1109/IROS51168.2021.9636718</t>
  </si>
  <si>
    <t>R-SNN: An Analysis and Design Methodology for Robustifying Spiking Neural Networks against Adversarial Attacks through Noise Filters for Dynamic Vision Sensors</t>
  </si>
  <si>
    <t>https://doi.org/10.1109/IROS51168.2021.9636728</t>
  </si>
  <si>
    <t>TUM-VIE: The TUM Stereo Visual-Inertial Event Dataset</t>
  </si>
  <si>
    <t>https://doi.org/10.1109/IROS51168.2021.9636824</t>
  </si>
  <si>
    <t>Powerline Tracking with Event Cameras</t>
  </si>
  <si>
    <t>https://doi.org/10.1109/IROS55552.2023.10342048</t>
  </si>
  <si>
    <t>https://doi.org/10.1109/IROS55552.2023.10342300</t>
  </si>
  <si>
    <t>Hybrid Object Tracking with Events and Frames</t>
  </si>
  <si>
    <t>https://doi.org/10.1109/IROS55552.2023.10342434</t>
  </si>
  <si>
    <t>Self-Supervised Event-Based Monocular Depth Estimation Using Cross-Modal Consistency</t>
  </si>
  <si>
    <t>https://doi.org/10.1109/IROS55552.2023.10342437</t>
  </si>
  <si>
    <t>An Event-Based Tracking Control Framework for Multirotor Aerial Vehicles Using a Dynamic Vision Sensor and Neuromorphic Hardware</t>
  </si>
  <si>
    <t>https://doi.org/10.1109/IROS55552.2023.10342500</t>
  </si>
  <si>
    <t>https://doi.org/10.1109/IROS58592.2024.10801824</t>
  </si>
  <si>
    <t>Event-based Few-shot Fine-grained Human Action Recognition</t>
  </si>
  <si>
    <t>https://doi.org/10.1109/IROS58592.2024.10802050</t>
  </si>
  <si>
    <t>https://doi.org/10.1109/IROS58592.2024.10802384</t>
  </si>
  <si>
    <t>https://doi.org/10.1109/IROS58592.2024.10802491</t>
  </si>
  <si>
    <t>SwiftEagle: An Advanced Open-Source, Miniaturized FPGA UAS Platform with Dual DVS/Frame Camera for Cutting-Edge Low-Latency Autonomous Algorithms</t>
  </si>
  <si>
    <t>https://doi.org/10.1109/IROS60139.2025.11245865</t>
  </si>
  <si>
    <t>6-DoF Object Tracking with Event-based Optical Flow and Frames</t>
  </si>
  <si>
    <t>https://doi.org/10.1109/IROS60139.2025.11246028</t>
  </si>
  <si>
    <t>Event-Based Depth from Focus</t>
  </si>
  <si>
    <t>https://doi.org/10.1109/IROS60139.2025.11246288</t>
  </si>
  <si>
    <t>CSVO: Complementary-Pathway Spatial-Enhanced Visual Odometry for Extreme Environments with Brain-Inspired Vision Sensors</t>
  </si>
  <si>
    <t>https://doi.org/10.1109/IROS60139.2025.11246424</t>
  </si>
  <si>
    <t>Context-aware Sparse Spatiotemporal Learning for Event-based Vision</t>
  </si>
  <si>
    <t>https://doi.org/10.1109/IROS60139.2025.11246955</t>
  </si>
  <si>
    <t>A Novel Event-Based Structured Light System for High-Precision and High-Speed Depth Sensing</t>
  </si>
  <si>
    <t>https://doi.org/10.1109/IROS60139.2025.11246985</t>
  </si>
  <si>
    <t>EventSync: Joint Recovery of Temporal Offsets and Relative Orientations for Wide-Baseline Event Cameras</t>
  </si>
  <si>
    <t>https://doi.org/10.1109/IROS60139.2025.11247196</t>
  </si>
  <si>
    <t>Tracking Any Point with Frame-Event Fusion Network at High Frame Rate</t>
  </si>
  <si>
    <t>https://doi.org/10.1109/IROS60139.2025.11247230</t>
  </si>
  <si>
    <t>A Bioinspired Framework for Person Detection and Tracking Using Events and Frames on Flapping-Wing Aerial Robots</t>
  </si>
  <si>
    <t>https://doi.org/10.1109/IROS60139.2025.11247390</t>
  </si>
  <si>
    <t>3DWSNet: A Novel 3D Wavelet Spiking Neural Network for Event-Based Action Recognition</t>
  </si>
  <si>
    <t>https://doi.org/10.1109/IROS60139.2025.11247467</t>
  </si>
  <si>
    <t>Exploratory Movement Strategies for Texture Discrimination with a Neuromorphic Tactile Sensor</t>
  </si>
  <si>
    <t>https://doi.org/10.1109/IROS60139.2025.11247662</t>
  </si>
  <si>
    <t>SLTNet: Efficient Event-Based Semantic Segmentation with Spike-Driven Lightweight Transformer-Based Networks</t>
  </si>
  <si>
    <t>https://doi.org/10.1109/ISAS61044.2024.10552496</t>
  </si>
  <si>
    <t>Spatiotemporal Representation Learning on Event Stream</t>
  </si>
  <si>
    <t>ISAS 2024</t>
  </si>
  <si>
    <t>https://doi.org/10.1109/ISCAS.2007.378038</t>
  </si>
  <si>
    <t>https://doi.org/10.1109/ISCAS.2009.5117867</t>
  </si>
  <si>
    <t>https://doi.org/10.1109/ISCAS.2010.5537149</t>
  </si>
  <si>
    <t>https://doi.org/10.1109/ISCAS.2010.5537289</t>
  </si>
  <si>
    <t>https://doi.org/10.1109/ISCAS.2010.5537575</t>
  </si>
  <si>
    <t>https://doi.org/10.1109/ISCAS.2012.6272132</t>
  </si>
  <si>
    <t>https://doi.org/10.1109/ISCAS.2012.6272139</t>
  </si>
  <si>
    <t>https://doi.org/10.1109/ISCAS.2012.6272141</t>
  </si>
  <si>
    <t>https://doi.org/10.1109/ISCAS.2012.6272143</t>
  </si>
  <si>
    <t>https://doi.org/10.1109/ISCAS.2012.6272144</t>
  </si>
  <si>
    <t>https://doi.org/10.1109/ISCAS.2014.6865114</t>
  </si>
  <si>
    <t>https://doi.org/10.1109/ISCAS.2014.6865228</t>
  </si>
  <si>
    <t>https://doi.org/10.1109/ISCAS.2015.7168731</t>
  </si>
  <si>
    <t>https://doi.org/10.1109/ISCAS.2015.7169083</t>
  </si>
  <si>
    <t>https://doi.org/10.1109/ISCAS.2015.7169169</t>
  </si>
  <si>
    <t>https://doi.org/10.1109/ISCAS.2015.7169170</t>
  </si>
  <si>
    <t>https://doi.org/10.1109/ISCAS.2015.7169172</t>
  </si>
  <si>
    <t>https://doi.org/10.1109/ISCAS.2015.7169173</t>
  </si>
  <si>
    <t>https://doi.org/10.1109/ISCAS.2016.7539103</t>
  </si>
  <si>
    <t>https://doi.org/10.1109/ISCAS.2017.8050395</t>
  </si>
  <si>
    <t>https://doi.org/10.1109/ISCAS.2017.8050403</t>
  </si>
  <si>
    <t>https://doi.org/10.1109/ISCAS.2018.8351588</t>
  </si>
  <si>
    <t>https://doi.org/10.1109/ISCAS.2018.8351861</t>
  </si>
  <si>
    <t>https://doi.org/10.1109/ISCAS.2019.8702581</t>
  </si>
  <si>
    <t>https://doi.org/10.1109/ISCAS45731.2020.9180436</t>
  </si>
  <si>
    <t>https://doi.org/10.1109/ISCAS45731.2020.9181247</t>
  </si>
  <si>
    <t>https://doi.org/10.1109/ISCAS48785.2022.9937472</t>
  </si>
  <si>
    <t>Embedded Processing Pipeline Exploration For Neuromorphic Event Based Perceptual Systems</t>
  </si>
  <si>
    <t>https://doi.org/10.1109/ISCAS51556.2021.9401246</t>
  </si>
  <si>
    <t>https://doi.org/10.1109/ISCAS51556.2021.9401313</t>
  </si>
  <si>
    <t>Naturalizing Neuromorphic Vision Event Streams Using Generative Adversarial Networks</t>
  </si>
  <si>
    <t>https://doi.org/10.1109/ISCAS56072.2025.11043186</t>
  </si>
  <si>
    <t>An Event-Based Line Sensor with Configurable Antagonistic Center Surround</t>
  </si>
  <si>
    <t>ISCAS 2025</t>
  </si>
  <si>
    <t>https://doi.org/10.1109/ISCAS56072.2025.11043213</t>
  </si>
  <si>
    <t>An Energy-Efficient Daily Surveillance System with DVS-CIS Sensor Fusion and Event-based NPU Triggering</t>
  </si>
  <si>
    <t>https://doi.org/10.1109/ISCAS56072.2025.11043247</t>
  </si>
  <si>
    <t>Low-cost Deployment and Acceleration of Event-based Spiking Convolutional Neural Networks</t>
  </si>
  <si>
    <t>https://doi.org/10.1109/ISCAS56072.2025.11043507</t>
  </si>
  <si>
    <t>https://doi.org/10.1109/ISCAS56072.2025.11043673</t>
  </si>
  <si>
    <t>Laconic Neuromorphic Vision</t>
  </si>
  <si>
    <t>https://doi.org/10.1109/ISCAS56072.2025.11043887</t>
  </si>
  <si>
    <t>Towards a High Resolution Multimodal Neuromorphic Eventset</t>
  </si>
  <si>
    <t>https://doi.org/10.1109/ISCAS56072.2025.11044162</t>
  </si>
  <si>
    <t>ROFD: Event-based 5k-fps Real-Time Optical Flow Detector for Transient Radiant Expanding Flares</t>
  </si>
  <si>
    <t>https://doi.org/10.1109/iSES63344.2024.00068</t>
  </si>
  <si>
    <t>Event-Based Vision for Real-Time Speed Detection: A Low Resource Utilization Hardware-Software Co-Design Approach</t>
  </si>
  <si>
    <t>iSES 2024</t>
  </si>
  <si>
    <t>https://doi.org/10.1109/ISIE54533.2024.10595702</t>
  </si>
  <si>
    <t>A cascaded timestamp-free event camera image compression method for gesture recognition</t>
  </si>
  <si>
    <t>ISIE 2024</t>
  </si>
  <si>
    <t>https://doi.org/10.1109/ISSCC.2007.373513</t>
  </si>
  <si>
    <t>https://doi.org/10.1109/ISSCC.2017.7870263</t>
  </si>
  <si>
    <t>https://doi.org/10.1109/ISSCC19947.2020.9063149</t>
  </si>
  <si>
    <t>https://doi.org/10.1109/ISSCC42615.2023.10067476</t>
  </si>
  <si>
    <t>A 3-Wafer-Stacked Hybrid 15MPixel CIS + 1MPixel EVS with 4.6GEvent/s Readout, In-Pixel TDC and On-Chip ISP and ESP Function</t>
  </si>
  <si>
    <t>https://doi.org/10.1109/ITC-Egypt66095.2025.11186584</t>
  </si>
  <si>
    <t>Spiking Convolutional Architecture for Action Recognition in Temporal-Encoded and Event-Based Imaging</t>
  </si>
  <si>
    <t>ITC-Egypt 2025</t>
  </si>
  <si>
    <t>https://doi.org/10.1109/ITSC.2006.1706816</t>
  </si>
  <si>
    <t>https://doi.org/10.1109/IV51971.2022.9827380</t>
  </si>
  <si>
    <t>3D-FlowNet: Event-based optical flow estimation with 3D representation</t>
  </si>
  <si>
    <t>IEEE IV 2022</t>
  </si>
  <si>
    <t>https://doi.org/10.1109/IV64158.2025.11097478</t>
  </si>
  <si>
    <t>Event-Aided Progressive Neural Radiance Fields Reconstruction Under Challenging Illumination</t>
  </si>
  <si>
    <t>IV 2025</t>
  </si>
  <si>
    <t>https://doi.org/10.1109/IV64158.2025.11097663</t>
  </si>
  <si>
    <t>https://doi.org/10.1109/IV64158.2025.11097775</t>
  </si>
  <si>
    <t>https://doi.org/10.1109/IWASI66786.2025.11122013</t>
  </si>
  <si>
    <t>LynX: An Event-Based Gesture Dataset for Egocentric Interaction in Extended Reality</t>
  </si>
  <si>
    <t>IWASI 2025</t>
  </si>
  <si>
    <t>https://doi.org/10.1109/JAS.2024.124470</t>
  </si>
  <si>
    <t>Dynamic Vision-Based Machinery Fault Diagnosis with Cross-Modality Feature Alignment</t>
  </si>
  <si>
    <t>JAS 2024</t>
  </si>
  <si>
    <t>https://doi.org/10.1109/JETCAS.2019.2951062</t>
  </si>
  <si>
    <t>https://doi.org/10.1109/JETCAS.2020.3040329</t>
  </si>
  <si>
    <t>An Event-by-Event Approach for Velocity Estimation and Object Tracking With an Active Event Camera</t>
  </si>
  <si>
    <t>IEEE JETCAS 2021</t>
  </si>
  <si>
    <t>https://doi.org/10.1109/JIOT.2020.3007866</t>
  </si>
  <si>
    <t>https://doi.org/10.1109/JIOT.2025.3552778</t>
  </si>
  <si>
    <t>EVLINS: Strong Robust Navigation System Based on Event Camera</t>
  </si>
  <si>
    <t>JIOT 2025</t>
  </si>
  <si>
    <t>https://doi.org/10.1109/JIOT.2025.3644346</t>
  </si>
  <si>
    <t>SNN-Drone: Low-Power Drone-View Object Detection with Integer-Valued Spiking Neural Networks</t>
  </si>
  <si>
    <t>https://doi.org/10.1109/JPROC.2014.2346153</t>
  </si>
  <si>
    <t>https://doi.org/10.1109/JPROC.2014.2347207</t>
  </si>
  <si>
    <t>https://doi.org/10.1109/JPROC.2014.2347355</t>
  </si>
  <si>
    <t>https://doi.org/10.1109/JPROC.2024.3429360</t>
  </si>
  <si>
    <t>Brain-Inspired Computing: A Systematic Survey and Future Trends</t>
  </si>
  <si>
    <t>Proc IEEE 2024</t>
  </si>
  <si>
    <t>https://doi.org/10.1109/JSEN.2009.2020658</t>
  </si>
  <si>
    <t>https://doi.org/10.1109/JSEN.2020.2973049</t>
  </si>
  <si>
    <t>https://doi.org/10.1109/JSEN.2020.2990752</t>
  </si>
  <si>
    <t>https://doi.org/10.1109/JSEN.2020.3016833</t>
  </si>
  <si>
    <t>https://doi.org/10.1109/JSEN.2023.3237754</t>
  </si>
  <si>
    <t>Feature Representation and Compression Methods for Event-Based Data</t>
  </si>
  <si>
    <t>JSEN 2023</t>
  </si>
  <si>
    <t>https://doi.org/10.1109/JSEN.2023.3257329</t>
  </si>
  <si>
    <t>Asynchronous Event-Based Corner Detection Using Adaptive Time Threshold</t>
  </si>
  <si>
    <t>https://doi.org/10.1109/JSEN.2024.3349432</t>
  </si>
  <si>
    <t>Event-driven Fringe Projection Structured Light 3D Reconstruction based on Time-frequency Analysis</t>
  </si>
  <si>
    <t>https://doi.org/10.1109/JSEN.2024.3392973</t>
  </si>
  <si>
    <t>Spatio-Temporal Aggregation Transformer for Object Detection With Neuromorphic Vision Sensors</t>
  </si>
  <si>
    <t>https://doi.org/10.1109/JSEN.2024.3411088</t>
  </si>
  <si>
    <t>Improving Multiple Dense Prediction Performances by Exploiting Inter-Task Synergies for Neuromorphic Vision Sensors</t>
  </si>
  <si>
    <t>https://doi.org/10.1109/JSEN.2024.3454153</t>
  </si>
  <si>
    <t>EDHnet: An Event-based Dual-stream Hybrid Network for Image Motion Deblurring</t>
  </si>
  <si>
    <t>https://doi.org/10.1109/JSEN.2024.3504289</t>
  </si>
  <si>
    <t>FlyCount: High-Speed Counting of Black Soldier Flies Using Neuromorphic Sensors</t>
  </si>
  <si>
    <t>https://doi.org/10.1109/JSEN.2024.3510374</t>
  </si>
  <si>
    <t>Event-VoxelHop: A Polarity-wise Successive Subspace Learning (SSL) Algorithm for Event-based Object Classification</t>
  </si>
  <si>
    <t>https://doi.org/10.1109/JSEN.2024.3510790</t>
  </si>
  <si>
    <t>High Fill-Factor Pixel Architecture for a Dynamic Vision Sensor Utilizing Column-Parallel Readout Scheme</t>
  </si>
  <si>
    <t>https://doi.org/10.1109/JSEN.2024.3524301</t>
  </si>
  <si>
    <t>MSR-SNN: Advancing Neuromorphic Vision Object Classification with Multi-Scale-Residual Spiking Neural Networks</t>
  </si>
  <si>
    <t>https://doi.org/10.1109/JSEN.2025.3528230</t>
  </si>
  <si>
    <t>Multiple Simultaneous Rotation Event-Based Angular Speed Measurement</t>
  </si>
  <si>
    <t>JSEN 2025</t>
  </si>
  <si>
    <t>https://doi.org/10.1109/JSEN.2025.3557246</t>
  </si>
  <si>
    <t>Attribute-weighted Time Surface Based Denoising Method for Space Object Event Streams</t>
  </si>
  <si>
    <t>https://doi.org/10.1109/JSEN.2025.3566374</t>
  </si>
  <si>
    <t>Improving Object Tracking Performances with Frequency Learning for Event Cameras</t>
  </si>
  <si>
    <t>https://doi.org/10.1109/JSEN.2025.3574728</t>
  </si>
  <si>
    <t>An Event-Driven Motion Perception ROIC for Cryogenic Infrared Focal Plane Arrays</t>
  </si>
  <si>
    <t>https://doi.org/10.1109/JSEN.2025.3582694</t>
  </si>
  <si>
    <t>High-Dynamic Visual Systems Utilizing Mamba-Integrated Event-Based Solutions for Motion Deblurring</t>
  </si>
  <si>
    <t>https://doi.org/10.1109/JSEN.2025.3583394</t>
  </si>
  <si>
    <t>Effect of Static IR-drop in Large-Scale Event-Based Vision Sensors</t>
  </si>
  <si>
    <t>https://doi.org/10.1109/JSEN.2025.3624651</t>
  </si>
  <si>
    <t>Event-Based Tip–Tilt Sensing for Daytime Adaptive Optics</t>
  </si>
  <si>
    <t>https://doi.org/10.1109/JSEN.2025.3637141</t>
  </si>
  <si>
    <t>Event-Based Dim and Small Target Detection by Spatiotemporal Feature Learning</t>
  </si>
  <si>
    <t>https://doi.org/10.1109/JSEN.2025.3642263</t>
  </si>
  <si>
    <t>Event Camera Object Detection Using Bayesian Neural Network-Conditional Variational Autoencoders and Improved YOLOv10</t>
  </si>
  <si>
    <t>https://doi.org/10.1109/JSSC.2011.2118490</t>
  </si>
  <si>
    <t>https://doi.org/10.1109/JSSC.2011.2167409</t>
  </si>
  <si>
    <t>https://doi.org/10.1109/JSSC.2012.2230553</t>
  </si>
  <si>
    <t>https://doi.org/10.1109/JSSC.2014.2342715</t>
  </si>
  <si>
    <t>https://doi.org/10.1109/JSSC.2023.3303154</t>
  </si>
  <si>
    <t>A Three-Wafer-Stacked Hybrid 15-MPixel CIS + 1-MPixel EVS With 4.6-GEvent/s Readout, In-Pixel TDC, and On-Chip ISP and ESP Function</t>
  </si>
  <si>
    <t>JSS 2023</t>
  </si>
  <si>
    <t>https://doi.org/10.1109/JSSC.2024.3524244</t>
  </si>
  <si>
    <t>A Photovoltaic Dynamic Vision Sensor</t>
  </si>
  <si>
    <t>JSSC 2025</t>
  </si>
  <si>
    <t>https://doi.org/10.1109/LRA.2016.2645143</t>
  </si>
  <si>
    <t>EVO: A Geometric Approach to Event-based 6-DOF Parallel Tracking and Mapping in Real-time</t>
  </si>
  <si>
    <t>RAL 2017</t>
  </si>
  <si>
    <t>https://doi.org/10.1109/LRA.2016.2647639</t>
  </si>
  <si>
    <t>Accurate Angular Velocity Estimation with an Event Camera</t>
  </si>
  <si>
    <t>https://doi.org/10.1109/LRA.2018.2793357</t>
  </si>
  <si>
    <t>Ultimate SLAM? Combining Events, Images, and IMU for Robust Visual SLAM in HDR and High Speed Scenarios</t>
  </si>
  <si>
    <t>https://doi.org/10.1109/LRA.2018.2800793</t>
  </si>
  <si>
    <t>The Multi Vehicle Stereo Event Camera Dataset: An Event Camera Dataset for 3D Perception</t>
  </si>
  <si>
    <t>https://doi.org/10.1109/LRA.2019.2893427</t>
  </si>
  <si>
    <t>Asynchronous Spatial Image Convolutions for Event Cameras</t>
  </si>
  <si>
    <t>https://doi.org/10.1109/LRA.2020.2972839</t>
  </si>
  <si>
    <t>A Neuro-Inspired Computational Model for a Visually Guided Robotic Lamprey Using Frame and Event Based Cameras</t>
  </si>
  <si>
    <t>RAL 2020</t>
  </si>
  <si>
    <t>https://doi.org/10.1109/LRA.2020.2995332</t>
  </si>
  <si>
    <t>Efficient Spatial-Temporal Normalization of SAE Representation for Event Camera</t>
  </si>
  <si>
    <t>https://doi.org/10.1109/LRA.2020.3012129</t>
  </si>
  <si>
    <t>https://doi.org/10.1109/LRA.2020.3025505</t>
  </si>
  <si>
    <t>Event-based visual place recognition with ensembles of spatio-temporal windows</t>
  </si>
  <si>
    <t>https://doi.org/10.1109/LRA.2021.3060707</t>
  </si>
  <si>
    <t>https://doi.org/10.1109/LRA.2021.3068942</t>
  </si>
  <si>
    <t>https://doi.org/10.1109/LRA.2021.3088793</t>
  </si>
  <si>
    <t>https://doi.org/10.1109/LRA.2021.3138527</t>
  </si>
  <si>
    <t>M2DGR: A Multi-sensor and Multi-scenario SLAM Dataset for Ground Robots</t>
  </si>
  <si>
    <t>https://doi.org/10.1109/LRA.2022.3140819</t>
  </si>
  <si>
    <t>VMV-GCN: Volumetric Multi-View Based Graph CNN for Event Stream Classification</t>
  </si>
  <si>
    <t>https://doi.org/10.1109/LRA.2022.3153904</t>
  </si>
  <si>
    <t>https://doi.org/10.1109/LRA.2022.3186770</t>
  </si>
  <si>
    <t>https://doi.org/10.1109/LRA.2022.3187266</t>
  </si>
  <si>
    <t>https://doi.org/10.1109/LRA.2022.3188400</t>
  </si>
  <si>
    <t>https://doi.org/10.1109/LRA.2022.3216226</t>
  </si>
  <si>
    <t>https://doi.org/10.1109/LRA.2023.3240646</t>
  </si>
  <si>
    <t>https://doi.org/10.1109/LRA.2023.3259731</t>
  </si>
  <si>
    <t>Ev-Conv: Fast CNN Inference on Event Camera Inputs For High-Speed Robot Perception</t>
  </si>
  <si>
    <t>https://doi.org/10.1109/LRA.2023.3269950</t>
  </si>
  <si>
    <t>ESVIO: Event-based Stereo Visual Inertial Odometry</t>
  </si>
  <si>
    <t>https://doi.org/10.1109/LRA.2023.3339432</t>
  </si>
  <si>
    <t>Event-and Frame-Based Visual-Inertial Odometry With Adaptive Filtering Based on 8-DOF Warping Uncertainty</t>
  </si>
  <si>
    <t>https://doi.org/10.1109/LRA.2023.3346754</t>
  </si>
  <si>
    <t>TransCODNet: Underwater Transparently Camouflaged Object Detection via RGB and Event Frames Collaboration</t>
  </si>
  <si>
    <t>https://doi.org/10.1109/LRA.2024.3440099</t>
  </si>
  <si>
    <t>Towards Robust Keypoint Detection and Tracking: A Fusion Approach with Event-Aligned Image Features</t>
  </si>
  <si>
    <t>https://doi.org/10.1109/LRA.2024.3450290</t>
  </si>
  <si>
    <t>On the Benefits of Visual Stabilization for Frame- and Event-based Perception</t>
  </si>
  <si>
    <t>https://doi.org/10.1109/LRA.2024.3474475</t>
  </si>
  <si>
    <t>EF-Calib: Spatiotemporal Calibration of Event and Frame-Based Cameras Using Continuous-Time Trajectories</t>
  </si>
  <si>
    <t>https://doi.org/10.1109/LRA.2024.3491426</t>
  </si>
  <si>
    <t>A Dynamic Calibration Framework for the Event-Frame Stereo Camera System</t>
  </si>
  <si>
    <t>https://doi.org/10.1109/LRA.2024.3517292</t>
  </si>
  <si>
    <t>https://doi.org/10.1109/LRA.2024.3522843</t>
  </si>
  <si>
    <t>FAST-LIEO: Fast and Real-Time LiDAR-Inertial-Event-Visual Odometry</t>
  </si>
  <si>
    <t>https://doi.org/10.1109/LRA.2025.3527311</t>
  </si>
  <si>
    <t>Gyrevento: Event-Based Omnidirectional Visual Gyroscope in a Manhattan World</t>
  </si>
  <si>
    <t>https://doi.org/10.1109/LRA.2025.3535188</t>
  </si>
  <si>
    <t>Event-frame-inertial odometry using point and line features based on coarse-to-fine motion compensation</t>
  </si>
  <si>
    <t>https://doi.org/10.1109/LRA.2025.3558707</t>
  </si>
  <si>
    <t>A Neuromorphic Tactile System for Reliable Braille Reading in Noisy Environments</t>
  </si>
  <si>
    <t>https://doi.org/10.1109/LRA.2025.3562793</t>
  </si>
  <si>
    <t>Event-Driven Force Measurement of a Variable-Stiffness Robotic Finger Using Masked Autoencoder Pre-Training</t>
  </si>
  <si>
    <t>https://doi.org/10.1109/LRA.2025.3565150</t>
  </si>
  <si>
    <t>EV-TTC: Event-Based Time to Collision under Low Light Conditions</t>
  </si>
  <si>
    <t>https://doi.org/10.1109/LRA.2025.3608424</t>
  </si>
  <si>
    <t>ELMoD-Net: Exploring Pattern Similarities for Robust Event-Based Lane Detection</t>
  </si>
  <si>
    <t>https://doi.org/10.1109/LRA.2025.3617737</t>
  </si>
  <si>
    <t>Seeing Beyond Local Events: Recurrent Optical Flow Estimation With Hierarchical Motion Aggregation</t>
  </si>
  <si>
    <t>https://doi.org/10.1109/LRA.2025.3641119</t>
  </si>
  <si>
    <t>Ensemble-Based Event Camera Place Recognition Under Varying Illumination</t>
  </si>
  <si>
    <t>https://doi.org/10.1109/LRA.2025.3644151</t>
  </si>
  <si>
    <t>Learning 6D Object Pose Estimation With Event Cameras Using Synthetic Data and Domain Randomization</t>
  </si>
  <si>
    <t>https://doi.org/10.1109/LSENS.2022.3216894</t>
  </si>
  <si>
    <t>Low-Complexity Lossless Coding for Memory-Efficient Representation of Event Camera Frames</t>
  </si>
  <si>
    <t>IEEE LSENS 2022</t>
  </si>
  <si>
    <t>https://doi.org/10.1109/LSP.2020.3016251</t>
  </si>
  <si>
    <t>https://doi.org/10.1109/LSP.2022.3196599</t>
  </si>
  <si>
    <t>https://doi.org/10.1109/LSP.2023.3234800</t>
  </si>
  <si>
    <t>https://doi.org/10.1109/LSP.2023.3289111</t>
  </si>
  <si>
    <t>QISampling: An Effective Sampling Strategy for Event-based Sign Language Recognition</t>
  </si>
  <si>
    <t>SPL 2023</t>
  </si>
  <si>
    <t>https://doi.org/10.1109/LSP.2024.3381894</t>
  </si>
  <si>
    <t>Event-based Shutter Unrolling and Motion Deblurring in Dynamic Scenes</t>
  </si>
  <si>
    <t>https://doi.org/10.1109/LSP.2024.3398531</t>
  </si>
  <si>
    <t>Event-based Stereo Depth Estimation By Temporal-spatial Context Learning</t>
  </si>
  <si>
    <t>https://doi.org/10.1109/LSP.2024.3433403</t>
  </si>
  <si>
    <t>Learning Adaptive Parameter Representation for Event-based Video Reconstruction</t>
  </si>
  <si>
    <t>https://doi.org/10.1109/LSP.2025.3606777</t>
  </si>
  <si>
    <t>A Fast HDR Image Reconstruction Pipeline for Hybrid Event-Frame Camera</t>
  </si>
  <si>
    <t>SPL 2025</t>
  </si>
  <si>
    <t>https://doi.org/10.1109/LSP.2025.3648967</t>
  </si>
  <si>
    <t>Event-based Dynamic Turbulence Mitigation</t>
  </si>
  <si>
    <t>https://doi.org/10.1109/LSSC.2024.3375110</t>
  </si>
  <si>
    <t>3D In-Sensor Computing for Real-Time DVS Data Compression: 65nm Hardware-Algorithm Co-Design</t>
  </si>
  <si>
    <t>LSSC 2024</t>
  </si>
  <si>
    <t>https://doi.org/10.1109/MAPR67746.2025.11133952</t>
  </si>
  <si>
    <t>DSC-SNN: A Depthwise Separable Convolutional Spiking Neural Network for Efficient, Privacy-Preserving Action Recognition from Event-Based Data</t>
  </si>
  <si>
    <t>MAPR 2025</t>
  </si>
  <si>
    <t>https://doi.org/10.1109/MCNA65829.2025.11124373</t>
  </si>
  <si>
    <t>Towards Low-Latency Adaptive Streaming for Event-Based Vision</t>
  </si>
  <si>
    <t>MCNA 2025</t>
  </si>
  <si>
    <t>https://doi.org/10.1109/MECATRONICS-REM67547.2025.11349538</t>
  </si>
  <si>
    <t>Event-Based Imaging for High-Precision Object Tracking: A Technology Overview and Application to Real-Time Position Sensing Highspeed-CableDriven Robot</t>
  </si>
  <si>
    <t>Mechatronics 2025</t>
  </si>
  <si>
    <t>https://doi.org/10.1109/MetaCom65502.2025.00014</t>
  </si>
  <si>
    <t>Enhancing Human Action Recognition with Modular DVS-RGB fusion</t>
  </si>
  <si>
    <t>MetaCom 2025</t>
  </si>
  <si>
    <t>https://doi.org/10.1109/MFI55806.2022.9913845</t>
  </si>
  <si>
    <t>Enhancing Event-based Structured Light Imaging with a Single Frame</t>
  </si>
  <si>
    <t>MFI 2022</t>
  </si>
  <si>
    <t>https://doi.org/10.1109/MFI55806.2022.9913871</t>
  </si>
  <si>
    <t>https://doi.org/10.1109/MIPR67560.2025.00036</t>
  </si>
  <si>
    <t>Modeling Event Camera Frame Sequence Using Neural Field</t>
  </si>
  <si>
    <t>MIPR 2025</t>
  </si>
  <si>
    <t>https://doi.org/10.1109/MMAR65820.2025.11150932</t>
  </si>
  <si>
    <t>Memory-Efficient Hardware Implementation of Time-Ordered Recent Event (TORE) Volumes</t>
  </si>
  <si>
    <t>MMAR 2025</t>
  </si>
  <si>
    <t>https://doi.org/10.1109/MMUL.2025.3587306</t>
  </si>
  <si>
    <t>DRT: Dilated Recurrent Transformer for Event-based Video Reconstruction</t>
  </si>
  <si>
    <t>MMUL 2025</t>
  </si>
  <si>
    <t>https://doi.org/10.1109/MSP.2019.2928127</t>
  </si>
  <si>
    <t>https://doi.org/10.1109/MSP.2020.2985815</t>
  </si>
  <si>
    <t>https://doi.org/10.1109/MWSCAS60917.2024.10658731</t>
  </si>
  <si>
    <t>Image Recognition Using an Event Camera and a Stochastic Neural Network</t>
  </si>
  <si>
    <t>MWSCAS 2024</t>
  </si>
  <si>
    <t>https://doi.org/10.1109/NAECON65708.2025.11235446</t>
  </si>
  <si>
    <t>From RF to Light to Spikes: A Neuromorphic Pipeline for Real-Time RF Signal Classification</t>
  </si>
  <si>
    <t>NAECON 2025</t>
  </si>
  <si>
    <t>https://doi.org/10.1109/NICE61972.2024.10549580</t>
  </si>
  <si>
    <t>https://doi.org/10.1109/OJVT.2023.3325656</t>
  </si>
  <si>
    <t>Neuromorphic Driver Monitoring Systems: A Computationally Efficient Proof-of-Concept for Driver Distraction Detection</t>
  </si>
  <si>
    <t>OJVT 2023</t>
  </si>
  <si>
    <t>https://doi.org/10.1109/PHM-Beijing63284.2024.10874504</t>
  </si>
  <si>
    <t>Dynamic Vision-Enabled Machine Condition Monitoring: A Point Cloud-Based Diagnostic Methodology</t>
  </si>
  <si>
    <t>PHM-Beijing 2024</t>
  </si>
  <si>
    <t>https://doi.org/10.1109/PRAI62207.2024.10826912</t>
  </si>
  <si>
    <t>Image Reconstruction Leveraging Time-Event Feature Fusion for Event Cameras</t>
  </si>
  <si>
    <t>PRAI 2024</t>
  </si>
  <si>
    <t>https://doi.org/10.1109/RAPID64712.2025.11151471</t>
  </si>
  <si>
    <t>Recent Advances in Event-Based Computational Imaging</t>
  </si>
  <si>
    <t>RAPID 2025</t>
  </si>
  <si>
    <t>https://doi.org/10.1109/RCAR65431.2025.11139613</t>
  </si>
  <si>
    <t>A comprehensive review of event camera-based depth estimation methods</t>
  </si>
  <si>
    <t>RCAR 2025</t>
  </si>
  <si>
    <t>https://doi.org/10.1109/ROBIO.2015.7419043</t>
  </si>
  <si>
    <t>https://doi.org/10.1109/ROBIO49542.2019.8961878</t>
  </si>
  <si>
    <t>https://doi.org/10.1109/ROMAN.2017.8172497</t>
  </si>
  <si>
    <t>https://doi.org/10.1109/SBCCI62366.2024.10704003</t>
  </si>
  <si>
    <t>Layout Design of an Asynchronous Time-Based Image Sensor with Shared DVS Module</t>
  </si>
  <si>
    <t>SBCCI 2024</t>
  </si>
  <si>
    <t>https://doi.org/10.1109/SENSORS47125.2020.9278914</t>
  </si>
  <si>
    <t>https://doi.org/10.1109/SENSORS59705.2025.11330921</t>
  </si>
  <si>
    <t>Event-Based Vibration Measurement via Dynamic Mode Decomposition</t>
  </si>
  <si>
    <t>IEEE Sensors 2025</t>
  </si>
  <si>
    <t>https://doi.org/10.1109/SENSORS60989.2024.10785192</t>
  </si>
  <si>
    <t>Event-Based Real-Time Fall Detection Using YOLOv8 and LSTM</t>
  </si>
  <si>
    <t>IEEE Sensors 2024</t>
  </si>
  <si>
    <t>https://doi.org/10.1109/SII59315.2025.10870589</t>
  </si>
  <si>
    <t>Dynamic Threshold Spatial-Temporal Filter on FPGAs for Event-based Vision Sensors</t>
  </si>
  <si>
    <t>SII 2025</t>
  </si>
  <si>
    <t>https://doi.org/10.1109/SIMPAR.2016.7862386</t>
  </si>
  <si>
    <t>https://doi.org/10.1109/SIMPAR62925.2025.10979075</t>
  </si>
  <si>
    <t>Bio-Inspired Home Localization Using Event-Based Vision and Spiking Neural Networks in Simulated Environment</t>
  </si>
  <si>
    <t>SIMPAR 2025</t>
  </si>
  <si>
    <t>https://doi.org/10.1109/SMC53654.2022.9945237</t>
  </si>
  <si>
    <t>SCSE-E2VID: Improved event-based video reconstruction with an event camera</t>
  </si>
  <si>
    <t>SMC 2022</t>
  </si>
  <si>
    <t>https://doi.org/10.1109/SoutheastCon56624.2025.10971672</t>
  </si>
  <si>
    <t>Low Latency Blast Detection Using Event Cameras</t>
  </si>
  <si>
    <t>SoutheastCon 2025</t>
  </si>
  <si>
    <t>https://doi.org/10.1109/SR.2024.3513952</t>
  </si>
  <si>
    <t>https://doi.org/10.1109/SSCI.2016.7850249</t>
  </si>
  <si>
    <t>https://doi.org/10.1109/SSCI52147.2023.10372015</t>
  </si>
  <si>
    <t>Quantifying Temporal Entropy in Neuromorphic Memory Forgetting: Exploring Advanced Forgetting Models for Robust Long-Term Information Storage</t>
  </si>
  <si>
    <t>SSCI 2023</t>
  </si>
  <si>
    <t>https://doi.org/10.1109/SSCI52147.2023.10372042</t>
  </si>
  <si>
    <t>Neuromorphic Event Alarm Time-Series Suppression</t>
  </si>
  <si>
    <t>https://doi.org/10.1109/SSI56489.2022.9901412</t>
  </si>
  <si>
    <t>Comparison of Artificial and Spiking Neural Networks for Ambient-Assisted Living</t>
  </si>
  <si>
    <t>SSI 2022</t>
  </si>
  <si>
    <t>https://doi.org/10.1109/TAC.2018.2876997</t>
  </si>
  <si>
    <t>https://doi.org/10.1109/TAC.2022.3202839</t>
  </si>
  <si>
    <t>Toward Event-Based State Estimation for Neuromorphic Event Cameras</t>
  </si>
  <si>
    <t>TAC 2022</t>
  </si>
  <si>
    <t>https://doi.org/10.1109/TAC.2024.3419586</t>
  </si>
  <si>
    <t>Minimum Bitrate Neuromorphic Encoding for Continuous-Time Gauss-Markov Processes</t>
  </si>
  <si>
    <t>TAC 2025</t>
  </si>
  <si>
    <t>https://doi.org/10.1109/TALE66047.2025.11346742</t>
  </si>
  <si>
    <t>MagnifTeach: Enhancing Physics Education through Event-based Motion Magnification</t>
  </si>
  <si>
    <t>TALE 2025</t>
  </si>
  <si>
    <t>https://doi.org/10.1109/TASE.2025.3598695</t>
  </si>
  <si>
    <t>Neuromorphic Event Camera-Based Object Recognition and Grasping Position Detection Using a Transfer Learning-Enhanced Multi-Task Model</t>
  </si>
  <si>
    <t>TASE 2025</t>
  </si>
  <si>
    <t>https://doi.org/10.1109/TBCAS.2012.2195725</t>
  </si>
  <si>
    <t>https://doi.org/10.1109/TBCAS.2017.2759783</t>
  </si>
  <si>
    <t>https://doi.org/10.1109/TBCAS.2018.2834558</t>
  </si>
  <si>
    <t>https://doi.org/10.1109/TBCAS.2018.2875202</t>
  </si>
  <si>
    <t>https://doi.org/10.1109/TBCAS.2018.2880012</t>
  </si>
  <si>
    <t>https://doi.org/10.1109/TC.2025.3584201</t>
  </si>
  <si>
    <t>STEMS: Spatial-Temporal Mapping for Spiking Neural Networks</t>
  </si>
  <si>
    <t>TC 2025</t>
  </si>
  <si>
    <t>https://doi.org/10.1109/TCAD.2023.3264167</t>
  </si>
  <si>
    <t>Accelerating Event-based Workloads with HyperDimensional Computing and Spiking Neural Networks</t>
  </si>
  <si>
    <t>TCAD 2023</t>
  </si>
  <si>
    <t>https://doi.org/10.1109/TCAD.2025.3638266</t>
  </si>
  <si>
    <t>Espresso: Exploiting the Sparsity Property in Brain-Inspired Vision Sensors with Spatiotemporal Ordering</t>
  </si>
  <si>
    <t>TCAD 2025</t>
  </si>
  <si>
    <t>https://doi.org/10.1109/TCDS.2022.3210278</t>
  </si>
  <si>
    <t>STDP-Driven Development of Attention-Based People Detection in Spiking Neural Networks</t>
  </si>
  <si>
    <t>TCDS 2024</t>
  </si>
  <si>
    <t>https://doi.org/10.1109/TCDS.2024.3380907</t>
  </si>
  <si>
    <t>EventAugment: Learning Augmentation Policies From Asynchronous Event-Based Data</t>
  </si>
  <si>
    <t>https://doi.org/10.1109/TCDS.2024.3406168</t>
  </si>
  <si>
    <t>Event-Based Depth Prediction With Deep Spiking Neural Network</t>
  </si>
  <si>
    <t>https://doi.org/10.1109/TCDS.2024.3410371</t>
  </si>
  <si>
    <t>https://doi.org/10.1109/TCDS.2024.3422873</t>
  </si>
  <si>
    <t>SpikingViT: a Multi-scale Spiking Vision Transformer Model for Event-based Object Detection</t>
  </si>
  <si>
    <t>https://doi.org/10.1109/TCI.2019.2948755</t>
  </si>
  <si>
    <t>Fast Retinomorphic Event-Driven Representations for Video Gameplay and Action Recognition</t>
  </si>
  <si>
    <t>https://doi.org/10.1109/TCI.2022.3228747</t>
  </si>
  <si>
    <t>https://doi.org/10.1109/TCI.2023.3281202</t>
  </si>
  <si>
    <t>https://doi.org/10.1109/TCSI.2024.3387998</t>
  </si>
  <si>
    <t>A 593nJ/Inference DVS Hand Gesture Recognition Processor Embedded With Reconfigurable Multiple Constant Multiplication Technique</t>
  </si>
  <si>
    <t>TCSI 2024</t>
  </si>
  <si>
    <t>https://doi.org/10.1109/TCSI.2024.3441371</t>
  </si>
  <si>
    <t>Dynamic Vision With Single Photon Detectors: A Discrete DVS Architecture Using Asynchronous Sensor Front-Ends</t>
  </si>
  <si>
    <t>https://doi.org/10.1109/TCSI.2024.3517133</t>
  </si>
  <si>
    <t>HAST: A Hardware-Efficient Spatio-Temporal Correlation Near-Sensor Noise Filter for Dynamic Vision Sensors</t>
  </si>
  <si>
    <t>https://doi.org/10.1109/TCSI.2025.3526965</t>
  </si>
  <si>
    <t>Analysis of Pixel Noise in Dynamic Vision Sensors</t>
  </si>
  <si>
    <t>TCSI 2025</t>
  </si>
  <si>
    <t>https://doi.org/10.1109/TCSI.2025.3560666</t>
  </si>
  <si>
    <t>An FPGA-Based Event-Driven SNN Accelerator for DVS Applications With Structured Sparsity and Early-Stop</t>
  </si>
  <si>
    <t>https://doi.org/10.1109/TCSI.2025.3573092</t>
  </si>
  <si>
    <t>An Energy-Efficient Neuromorphic Accelerator Based on Deformable Spiking Transformer for Dynamic Vision Sensor</t>
  </si>
  <si>
    <t>https://doi.org/10.1109/TCSI.2025.3633669</t>
  </si>
  <si>
    <t>A 240 x 180 Event-Based Vision Sensor ROIC With Global Threshold Voltage Calibration Technology</t>
  </si>
  <si>
    <t>https://doi.org/10.1109/TCSII.2024.3364753</t>
  </si>
  <si>
    <t>An 8x 8 Event-Based Vision Infrared Sensor ROIC With Adaptive Threshold Voltage Generation Circuit</t>
  </si>
  <si>
    <t>TCSII 2024</t>
  </si>
  <si>
    <t>https://doi.org/10.1109/TCSVT.2018.2841516</t>
  </si>
  <si>
    <t>https://doi.org/10.1109/TCSVT.2020.3034148</t>
  </si>
  <si>
    <t>High Frame Rate Video Reconstruction and Deblurring Based on Dynamic and Active Pixel Vision Image Sensor</t>
  </si>
  <si>
    <t>https://doi.org/10.1109/TCSVT.2022.3156653</t>
  </si>
  <si>
    <t>https://doi.org/10.1109/TCSVT.2022.3189480</t>
  </si>
  <si>
    <t>https://doi.org/10.1109/TCSVT.2022.3202659</t>
  </si>
  <si>
    <t>https://doi.org/10.1109/TCSVT.2023.3249195</t>
  </si>
  <si>
    <t>Denoising for Dynamic Vision Sensor Based on Augmented Spatiotemporal Correlation</t>
  </si>
  <si>
    <t>TCSVT 2023</t>
  </si>
  <si>
    <t>https://doi.org/10.1109/TCSVT.2023.3301176</t>
  </si>
  <si>
    <t>Voxel-based Multi-scale Transformer Network for Event Stream Processing</t>
  </si>
  <si>
    <t>https://doi.org/10.1109/TCSVT.2023.3317976</t>
  </si>
  <si>
    <t>Motion-Oriented Hybrid Spiking Neural Networks for Event-Based Motion Deblurring</t>
  </si>
  <si>
    <t>https://doi.org/10.1109/TCSVT.2023.3335457</t>
  </si>
  <si>
    <t>Identifying Light Interference in Event-Based Vision</t>
  </si>
  <si>
    <t>https://doi.org/10.1109/TCSVT.2024.3378742</t>
  </si>
  <si>
    <t>Event-based Monocular Depth Estimation with Recurrent Transformers</t>
  </si>
  <si>
    <t>https://doi.org/10.1109/TCSVT.2024.3482436</t>
  </si>
  <si>
    <t>https://doi.org/10.1109/TCSVT.2024.3495769</t>
  </si>
  <si>
    <t>Spike-BRGNet: Efficient and Accurate Event-based Semantic Segmentation with Boundary Region-Guided Spiking Neural Networks</t>
  </si>
  <si>
    <t>https://doi.org/10.1109/TCSVT.2024.3519430</t>
  </si>
  <si>
    <t>Polarity-Focused Denoising for Event Cameras</t>
  </si>
  <si>
    <t>https://doi.org/10.1109/TCSVT.2025.3530947</t>
  </si>
  <si>
    <t>End–to-end Optimized Lossy Compression for Neural-morphic Spiking Camera Captured Data</t>
  </si>
  <si>
    <t>https://doi.org/10.1109/TCSVT.2025.3550901</t>
  </si>
  <si>
    <t>Event-based Video Reconstruction via Spatial-Temporal Heterogeneous Spiking Neural Network</t>
  </si>
  <si>
    <t>https://doi.org/10.1109/TCSVT.2025.3551516</t>
  </si>
  <si>
    <t>Event-based Motion Deblurring with Blur-aware Reconstruction Filter</t>
  </si>
  <si>
    <t>https://doi.org/10.1109/TCSVT.2025.3559299</t>
  </si>
  <si>
    <t>Spatio-Temporal Pyramid Keypoint Detection with Event Cameras</t>
  </si>
  <si>
    <t>https://doi.org/10.1109/TCSVT.2025.3568604</t>
  </si>
  <si>
    <t>EBF: An Event-based Bilateral Filter for Effective Neuromorphic Vision Sensor Denoising</t>
  </si>
  <si>
    <t>https://doi.org/10.1109/TCSVT.2025.3570056</t>
  </si>
  <si>
    <t>Highly Efficient 3D Human Pose Tracking from Events with Spiking Spatiotemporal Transformer</t>
  </si>
  <si>
    <t>https://doi.org/10.1109/TCSVT.2025.3570786</t>
  </si>
  <si>
    <t>Learning Parallax for Stereo Event-based Motion Deblurring</t>
  </si>
  <si>
    <t>https://doi.org/10.1109/TCSVT.2025.3589222</t>
  </si>
  <si>
    <t>I2EKD: Efficient and Versatile Image-to-Event Knowledge Distillation</t>
  </si>
  <si>
    <t>https://doi.org/10.1109/TCSVT.2025.3642699</t>
  </si>
  <si>
    <t>Fusing Events and Frames for Robust Gait Recognition</t>
  </si>
  <si>
    <t>https://doi.org/10.1109/TCYB.2022.3164882</t>
  </si>
  <si>
    <t>https://doi.org/10.1109/TED.2025.3601548</t>
  </si>
  <si>
    <t>Event-Driven CsPbBr 3 Perovskite Visual Neurons for Motion Direction Recognition in Low-Light Scenes</t>
  </si>
  <si>
    <t>TED 2025</t>
  </si>
  <si>
    <t>https://doi.org/10.1109/TETC.2017.2788865</t>
  </si>
  <si>
    <t>https://doi.org/10.1109/TETCI.2024.3363071</t>
  </si>
  <si>
    <t>Spatio-Temporal Fusion Spiking Neural Network for Frame-Based and Event-Based Camera Sensor Fusion</t>
  </si>
  <si>
    <t>TETCI 2024</t>
  </si>
  <si>
    <t>https://doi.org/10.1109/TETCI.2025.3574177</t>
  </si>
  <si>
    <t>Cross-Domain RGB-to-Event Image Translation Using Spiking Neurons for Eye Detection</t>
  </si>
  <si>
    <t>TETCI 2025</t>
  </si>
  <si>
    <t>https://doi.org/10.1109/TGRS.2025.3527474</t>
  </si>
  <si>
    <t>ESVT: Event-based Streaming Vision Transformer for Challenging Object Detection</t>
  </si>
  <si>
    <t>TGRS 2025</t>
  </si>
  <si>
    <t>https://doi.org/10.1109/TGRS.2025.3530915</t>
  </si>
  <si>
    <t>Stereo Event-based, 6-DOF Pose Tracking for Uncooperative Spacecraft</t>
  </si>
  <si>
    <t>https://doi.org/10.1109/TGRS.2025.3636122</t>
  </si>
  <si>
    <t>M2Former: Enhancing Event-Based RT-DETR for Robust and Lightweight Space Object Detection</t>
  </si>
  <si>
    <t>https://doi.org/10.1109/THMS.2025.3628064</t>
  </si>
  <si>
    <t>Applications of Neuromorphic/Event Camera in Robotics With Human in Loop: A Systematic Review, Datasets, and Challenges</t>
  </si>
  <si>
    <t>THMS 2025</t>
  </si>
  <si>
    <t>https://doi.org/10.1109/TIE.2010.2095390</t>
  </si>
  <si>
    <t>https://doi.org/10.1109/TIE.2015.2477265</t>
  </si>
  <si>
    <t>https://doi.org/10.1109/TIE.2024.3476931</t>
  </si>
  <si>
    <t>Underwater Robot Self-Localization Method Using Tightly Coupled Events, Images, Inertial, and Acoustic Fusion</t>
  </si>
  <si>
    <t>TIE 2024</t>
  </si>
  <si>
    <t>https://doi.org/10.1109/TIFS.2020.3023791</t>
  </si>
  <si>
    <t>https://doi.org/10.1109/TIFS.2024.3409167</t>
  </si>
  <si>
    <t>EGST: An Efficient Solution for Human Gaits Recognition Using Neuromorphic Vision Sensor</t>
  </si>
  <si>
    <t>TIFS 2024</t>
  </si>
  <si>
    <t>https://doi.org/10.1109/TII.2023.3262854</t>
  </si>
  <si>
    <t>Intelligent Machinery Fault Diagnosis With Event-Based Camera</t>
  </si>
  <si>
    <t>IEEE TII 2023</t>
  </si>
  <si>
    <t>https://doi.org/10.1109/TII.2024.3393007</t>
  </si>
  <si>
    <t>EHoA: A Benchmark for Task-Oriented Hand-Object Action Recognition via Event Vision</t>
  </si>
  <si>
    <t>TII 2025</t>
  </si>
  <si>
    <t>https://doi.org/10.1109/TII.2025.3625605</t>
  </si>
  <si>
    <t>Event-Based Image Deblurring via Cross-Modal Interaction Fusion</t>
  </si>
  <si>
    <t>https://doi.org/10.1109/TIM.2019.2919354</t>
  </si>
  <si>
    <t>https://doi.org/10.1109/TIM.2023.3325508</t>
  </si>
  <si>
    <t>Cubic B-Spline-Based Feature Tracking for Visual–Inertial Odometry With Event Camera</t>
  </si>
  <si>
    <t>https://doi.org/10.1109/TIM.2024.3470063</t>
  </si>
  <si>
    <t>Accurate Event Camera Calibration with Fourier Transform</t>
  </si>
  <si>
    <t>TIM 2024</t>
  </si>
  <si>
    <t>https://doi.org/10.1109/TIM.2025.3551440</t>
  </si>
  <si>
    <t>GelEvent—A Novel High-speed Tactile Sensor With Event Camera</t>
  </si>
  <si>
    <t>TIM 2025</t>
  </si>
  <si>
    <t>https://doi.org/10.1109/TIM.2025.3552392</t>
  </si>
  <si>
    <t>TEVIO: Thermal-Aided Event-Based Visual–Inertial Odometry for Robust State Estimation in Challenging Environments</t>
  </si>
  <si>
    <t>https://doi.org/10.1109/TIM.2025.3566813</t>
  </si>
  <si>
    <t>Event-Based Stereo Depth Estimation With Motion Guidance and Left-Right Consistency</t>
  </si>
  <si>
    <t>https://doi.org/10.1109/TIM.2025.3568945</t>
  </si>
  <si>
    <t>Rotation and Temporal Calibration of Event Camera and IMU Based on Contrast Maximization</t>
  </si>
  <si>
    <t>https://doi.org/10.1109/TIM.2026.3652739</t>
  </si>
  <si>
    <t>PA-EVIO: Polarity-aided Event-Visual-Inertial Odometry with Adaptive Event Representation</t>
  </si>
  <si>
    <t>TIM 2026</t>
  </si>
  <si>
    <t>https://doi.org/10.1109/TIP.2017.2661702</t>
  </si>
  <si>
    <t>Asynchronous Event-Based Fourier Analysis</t>
  </si>
  <si>
    <t>TIP 2017</t>
  </si>
  <si>
    <t>https://doi.org/10.1109/TIP.2021.3052070</t>
  </si>
  <si>
    <t>SPADE-E2VID: Spatially-Adaptive Denormalization for Event-Based Video Reconstruction</t>
  </si>
  <si>
    <t>TIP 2021</t>
  </si>
  <si>
    <t>https://doi.org/10.1109/TIP.2021.3077136</t>
  </si>
  <si>
    <t>Learning From Images: A Distillation Learning Framework for Event Cameras</t>
  </si>
  <si>
    <t>https://doi.org/10.1109/TIP.2022.3220938</t>
  </si>
  <si>
    <t>Learning Dense and Continuous Optical Flow from an Event Camera</t>
  </si>
  <si>
    <t>TIP 2022</t>
  </si>
  <si>
    <t>https://doi.org/10.1109/TIP.2022.3228168</t>
  </si>
  <si>
    <t>https://doi.org/10.1109/TIP.2023.3249579</t>
  </si>
  <si>
    <t>Event-based Semantic Segmentation with Posterior Attention</t>
  </si>
  <si>
    <t>https://doi.org/10.1109/TIP.2023.3272283</t>
  </si>
  <si>
    <t>Event-aware Video Deraining via Multi-Patch Progressive Learning</t>
  </si>
  <si>
    <t>https://doi.org/10.1109/TIP.2024.3372460</t>
  </si>
  <si>
    <t>https://doi.org/10.1109/TIP.2024.3374074</t>
  </si>
  <si>
    <t>https://doi.org/10.1109/TIP.2024.3410673</t>
  </si>
  <si>
    <t>E-Calib: A Fast, Robust and Accurate Calibration Toolbox for Event Cameras</t>
  </si>
  <si>
    <t>TIP 2024</t>
  </si>
  <si>
    <t>https://doi.org/10.1109/TIP.2024.3430043</t>
  </si>
  <si>
    <t>Spiking Transfer Learning from RGB Image to Neuromorphic Event Stream</t>
  </si>
  <si>
    <t>https://doi.org/10.1109/TIP.2024.3497795</t>
  </si>
  <si>
    <t>EvRepSL: Event-Stream Representation via Self-Supervised Learning for Event-Based Vision</t>
  </si>
  <si>
    <t>https://doi.org/10.1109/TIP.2024.3512362</t>
  </si>
  <si>
    <t>Learning Frame-Event Fusion for Motion Deblurring</t>
  </si>
  <si>
    <t>https://doi.org/10.1109/TIP.2025.3550008</t>
  </si>
  <si>
    <t>Event-Based Video Reconstruction with Deep Spatial-Frequency Unfolding Network</t>
  </si>
  <si>
    <t>TIP 2025</t>
  </si>
  <si>
    <t>https://doi.org/10.1109/tip.2025.3607632</t>
  </si>
  <si>
    <t>Motion and Appearance Decoupling Representation for Event Cameras</t>
  </si>
  <si>
    <t>https://doi.org/10.1109/TITS.2020.3022921</t>
  </si>
  <si>
    <t>https://doi.org/10.1109/TITS.2021.3136358</t>
  </si>
  <si>
    <t>https://doi.org/10.1109/TITS.2023.3312355</t>
  </si>
  <si>
    <t>MA-VIED: A Multisensor Automotive Visual Inertial Event Dataset</t>
  </si>
  <si>
    <t>IEEE T-ITS 2023</t>
  </si>
  <si>
    <t>https://doi.org/10.1109/TITS.2025.3641162</t>
  </si>
  <si>
    <t>SERF: Spatiotemporal-Aware Event-RGB Fusion for Steering Angle Prediction</t>
  </si>
  <si>
    <t>TITS 2025</t>
  </si>
  <si>
    <t>https://doi.org/10.1109/TIV.2023.3323378</t>
  </si>
  <si>
    <t>MC-VEO: A Visual-Event Odometry With Accurate 6-DoF Motion Compensation</t>
  </si>
  <si>
    <t>TIV 2023</t>
  </si>
  <si>
    <t>https://doi.org/10.1109/TIV.2024.3365991</t>
  </si>
  <si>
    <t>From Dense to Sparse: Low-Latency and Speed-Robust Event-Based Object Detection</t>
  </si>
  <si>
    <t>TIV 2024</t>
  </si>
  <si>
    <t>https://doi.org/10.1109/TMC.2024.3521044</t>
  </si>
  <si>
    <t>Taming Event Cameras With Bio-Inspired Architecture and Algorithm: A Case for Drone Obstacle Avoidance</t>
  </si>
  <si>
    <t>TMC 2025</t>
  </si>
  <si>
    <t>https://doi.org/10.1109/TMC.2025.3581317</t>
  </si>
  <si>
    <t>Modeling State Shifting via Local-Global Distillation for Event-Frame Gaze Tracking</t>
  </si>
  <si>
    <t>https://doi.org/10.1109/TMECH.2023.3259444</t>
  </si>
  <si>
    <t>LCE-Calib: Automatic LiDAR-Frame/Event Camera Extrinsic Calibration With A Globally Optimal Solution</t>
  </si>
  <si>
    <t>TMECH 2023</t>
  </si>
  <si>
    <t>https://doi.org/10.1109/TMM.2020.2993957</t>
  </si>
  <si>
    <t>https://doi.org/10.1109/TMM.2022.3199556</t>
  </si>
  <si>
    <t>https://doi.org/10.1109/TMM.2023.3260638</t>
  </si>
  <si>
    <t>E-MLB: Multilevel Benchmark for Event-Based Camera Denoising</t>
  </si>
  <si>
    <t>TMM 2023</t>
  </si>
  <si>
    <t>https://doi.org/10.1109/TMM.2023.3290432</t>
  </si>
  <si>
    <t>Event-based Low-illumination Image Enhancement</t>
  </si>
  <si>
    <t>https://doi.org/10.1109/TMM.2024.3355630</t>
  </si>
  <si>
    <t>Motion Deblur by Learning Residual from Events</t>
  </si>
  <si>
    <t>TMM 2024</t>
  </si>
  <si>
    <t>https://doi.org/10.1109/TMM.2024.3380255</t>
  </si>
  <si>
    <t>EISNet: A Multi-Modal Fusion Network for Semantic Segmentation with Events and Images</t>
  </si>
  <si>
    <t>https://doi.org/10.1109/TMM.2024.3521662</t>
  </si>
  <si>
    <t>Neuromorphic Vision-based Motion Segmentation with Graph Transformer Neural Network</t>
  </si>
  <si>
    <t>https://doi.org/10.1109/TMM.2025.3542978</t>
  </si>
  <si>
    <t>All-in-Focus Imaging from Events with Occlusions</t>
  </si>
  <si>
    <t>TMM 2025</t>
  </si>
  <si>
    <t>https://doi.org/10.1109/TMM.2025.3543010</t>
  </si>
  <si>
    <t>Enhancing Event-based Video Reconstruction with Bidirectional Temporal Information</t>
  </si>
  <si>
    <t>https://doi.org/10.1109/TMM.2026.3654340</t>
  </si>
  <si>
    <t>Learning Dual Modality Interactions for Event-based Motion Deblurring</t>
  </si>
  <si>
    <t>TMM 2026</t>
  </si>
  <si>
    <t>https://doi.org/10.1109/TNN.2009.2023653</t>
  </si>
  <si>
    <t>https://doi.org/10.1109/TNN.2011.2167239</t>
  </si>
  <si>
    <t>https://doi.org/10.1109/TNNLS.2011.2180025</t>
  </si>
  <si>
    <t>https://doi.org/10.1109/TNNLS.2013.2273537</t>
  </si>
  <si>
    <t>https://doi.org/10.1109/TNNLS.2014.2308551</t>
  </si>
  <si>
    <t>Real-Time Gesture Interface Based on Event-Driven Processing From Stereo Silicon Retinas</t>
  </si>
  <si>
    <t>TNNLS 2014</t>
  </si>
  <si>
    <t>https://doi.org/10.1109/TNNLS.2014.2352401</t>
  </si>
  <si>
    <t>Asynchronous Event-Based Multikernel Algorithm for High-Speed Visual Features Tracking</t>
  </si>
  <si>
    <t>TNNLS 2015</t>
  </si>
  <si>
    <t>https://doi.org/10.1109/TNNLS.2014.2362542</t>
  </si>
  <si>
    <t>Feedforward Categorization on AER Motion Events using Cortex-like Features in a Spiking Neural Network</t>
  </si>
  <si>
    <t>https://doi.org/10.1109/TNNLS.2015.2401834</t>
  </si>
  <si>
    <t>https://doi.org/10.1109/TNNLS.2017.2759326</t>
  </si>
  <si>
    <t>Event-driven Stereo Visual Tracking Algorithm to Solve Object Occlusion</t>
  </si>
  <si>
    <t>TNNLS 2017</t>
  </si>
  <si>
    <t>https://doi.org/10.1109/TNNLS.2017.2785272</t>
  </si>
  <si>
    <t>Spatial and Temporal Downsampling in Event-Based Visual Classification</t>
  </si>
  <si>
    <t>TNNLS 2018</t>
  </si>
  <si>
    <t>https://doi.org/10.1109/TNNLS.2018.2807983</t>
  </si>
  <si>
    <t>https://doi.org/10.1109/TNNLS.2019.2945630</t>
  </si>
  <si>
    <t>An Event-Driven Categorization Model for AER Image Sensors Using Multispike Encoding and Learning</t>
  </si>
  <si>
    <t>TNNLS 2019</t>
  </si>
  <si>
    <t>https://doi.org/10.1109/TNNLS.2022.3201830</t>
  </si>
  <si>
    <t>https://doi.org/10.1109/TNNLS.2023.3329741</t>
  </si>
  <si>
    <t>Event-Driven Video Restoration With Spiking-Convolutional Architecture</t>
  </si>
  <si>
    <t>TNNLS 2023</t>
  </si>
  <si>
    <t>https://doi.org/10.1109/TNNLS.2024.3459969</t>
  </si>
  <si>
    <t>Event-Assisted Recurrent Network for Arbitrary-Temporal-Scale Blurry Image Unfolding</t>
  </si>
  <si>
    <t>TNNLS 2025</t>
  </si>
  <si>
    <t>https://doi.org/10.1109/TNNLS.2025.3543381</t>
  </si>
  <si>
    <t xml:space="preserve">EGVD: Event-Guided Video Deraining </t>
  </si>
  <si>
    <t>https://doi.org/10.1109/TNNLS.2025.3650157</t>
  </si>
  <si>
    <t>HSA 2 M: Hierarchical Spike Aggregation Activation Map for Visual Explanations From Spiking Neural Networks</t>
  </si>
  <si>
    <t>https://doi.org/10.1109/TPAMI.2013.71</t>
  </si>
  <si>
    <t>https://doi.org/10.1109/TPAMI.2015.2392947</t>
  </si>
  <si>
    <t>HFIRST: A Temporal Approach to Object Recognition</t>
  </si>
  <si>
    <t>TPAMI 2015</t>
  </si>
  <si>
    <t>https://doi.org/10.1109/TPAMI.2016.2574707</t>
  </si>
  <si>
    <t>HOTS: A Hierarchy Of event-based Time-Surfaces for pattern recognition</t>
  </si>
  <si>
    <t>TPAMI 2017</t>
  </si>
  <si>
    <t>https://doi.org/10.1109/TPAMI.2019.2919301</t>
  </si>
  <si>
    <t>DART: Distribution Aware Retinal Transform for Event-based Cameras</t>
  </si>
  <si>
    <t>TPAMI 2019</t>
  </si>
  <si>
    <t>https://doi.org/10.1109/TPAMI.2019.2963386</t>
  </si>
  <si>
    <t>High Speed and High Dynamic Range Video with an Event Camera</t>
  </si>
  <si>
    <t>https://doi.org/10.1109/TPAMI.2020.2986748</t>
  </si>
  <si>
    <t>https://doi.org/10.1109/TPAMI.2020.3010468</t>
  </si>
  <si>
    <t>https://doi.org/10.1109/TPAMI.2020.3036667</t>
  </si>
  <si>
    <t>High Frame Rate Video Reconstruction based on an Event Camera</t>
  </si>
  <si>
    <t>TPAMI 2021</t>
  </si>
  <si>
    <t>https://doi.org/10.1109/TPAMI.2021.3053243</t>
  </si>
  <si>
    <t>Globally-Optimal Contrast Maximisation for Event Cameras</t>
  </si>
  <si>
    <t>https://doi.org/10.1109/TPAMI.2021.3054886</t>
  </si>
  <si>
    <t>Event-Stream Representation for Human Gaits Identification Using Deep Neural Networks</t>
  </si>
  <si>
    <t>https://doi.org/10.1109/TPAMI.2021.3096985</t>
  </si>
  <si>
    <t>E2SRI: Learning to Super-Resolve Intensity Images from Events</t>
  </si>
  <si>
    <t>https://doi.org/10.1109/TPAMI.2021.3113344</t>
  </si>
  <si>
    <t>Guided Event Filtering: Synergy between Intensity Images and Neuromorphic Events for High Performance Imaging</t>
  </si>
  <si>
    <t>https://doi.org/10.1109/TPAMI.2021.3113352</t>
  </si>
  <si>
    <t>Joint Framework for Single Image Reconstruction and Super-Resolution with an Event Camera</t>
  </si>
  <si>
    <t>https://doi.org/10.1109/TPAMI.2021.3130049</t>
  </si>
  <si>
    <t>Robust Event-based Vision Model Estimation by Dispersion Minimisation</t>
  </si>
  <si>
    <t>https://doi.org/10.1109/TPAMI.2021.3130049/mm1</t>
  </si>
  <si>
    <t>https://doi.org/10.1109/TPAMI.2021.3135635</t>
  </si>
  <si>
    <t>luvHarris: A Practical Corner Detector for Event-cameras</t>
  </si>
  <si>
    <t>https://doi.org/10.1109/TPAMI.2022.3152999</t>
  </si>
  <si>
    <t>https://doi.org/10.1109/TPAMI.2022.3172212</t>
  </si>
  <si>
    <t>Time-Ordered Recent Event (TORE) Volumes for Event Cameras</t>
  </si>
  <si>
    <t>TPAMI 2022</t>
  </si>
  <si>
    <t>https://doi.org/10.1109/TPAMI.2022.3224051</t>
  </si>
  <si>
    <t>https://doi.org/10.1109/TPAMI.2022.3227448</t>
  </si>
  <si>
    <t>https://doi.org/10.1109/TPAMI.2022.3230727</t>
  </si>
  <si>
    <t>https://doi.org/10.1109/TPAMI.2022.3231334</t>
  </si>
  <si>
    <t>Hybrid High Dynamic Range Imaging fusing Neuromorphic and Conventional Images</t>
  </si>
  <si>
    <t>https://doi.org/10.1109/TPAMI.2023.3240397</t>
  </si>
  <si>
    <t>Learning to Super-Resolve Blurry Images with Events</t>
  </si>
  <si>
    <t>https://doi.org/10.1109/TPAMI.2023.3241201</t>
  </si>
  <si>
    <t>Attention Spiking Neural Networks</t>
  </si>
  <si>
    <t>https://doi.org/10.1109/TPAMI.2023.3278940</t>
  </si>
  <si>
    <t>https://doi.org/10.1109/TPAMI.2023.3304486</t>
  </si>
  <si>
    <t>NeuroZoom: Denoising and Super Resolving Neuromorphic Events and Spikes</t>
  </si>
  <si>
    <t>https://doi.org/10.1109/TPAMI.2023.3311534</t>
  </si>
  <si>
    <t>https://doi.org/10.1109/TPAMI.2023.3328188</t>
  </si>
  <si>
    <t>Event-based Background-Oriented Schlieren</t>
  </si>
  <si>
    <t>https://doi.org/10.1109/TPAMI.2024.3359606</t>
  </si>
  <si>
    <t>E-Gaze: Gaze Estimation with Event Camera</t>
  </si>
  <si>
    <t>https://doi.org/10.1109/TPAMI.2024.3361671</t>
  </si>
  <si>
    <t>Dense Continuous-Time Optical Flow from Event Cameras</t>
  </si>
  <si>
    <t>https://doi.org/10.1109/tpami.2024.3386813</t>
  </si>
  <si>
    <t>“Seeing” ENF From Neuromorphic Events: Modeling and Robust Estimation</t>
  </si>
  <si>
    <t>https://doi.org/10.1109/TPAMI.2024.3396116</t>
  </si>
  <si>
    <t>Secrets of Event-based Optical Flow, Depth and Ego-motion Estimation by Contrast Maximization</t>
  </si>
  <si>
    <t>https://doi.org/10.1109/TPAMI.2024.3469571</t>
  </si>
  <si>
    <t>EventHDR: from Event to High-Speed HDR Videos and Beyond</t>
  </si>
  <si>
    <t>https://doi.org/10.1109/TPAMI.2024.3477591</t>
  </si>
  <si>
    <t>Continuous-time Object Segmentation using High Temporal Resolution Event Camera</t>
  </si>
  <si>
    <t>https://doi.org/10.1109/TPAMI.2024.3510627</t>
  </si>
  <si>
    <t>Self-Supervised High-Order Information Bottleneck Learning of Spiking Neural Network for Robust Event-Based Optical Flow Estimation</t>
  </si>
  <si>
    <t>https://doi.org/10.1109/TPAMI.2025.3526280</t>
  </si>
  <si>
    <t>Non-Uniform Exposure Imaging via Neuromorphic Shutter Control</t>
  </si>
  <si>
    <t>https://doi.org/10.1109/TPAMI.2025.3536016</t>
  </si>
  <si>
    <t>Data-driven Feature Tracking for Event Cameras with and without Frames</t>
  </si>
  <si>
    <t>https://doi.org/10.1109/TPAMI.2025.3545936</t>
  </si>
  <si>
    <t>NER-Net+: Seeing Motion at Nighttime with an Event Camera</t>
  </si>
  <si>
    <t>https://doi.org/10.1109/TPAMI.2025.3556561</t>
  </si>
  <si>
    <t>Rethinking Efficient and Effective Point-based Networks for Event Camera Classification and Regression: EventMamba</t>
  </si>
  <si>
    <t>https://doi.org/10.1109/TPAMI.2025.3565102</t>
  </si>
  <si>
    <t>Detecting Every Object from Events</t>
  </si>
  <si>
    <t>https://doi.org/10.1109/TPAMI.2025.3568333</t>
  </si>
  <si>
    <t>EventAid: Benchmarking Event-aided Image/Video Enhancement Algorithms with Real-captured Hybrid Dataset</t>
  </si>
  <si>
    <t>https://doi.org/10.1109/tpami.2025.3595008</t>
  </si>
  <si>
    <t>Event-Based Visual Microphone Based On Specular Reflections Off Angularly Deformed Surfaces</t>
  </si>
  <si>
    <t>https://doi.org/10.1109/tpami.2025.3604385</t>
  </si>
  <si>
    <t>Centroiding Point-Objects With Event Cameras</t>
  </si>
  <si>
    <t>https://doi.org/10.1109/TPAMI.2025.3615144</t>
  </si>
  <si>
    <t>Learning Efficient Meshflow and Optical Flow from Event Cameras</t>
  </si>
  <si>
    <t>https://doi.org/10.1109/TPAMI.2025.3645734</t>
  </si>
  <si>
    <t>Temporal Stereo Matching From Event Cameras Via Joint Learning With Stereoscopic Flow</t>
  </si>
  <si>
    <t>https://doi.org/10.1109/TRO.2012.2198930</t>
  </si>
  <si>
    <t>https://doi.org/10.1109/TRO.2021.3062252</t>
  </si>
  <si>
    <t>Event-based Stereo Visual Odometry</t>
  </si>
  <si>
    <t>TRO 2021</t>
  </si>
  <si>
    <t>https://doi.org/10.1109/TRO.2023.3333108</t>
  </si>
  <si>
    <t>Tight Fusion of Events and Inertial Measurements for Direct Velocity Estimation</t>
  </si>
  <si>
    <t>TRO 2023</t>
  </si>
  <si>
    <t>https://doi.org/10.1109/TRO.2024.3355370</t>
  </si>
  <si>
    <t>Cross-Modal Semi-Dense 6-DoF Tracking of an Event Camera in Challenging Conditions</t>
  </si>
  <si>
    <t>https://doi.org/10.1109/TRO.2024.3454410).*,&lt;br</t>
  </si>
  <si>
    <t>https://doi.org/10.1109/TRO.2024.3502215</t>
  </si>
  <si>
    <t>E-BTS: Event-Based Tactile Sensor for Haptic Teleoperation in Augmented Reality</t>
  </si>
  <si>
    <t>https://doi.org/10.1109/TRO.2025.3548523</t>
  </si>
  <si>
    <t>https://doi.org/10.1109/TRO.2025.3584544</t>
  </si>
  <si>
    <t>Event-Based Visual-Inertial State Estimation for High-Speed Maneuvers</t>
  </si>
  <si>
    <t>TRO 2025</t>
  </si>
  <si>
    <t>https://doi.org/10.1109/TVCG.2023.3320271</t>
  </si>
  <si>
    <t>EV-LFV: Synthesizing Light Field Event Streams From an Event Camera and Multiple RGB Cameras</t>
  </si>
  <si>
    <t>TVCG 2023</t>
  </si>
  <si>
    <t>https://doi.org/10.1109/TVCG.2024.3360468</t>
  </si>
  <si>
    <t>Video2Haptics: Converting Video Motion to Dynamic Haptic Feedback with Bio-Inspired Event Processing</t>
  </si>
  <si>
    <t>TVCG 2024</t>
  </si>
  <si>
    <t>https://doi.org/10.1109/TVCG.2024.3372039</t>
  </si>
  <si>
    <t>Swift-Eye: Towards Anti-blink Pupil Tracking for Precise and Robust High-Frequency Near-Eye Movement Analysis with Event Cameras</t>
  </si>
  <si>
    <t>https://doi.org/10.1109/TVLSI.2025.3600953</t>
  </si>
  <si>
    <t>ASNA-Flow: An Efficient Asynchronous Neuromorphic Accelerator for Real-Time Event-Based Optical Flow</t>
  </si>
  <si>
    <t>TVLSI 2025</t>
  </si>
  <si>
    <t>https://doi.org/10.1109/TVLSI.2025.3633693</t>
  </si>
  <si>
    <t>EDMOT: A 25–65 ns Latency Event-Driven Multiobject Tracker for Dynamic Vision Sensors</t>
  </si>
  <si>
    <t>https://doi.org/10.1109/USBEREIT65494.2025.11054254</t>
  </si>
  <si>
    <t>Impact of Input Data Quality on Event Camera for Image Reconstruction Task</t>
  </si>
  <si>
    <t>USBEREIT 2025</t>
  </si>
  <si>
    <t>https://doi.org/10.1109/WACV61041.2025.00071</t>
  </si>
  <si>
    <t>https://doi.org/10.1109/WACV61041.2025.00245</t>
  </si>
  <si>
    <t>https://doi.org/10.1109/WRC-SARA.2018.8584215</t>
  </si>
  <si>
    <t>https://doi.org/10.1109/YAC57282.2022.10023860</t>
  </si>
  <si>
    <t>ERCM: Bionic Event-based Registration Method Based on Contrast Minimum for Intelligent Unmanned Systems</t>
  </si>
  <si>
    <t>YAC 2022</t>
  </si>
  <si>
    <t>https://doi.org/10.1111/2041-210x.70224</t>
  </si>
  <si>
    <t>evsBat: An automated toolkit for tracking and quantifying rapid movement of nocturnal animals using event cameras</t>
  </si>
  <si>
    <t>MEE 2025</t>
  </si>
  <si>
    <t>https://doi.org/10.1117/1.APN.3.5.056002</t>
  </si>
  <si>
    <t>Neuromorphic encryption: combining speckle correlography and event data for enhanced security</t>
  </si>
  <si>
    <t>APN 2024</t>
  </si>
  <si>
    <t>https://doi.org/10.1117/1.JEI.23.4.043011</t>
  </si>
  <si>
    <t>https://doi.org/10.1117/1.JEI.28.6.063012</t>
  </si>
  <si>
    <t>https://doi.org/10.1117/1.JEI.33.1.013017</t>
  </si>
  <si>
    <t>Event camera object recognition using spatiotemporal event time surface and reward-modulated spike-timing-dependent plasticity learning rule</t>
  </si>
  <si>
    <t>JEI 2024</t>
  </si>
  <si>
    <t>https://doi.org/10.1117/1.JEI.34.3.033041</t>
  </si>
  <si>
    <t>Lightweight and high-speed contextual intensity image reconstruction from event-based sensors with adaptive FastDynamicNet</t>
  </si>
  <si>
    <t>JEI 2025</t>
  </si>
  <si>
    <t>https://doi.org/10.1117/1.JEI.34.4.043024</t>
  </si>
  <si>
    <t>Optical flow constraint equation based on edge-line translation of event camera data</t>
  </si>
  <si>
    <t>https://doi.org/10.1117/1.NPh.12.S1.S14608</t>
  </si>
  <si>
    <t>Ultrafast optical imaging techniques for exploring rapid neuronal dynamics</t>
  </si>
  <si>
    <t>NPh 2025</t>
  </si>
  <si>
    <t>https://doi.org/10.1117/1.OE.60.5.053101</t>
  </si>
  <si>
    <t>Turbulence mitigation in imagery including moving objects from a static event camera</t>
  </si>
  <si>
    <t>Optical Eng. 2021</t>
  </si>
  <si>
    <t>https://doi.org/10.1117/1.OE.62.3.031209</t>
  </si>
  <si>
    <t>https://doi.org/10.1117/12.2305504</t>
  </si>
  <si>
    <t>https://doi.org/10.1117/12.2305933</t>
  </si>
  <si>
    <t>https://doi.org/10.1117/12.2521520</t>
  </si>
  <si>
    <t>https://doi.org/10.1117/12.2575978</t>
  </si>
  <si>
    <t>https://doi.org/10.1117/12.2618894</t>
  </si>
  <si>
    <t>Atmospheric turbulence characterization using a neuromorphic camera</t>
  </si>
  <si>
    <t>SPIE 2022</t>
  </si>
  <si>
    <t>https://doi.org/10.1117/12.2672301</t>
  </si>
  <si>
    <t>Event-based camera refractory period characterization and initial clock drift evaluation</t>
  </si>
  <si>
    <t>SPIE 2023</t>
  </si>
  <si>
    <t>https://doi.org/10.1117/12.2676802</t>
  </si>
  <si>
    <t>X-ray tracking using a perovskite scintillator with an event-based sensor</t>
  </si>
  <si>
    <t>https://doi.org/10.1117/12.2677036</t>
  </si>
  <si>
    <t>Hybrid event and frame-based system for target detection, tracking, and identification</t>
  </si>
  <si>
    <t>https://doi.org/10.1117/12.2679990</t>
  </si>
  <si>
    <t>Event based sensor versatility for long range surveillance imaging</t>
  </si>
  <si>
    <t>https://doi.org/10.1117/12.2680949</t>
  </si>
  <si>
    <t>Reconstructed intensity image-based loop detection method for event-based visual odometry</t>
  </si>
  <si>
    <t>https://doi.org/10.1117/12.2681645</t>
  </si>
  <si>
    <t>Siamese network object tracking based on fusion of visible and event cameras</t>
  </si>
  <si>
    <t>https://doi.org/10.1117/12.3006325</t>
  </si>
  <si>
    <t>Hypergraph neural network for gait recognition based on event camera</t>
  </si>
  <si>
    <t>https://doi.org/10.1117/12.3013043</t>
  </si>
  <si>
    <t>Novel algorithm development for event-based sensing deployment</t>
  </si>
  <si>
    <t>SPIE 2024</t>
  </si>
  <si>
    <t>https://doi.org/10.1117/12.3013188</t>
  </si>
  <si>
    <t>Advancing event camera-based 3D reconstructions: optimized projection for high-quality measurements</t>
  </si>
  <si>
    <t>https://doi.org/10.1117/12.3013389</t>
  </si>
  <si>
    <t>3D normal vector estimation using event camera</t>
  </si>
  <si>
    <t>https://doi.org/10.1117/12.3016236</t>
  </si>
  <si>
    <t>Denoising algorithm based on event camera</t>
  </si>
  <si>
    <t>https://doi.org/10.1117/12.3026253</t>
  </si>
  <si>
    <t>Progress on event-based camera characterization techniques including pre-launch measurements of the Falcon ODIN Space Experiment</t>
  </si>
  <si>
    <t>https://doi.org/10.1117/12.3027694</t>
  </si>
  <si>
    <t>Falcon ODIN: an event based camera payload</t>
  </si>
  <si>
    <t>https://doi.org/10.1117/12.3028285</t>
  </si>
  <si>
    <t>A learning-based approach to event-based Shack-Hartmann wavefront sensing</t>
  </si>
  <si>
    <t>https://doi.org/10.1117/12.3029595</t>
  </si>
  <si>
    <t>Quantifying effluent flow with event-based sensors</t>
  </si>
  <si>
    <t>https://doi.org/10.1117/12.3031306</t>
  </si>
  <si>
    <t>Event-based real-time detection and tracking of UAVs</t>
  </si>
  <si>
    <t>https://doi.org/10.1117/12.3035979</t>
  </si>
  <si>
    <t>Dynamic frequency digital holographic detection of MEMS galvanometers based on event cameras</t>
  </si>
  <si>
    <t>https://doi.org/10.1117/12.3037556</t>
  </si>
  <si>
    <t>High-speed object tracking and localization using event-based extended Kalman filtering</t>
  </si>
  <si>
    <t>https://doi.org/10.1117/12.3041873</t>
  </si>
  <si>
    <t>Performance metrics for neuromorphic imaging</t>
  </si>
  <si>
    <t>SPIE OPTO 2025</t>
  </si>
  <si>
    <t>https://doi.org/10.1117/12.3052785</t>
  </si>
  <si>
    <t>Target detection method based on event-time surface feature fusion network</t>
  </si>
  <si>
    <t>ICMIC 2024</t>
  </si>
  <si>
    <t>https://doi.org/10.1117/12.3053247</t>
  </si>
  <si>
    <t>Characterizing the ambiguity of event-based pixel temporal contrast encoding</t>
  </si>
  <si>
    <t>https://doi.org/10.1117/12.3053313</t>
  </si>
  <si>
    <t>SWIFT EI: the world's first SWIR event-based sensor</t>
  </si>
  <si>
    <t>https://doi.org/10.1117/12.3053794</t>
  </si>
  <si>
    <t>Addressing data size challenges of hyperspectral imaging through event-based sensing</t>
  </si>
  <si>
    <t>https://doi.org/10.1117/12.3054029</t>
  </si>
  <si>
    <t>Multi-target detection, tracking, and identification using hybrid event-based and frame-based system</t>
  </si>
  <si>
    <t>https://doi.org/10.1117/12.3055039</t>
  </si>
  <si>
    <t>Enhancing object detection with event-based vision sensors and point cloud processing: autonomous systems applications</t>
  </si>
  <si>
    <t>https://doi.org/10.1117/12.3057689</t>
  </si>
  <si>
    <t>Application of event cameras in blood flow imaging</t>
  </si>
  <si>
    <t>icOPEN 2024</t>
  </si>
  <si>
    <t>https://doi.org/10.1117/12.3062298</t>
  </si>
  <si>
    <t>Beyond the sparsity paradigm: efficient binary frames for event-based vision</t>
  </si>
  <si>
    <t>https://doi.org/10.1117/12.3063005</t>
  </si>
  <si>
    <t>Harnessing speckle optical fiber sensors through high-frequency interrogation with an event-based camera</t>
  </si>
  <si>
    <t>https://doi.org/10.1117/12.3064182</t>
  </si>
  <si>
    <t>A rope net trajectory reconstruction method based on event camera</t>
  </si>
  <si>
    <t>https://doi.org/10.1117/12.3068939</t>
  </si>
  <si>
    <t>Spatiotemporal alignment in hybrid vision systems: unifying event cameras and frame-based cameras</t>
  </si>
  <si>
    <t>https://doi.org/10.1126/scirobotics.abl8419</t>
  </si>
  <si>
    <t>https://doi.org/10.1142/S0218126624300083</t>
  </si>
  <si>
    <t>Recent Advances in Bio-Inspired Vision Sensor: A Review</t>
  </si>
  <si>
    <t>JCSC 2024</t>
  </si>
  <si>
    <t>https://doi.org/10.1142/S1793005726500067</t>
  </si>
  <si>
    <t>Probabilistic Approach for Detection of High-Frequency Periodic Signals Using an Event Camera</t>
  </si>
  <si>
    <t>NMNC 2024</t>
  </si>
  <si>
    <t>https://doi.org/10.1145/1865987.1866022</t>
  </si>
  <si>
    <t>https://doi.org/10.1145/3229884.3229892</t>
  </si>
  <si>
    <t>https://doi.org/10.1145/3343031.3350975</t>
  </si>
  <si>
    <t>https://doi.org/10.1145/3474085.3475229</t>
  </si>
  <si>
    <t>How to Learn a Domain-Adaptive Event Simulator?</t>
  </si>
  <si>
    <t>MM 2021</t>
  </si>
  <si>
    <t>https://doi.org/10.1145/3490422.3502365</t>
  </si>
  <si>
    <t>https://doi.org/10.1145/3503161.3548142</t>
  </si>
  <si>
    <t>Event-guided Video Clip Generation from Blurry Images</t>
  </si>
  <si>
    <t>https://doi.org/10.1145/3546790.3546791</t>
  </si>
  <si>
    <t>https://doi.org/10.1145/3546790.3546805</t>
  </si>
  <si>
    <t>RetinoSim: an Event-based Data Synthesis Tool for Neuromorphic Vision Architecture Exploration</t>
  </si>
  <si>
    <t>ICONS 2022</t>
  </si>
  <si>
    <t>https://doi.org/10.1145/3546790.3546813</t>
  </si>
  <si>
    <t>Experiencing Prosthetic Vision with Event-Based Sensors</t>
  </si>
  <si>
    <t>https://doi.org/10.1145/3546790.3546817</t>
  </si>
  <si>
    <t>Event-Based Camera Simulation Wrapper for Arcade Learning Environment</t>
  </si>
  <si>
    <t>https://doi.org/10.1145/3572864.3580333</t>
  </si>
  <si>
    <t>When Visible Light (Backscatter) Communication Meets Neuromorphic Cameras in V2X</t>
  </si>
  <si>
    <t>HotMobile 2023</t>
  </si>
  <si>
    <t>https://doi.org/10.1145/3581783.3612093</t>
  </si>
  <si>
    <t>Event-guided Frame Interpolation and Dynamic Range Expansion of Single Rolling Shutter Image</t>
  </si>
  <si>
    <t>https://doi.org/10.1145/3581783.3612462</t>
  </si>
  <si>
    <t>Event-Diffusion: Event-Based Image Reconstruction and Restoration with Diffusion Models</t>
  </si>
  <si>
    <t>https://doi.org/10.1145/3581783.3612505</t>
  </si>
  <si>
    <t>Event-based Motion Deblurring with Modality-Aware Decomposition and Recomposition</t>
  </si>
  <si>
    <t>https://doi.org/10.1145/3584361</t>
  </si>
  <si>
    <t>E-detector: Asynchronous Spatio-temporal for Event-based Object Detection in Intelligent Transportation System</t>
  </si>
  <si>
    <t>TMCCA 2023</t>
  </si>
  <si>
    <t>https://doi.org/10.1145/3584954.3584962</t>
  </si>
  <si>
    <t>Neuromorphic Downsampling of Event-Based Camera Output</t>
  </si>
  <si>
    <t>https://doi.org/10.1145/3587819.3590969</t>
  </si>
  <si>
    <t>https://doi.org/10.1145/3587819.3593028</t>
  </si>
  <si>
    <t>https://doi.org/10.1145/3589737.3605978</t>
  </si>
  <si>
    <t>Egomotion from event-based SNN optical flow</t>
  </si>
  <si>
    <t>https://doi.org/10.1145/3606038.3616164</t>
  </si>
  <si>
    <t>Event-based High-speed Ball Detection in Sports Video</t>
  </si>
  <si>
    <t>MMSports 2023</t>
  </si>
  <si>
    <t>https://doi.org/10.1145/3625468.3647618</t>
  </si>
  <si>
    <t>https://doi.org/10.1145/3636534.3694737</t>
  </si>
  <si>
    <t>Distill Drops into Data: Event-based Rain-Background Decomposition Network</t>
  </si>
  <si>
    <t>https://doi.org/10.1145/3649902.3653471</t>
  </si>
  <si>
    <t>Event-based eye tracking for smart eyewear</t>
  </si>
  <si>
    <t>ETRA 2024</t>
  </si>
  <si>
    <t>https://doi.org/10.1145/3664647.3680569</t>
  </si>
  <si>
    <t>https://doi.org/10.1145/3689061.3689067</t>
  </si>
  <si>
    <t>Time-consistent Ball Tracking and Spin Estimation with Event Camera</t>
  </si>
  <si>
    <t>MMSports 2024</t>
  </si>
  <si>
    <t>https://doi.org/10.1145/3715675.3715800</t>
  </si>
  <si>
    <t>Scalable Event-Based Video Streaming for Machines with MoQ</t>
  </si>
  <si>
    <t>MHV 2025</t>
  </si>
  <si>
    <t>https://doi.org/10.1145/3719010</t>
  </si>
  <si>
    <t>EV-GazeLock: A User Authentication System Based on Micro Eye Movement with Event Cameras</t>
  </si>
  <si>
    <t>ACM TSN 2025</t>
  </si>
  <si>
    <t>https://doi.org/10.1145/3728423.3759404</t>
  </si>
  <si>
    <t>Real-Time Ball Tracking and Action Classification using an Event Camera</t>
  </si>
  <si>
    <t>MMSports 2025</t>
  </si>
  <si>
    <t>https://doi.org/10.1145/3731715.3733331</t>
  </si>
  <si>
    <t>Exploiting Event Temporal Dynamics and Sparsity Characteristics for RGB-Event Fusion Semantic Segmentation</t>
  </si>
  <si>
    <t>ICMR 2025</t>
  </si>
  <si>
    <t>https://doi.org/10.1145/3731715.3733352</t>
  </si>
  <si>
    <t>GRE-SLAM: 6-DoF Pure Event-Based SLAM with Semi-Dense Depth Recovery Assisted Bundle Adjustment</t>
  </si>
  <si>
    <t>https://doi.org/10.1145/3731715.3733428</t>
  </si>
  <si>
    <t>SCNet: Spatio-temporal Feature Aggregation and Cross-modal Interactive Encoding Network for DAVIS Object Detection</t>
  </si>
  <si>
    <t>https://doi.org/10.1145/3746027.3754912</t>
  </si>
  <si>
    <t>https://doi.org/10.1145/3746027.3754995</t>
  </si>
  <si>
    <t>EDeF-Net: Spatio-temporal Association Network for Flicker Removal in Event Streams</t>
  </si>
  <si>
    <t>https://doi.org/10.1145/3746027.3755163</t>
  </si>
  <si>
    <t>HAFUNet: A Hierarchical Attention Fusion Network for Monocular Depth Estimation Integrating Event and Frame Data</t>
  </si>
  <si>
    <t>https://doi.org/10.1145/3746027.3755380</t>
  </si>
  <si>
    <t>An Event-tailored State-Space Based Model for Pedestrian Detection</t>
  </si>
  <si>
    <t>https://doi.org/10.1145/3746027.3755404</t>
  </si>
  <si>
    <t>EventLip: Enhancing Event-Based Lip Reading via Frequency-Aware Spatiotemporal Hypergraph Modeling</t>
  </si>
  <si>
    <t>https://doi.org/10.1145/3746027.3755486</t>
  </si>
  <si>
    <t>ESOD: Event-Based Small Object Detection</t>
  </si>
  <si>
    <t>https://doi.org/10.1145/3746027.3755551</t>
  </si>
  <si>
    <t>Eye-based Emotion Recognition via Event-Driven Sparse Transformers</t>
  </si>
  <si>
    <t>https://doi.org/10.1145/3746027.3755846</t>
  </si>
  <si>
    <t>DSF-Net: Dynamic Sparse Fusion of Event-RGB via Spike-Triggered Attention for High-Speed Detection</t>
  </si>
  <si>
    <t>https://doi.org/10.1145/3786332</t>
  </si>
  <si>
    <t>Event Camera Meets Mobile Embodied Perception</t>
  </si>
  <si>
    <t>CSUR 2025</t>
  </si>
  <si>
    <t>https://doi.org/10.1155/2021/6689337</t>
  </si>
  <si>
    <t>https://doi.org/10.1155/2022/2673191</t>
  </si>
  <si>
    <t>Mixed Event-Frame Vision System for Daytime Preceding Vehicle Taillight Signal Measurement Using Event-Based Neuromorphic Vision Sensor</t>
  </si>
  <si>
    <t>https://doi.org/10.1162/NECO_a_00703</t>
  </si>
  <si>
    <t>https://doi.org/10.1162/NECO_a_00720</t>
  </si>
  <si>
    <t>https://doi.org/10.1162/neco_a_01191</t>
  </si>
  <si>
    <t>https://doi.org/10.1177/02783649241303525</t>
  </si>
  <si>
    <t>FusionPortableV2: A unified multi-sensor dataset for generalized SLAM across diverse platforms and scalable environments</t>
  </si>
  <si>
    <t>https://doi.org/10.12086/oee.2024.240208</t>
  </si>
  <si>
    <t>Dual view fusion detection method for event camera detection of unmanned aerial vehicles</t>
  </si>
  <si>
    <t>J OptoElectron Eng 2024</t>
  </si>
  <si>
    <t>https://doi.org/10.12751/NNCN.BC2014.0032</t>
  </si>
  <si>
    <t>https://doi.org/10.13016/e5vs-hwzw</t>
  </si>
  <si>
    <t>https://doi.org/10.13016/fhqf-g7xr</t>
  </si>
  <si>
    <t>https://doi.org/10.1360/SSI-2021-0397</t>
  </si>
  <si>
    <t>Review of visual reconstruction methods of retina-like vision sensors</t>
  </si>
  <si>
    <t>Scientia Sinica 2023</t>
  </si>
  <si>
    <t>https://doi.org/10.1364/AO.412601</t>
  </si>
  <si>
    <t>https://doi.org/10.1364/AO.539209</t>
  </si>
  <si>
    <t>RBD-EVIO: optimized event-based visual-inertial odometry for a large field of view with a rotated binary DART descriptor</t>
  </si>
  <si>
    <t>Applied Optics 2024</t>
  </si>
  <si>
    <t>https://doi.org/10.1364/COSI.2025.CTh3B.2</t>
  </si>
  <si>
    <t>Development of an autofocus algorithm for event-based cameras for space awareness and astronomical applications</t>
  </si>
  <si>
    <t>COSI 2025</t>
  </si>
  <si>
    <t>https://doi.org/10.1364/OE.409682</t>
  </si>
  <si>
    <t>https://doi.org/10.1364/OE.437944</t>
  </si>
  <si>
    <t>https://doi.org/10.1364/OE.444948</t>
  </si>
  <si>
    <t>https://doi.org/10.1364/OE.489717</t>
  </si>
  <si>
    <t>Improving Fast Auto-Focus with Event Polarity</t>
  </si>
  <si>
    <t>Optics Express 2023</t>
  </si>
  <si>
    <t>https://doi.org/10.1364/OE.507688</t>
  </si>
  <si>
    <t>Fast 3D reconstruction via event-based structured light with spatio-temporal coding</t>
  </si>
  <si>
    <t>https://doi.org/10.1364/OE.518323</t>
  </si>
  <si>
    <t>Surrogate gradient learning in spiking networks trained on event-based cytometry dataset</t>
  </si>
  <si>
    <t>https://doi.org/10.1364/OE.529263</t>
  </si>
  <si>
    <t>Motion-error-free calibration of event camera systems using a flashing target</t>
  </si>
  <si>
    <t>https://doi.org/10.1364/OE.541659</t>
  </si>
  <si>
    <t>Photometrically optimized event-based stereo 3D measurements</t>
  </si>
  <si>
    <t>https://doi.org/10.1364/OE.573814</t>
  </si>
  <si>
    <t>Fusion-driven visible light positioning using photodiode and event camera</t>
  </si>
  <si>
    <t>https://doi.org/10.1364/OE.580891</t>
  </si>
  <si>
    <t>Compressive event camera</t>
  </si>
  <si>
    <t>https://doi.org/10.1364/OL.430419</t>
  </si>
  <si>
    <t>https://doi.org/10.1364/OL.437489</t>
  </si>
  <si>
    <t>https://doi.org/10.1364/OL.515700</t>
  </si>
  <si>
    <t>Event-triggered background-oriented schlieren: high-frequency visualization of a heated jet flow</t>
  </si>
  <si>
    <t>https://doi.org/10.1364/OL.548088</t>
  </si>
  <si>
    <t>Event-driven neuromorphic holography for dynamic particle imaging</t>
  </si>
  <si>
    <t>Optics Letters 2025</t>
  </si>
  <si>
    <t>https://doi.org/10.1364/OL.564294</t>
  </si>
  <si>
    <t>Collimator-assisted high-precision calibration method for event cameras</t>
  </si>
  <si>
    <t>https://doi.org/10.1364/OL.572204</t>
  </si>
  <si>
    <t>Denoising events camera data by overlapping encoded channels</t>
  </si>
  <si>
    <t>https://doi.org/10.1364/OL.575121</t>
  </si>
  <si>
    <t>Boosting event-based structured light via cyclic spatial coding</t>
  </si>
  <si>
    <t>https://doi.org/10.1364/PRJ.562782</t>
  </si>
  <si>
    <t>Inter-event Interval Microscopy for Event Cameras</t>
  </si>
  <si>
    <t>Photonics Research 2025</t>
  </si>
  <si>
    <t>https://doi.org/10.14264/uql.2018.664</t>
  </si>
  <si>
    <t>https://doi.org/10.1587/transfun.2024VLP0013</t>
  </si>
  <si>
    <t>RGB-Event Multi-modal NV-CiM to Detect Object by Mapping-Oriented Enhanced-Feature Pyramid Network with Mapping-Aware Group Convolution</t>
  </si>
  <si>
    <t>TRANSFUN 2024</t>
  </si>
  <si>
    <t>https://doi.org/10.1609/aaai.v34i07.6625</t>
  </si>
  <si>
    <t>End-to-end Learning of Object Motion Estimation from Retinal Events for Event-based Object Tracking</t>
  </si>
  <si>
    <t>https://doi.org/10.1609/aaai.v36i1.19923</t>
  </si>
  <si>
    <t>Event-Image Fusion Stereo Using Cross-Modality Feature Propagation</t>
  </si>
  <si>
    <t>https://doi.org/10.16383/j.aas.c240307</t>
  </si>
  <si>
    <t>Dynamic Vision Sensor based Defect Detection for the Surface of Aluminum Disk (Chinese)</t>
  </si>
  <si>
    <t>AAS 2024</t>
  </si>
  <si>
    <t>https://doi.org/10.17615/5bsv-bz25</t>
  </si>
  <si>
    <t>https://doi.org/10.18494/SAM.2015.1133</t>
  </si>
  <si>
    <t>https://doi.org/10.20944/preprints202511.1384.v1</t>
  </si>
  <si>
    <t>Event-Based Vision Application on Autonomous Unmanned Aerial Vehicle: A Review of Prospects and Challenges</t>
  </si>
  <si>
    <t>https://doi.org/10.21203/rs.3.rs-2120721/v1</t>
  </si>
  <si>
    <t>Stakes of Neuromorphic Foveation: a promising future for embedded event cameras</t>
  </si>
  <si>
    <t>https://doi.org/10.21203/rs.3.rs-6135923/v1</t>
  </si>
  <si>
    <t>Bridging the Latency Gap with a Continuous Stream Evaluation Framework in Event-Driven Perception</t>
  </si>
  <si>
    <t>https://doi.org/10.21203/rs.3.rs-6619025/v1</t>
  </si>
  <si>
    <t>Noise-Aware Event-Based Gaussian Splatting for Robust 3D Reconstruction</t>
  </si>
  <si>
    <t>https://doi.org/10.21203/rs.3.rs-7544738/v1</t>
  </si>
  <si>
    <t>Optical Singularity Protractor for Rotating Metrology with Neuromorphic Sensing</t>
  </si>
  <si>
    <t>https://doi.org/10.21203/rs.3.rs-7551764/v1</t>
  </si>
  <si>
    <t>UREPTrack: Unified RGB-Event Visual Tracking via PoolFormer Backbone</t>
  </si>
  <si>
    <t>https://doi.org/10.21203/rs.3.rs-8259501/v1</t>
  </si>
  <si>
    <t>Event-based Lunar OPtical ow Egomotion estimation (ELOPE) Challenge: Dataset, Competition Design and Results</t>
  </si>
  <si>
    <t>https://doi.org/10.2351/7.0001526</t>
  </si>
  <si>
    <t>Event-based vision in laser welding: An approach for process monitoring</t>
  </si>
  <si>
    <t>J Laser Appl. 2025</t>
  </si>
  <si>
    <t>https://doi.org/10.2352/EI.2023.35.6.ISS-346</t>
  </si>
  <si>
    <t>Development of DVS evaluation methods from user perspective</t>
  </si>
  <si>
    <t>IS&amp;T 2023</t>
  </si>
  <si>
    <t>https://doi.org/10.2352/EI.2024.36.7.ISS-289</t>
  </si>
  <si>
    <t>Joint Parameter Estimation for Event-Based Vision Sensor Characterization</t>
  </si>
  <si>
    <t>Electronic Imaging 2024</t>
  </si>
  <si>
    <t>https://doi.org/10.23919/ACC.2017.7963008</t>
  </si>
  <si>
    <t>https://doi.org/10.23919/ACC53348.2022.9867354</t>
  </si>
  <si>
    <t>Target Tracking with Frame- and Event-based Cameras Involving Delayed and Irregularly-Sampled Visual Feedback for a Robotic Air-Hockey System</t>
  </si>
  <si>
    <t>ACC 2022</t>
  </si>
  <si>
    <t>https://doi.org/10.23919/DATE64628.2025.10992696</t>
  </si>
  <si>
    <t>https://doi.org/10.23919/EuRAD65285.2025.11234249</t>
  </si>
  <si>
    <t>Event-based radar perception processing</t>
  </si>
  <si>
    <t>EuRAD 2025</t>
  </si>
  <si>
    <t>https://doi.org/10.23919/FUSION59988.2024.10706315</t>
  </si>
  <si>
    <t>Tracking of Few-Pixel UAVs in Event Data</t>
  </si>
  <si>
    <t>Fusion 2024</t>
  </si>
  <si>
    <t>https://doi.org/10.23919/ICCAS.2017.8204333</t>
  </si>
  <si>
    <t>https://doi.org/10.23919/MVA.2019.8758019</t>
  </si>
  <si>
    <t>https://doi.org/10.24963/ijcai.2021/240</t>
  </si>
  <si>
    <t>https://doi.org/10.2514/1.A35474</t>
  </si>
  <si>
    <t>Neuromorphic Sensor Event-Rate Monitoring for Satellite Characterization</t>
  </si>
  <si>
    <t>Journal of Spacecraft and Rockets 2023</t>
  </si>
  <si>
    <t>https://doi.org/10.2514/1.C038412</t>
  </si>
  <si>
    <t>Comparison of Event-Based Alogrithms for Experimental Two-Dimensional, Two-Component Velocimetry</t>
  </si>
  <si>
    <t>JA 2025</t>
  </si>
  <si>
    <t>https://doi.org/10.2514/1.J065669</t>
  </si>
  <si>
    <t>Twenty-Five Years of Background-Oriented Schlieren: Advances and Novel Applications</t>
  </si>
  <si>
    <t>AIAAJ 2025</t>
  </si>
  <si>
    <t>https://doi.org/10.2514/6.2025-0475</t>
  </si>
  <si>
    <t>Comparison of Event Camera Processing Algorithms for Experimental 2D2C Velocimetry</t>
  </si>
  <si>
    <t>SCITECH 2025</t>
  </si>
  <si>
    <t>https://doi.org/10.2514/6.2025-1217</t>
  </si>
  <si>
    <t>Event-Camera Based Relative Navigation Systems for a Rocket Upper-Stage</t>
  </si>
  <si>
    <t>https://doi.org/10.25911/5JJS-N433</t>
  </si>
  <si>
    <t>https://doi.org/10.26180/14531871.v1</t>
  </si>
  <si>
    <t>https://doi.org/10.33012/2025.20002</t>
  </si>
  <si>
    <t>Event-Based Vision and Factor Graph-Based Approach for Sensor Geolocation from Observations of an Orbiting Satellite</t>
  </si>
  <si>
    <t>ITMIN 2025</t>
  </si>
  <si>
    <t>https://doi.org/10.3389/fmats.2023.1269992</t>
  </si>
  <si>
    <t>Artificial intelligence-based spatio-temporal vision sensors: applications and prospects</t>
  </si>
  <si>
    <t>FMATS 2024</t>
  </si>
  <si>
    <t>https://doi.org/10.3389/fnbot.2018.00004</t>
  </si>
  <si>
    <t>https://doi.org/10.3389/fnbot.2019.00010</t>
  </si>
  <si>
    <t>https://doi.org/10.3389/fnbot.2019.00028</t>
  </si>
  <si>
    <t>https://doi.org/10.3389/fnbot.2019.00038</t>
  </si>
  <si>
    <t>https://doi.org/10.3389/fnbot.2019.00082</t>
  </si>
  <si>
    <t>https://doi.org/10.3389/fnbot.2023.1277160</t>
  </si>
  <si>
    <t>E2VIDX: improved bridge between conventional vision and bionic vision</t>
  </si>
  <si>
    <t>FNBOT 2023</t>
  </si>
  <si>
    <t>https://doi.org/10.3389/fnbot.2025.1537673</t>
  </si>
  <si>
    <t>High-efficiency sparse convolution operator for event-based cameras</t>
  </si>
  <si>
    <t>FNBOT 2025</t>
  </si>
  <si>
    <t>https://doi.org/10.3389/fnbot.2025.1648713</t>
  </si>
  <si>
    <t>NeuroVI-based wave compensation system control for offshore wind turbines</t>
  </si>
  <si>
    <t>https://doi.org/10.3389/fncir.2021.610446</t>
  </si>
  <si>
    <t>Event-Based Sensing and Signal Processing in the Visual, Auditory, and Olfactory Domain: A Review</t>
  </si>
  <si>
    <t>FNCIR 2021</t>
  </si>
  <si>
    <t>https://doi.org/10.3389/fnins.2013.00223</t>
  </si>
  <si>
    <t>https://doi.org/10.3389/fnins.2013.00275</t>
  </si>
  <si>
    <t>https://doi.org/10.3389/fnins.2014.00048</t>
  </si>
  <si>
    <t>https://doi.org/10.3389/fnins.2015.00137</t>
  </si>
  <si>
    <t>https://doi.org/10.3389/fnins.2015.00141</t>
  </si>
  <si>
    <t>https://doi.org/10.3389/fnins.2015.00437</t>
  </si>
  <si>
    <t>https://doi.org/10.3389/fnins.2015.00522</t>
  </si>
  <si>
    <t>https://doi.org/10.3389/fnins.2016.00035</t>
  </si>
  <si>
    <t>https://doi.org/10.3389/fnins.2016.00176</t>
  </si>
  <si>
    <t>https://doi.org/10.3389/fnins.2016.00184</t>
  </si>
  <si>
    <t>Skimming Digits: Neuromorphic Classification of Spike-Encoded Images</t>
  </si>
  <si>
    <t>FNINS 2016</t>
  </si>
  <si>
    <t>https://doi.org/10.3389/fnins.2016.00208</t>
  </si>
  <si>
    <t>https://doi.org/10.3389/fnins.2016.00391</t>
  </si>
  <si>
    <t>https://doi.org/10.3389/fnins.2016.00405</t>
  </si>
  <si>
    <t>https://doi.org/10.3389/fnins.2016.00496</t>
  </si>
  <si>
    <t>https://doi.org/10.3389/fnins.2016.00498</t>
  </si>
  <si>
    <t>An Event-Based Neurobiological Recognition System with Orientation Detector for Objects in Multiple Orientations</t>
  </si>
  <si>
    <t>https://doi.org/10.3389/fnins.2016.00594</t>
  </si>
  <si>
    <t>https://doi.org/10.3389/fnins.2016.00596</t>
  </si>
  <si>
    <t>https://doi.org/10.3389/fnins.2017.00083</t>
  </si>
  <si>
    <t>https://doi.org/10.3389/fnins.2017.00350</t>
  </si>
  <si>
    <t>https://doi.org/10.3389/fnins.2017.00535</t>
  </si>
  <si>
    <t>https://doi.org/10.3389/fnins.2018.00135</t>
  </si>
  <si>
    <t>https://doi.org/10.3389/fnins.2018.00373</t>
  </si>
  <si>
    <t>https://doi.org/10.3389/fnins.2018.00442</t>
  </si>
  <si>
    <t>https://doi.org/10.3389/fnins.2018.01047</t>
  </si>
  <si>
    <t>https://doi.org/10.3389/fnins.2019.01338</t>
  </si>
  <si>
    <t>Sepia, Tarsier, and Chameleon: A Modular C++ Framework for Event-Based Computer Vision</t>
  </si>
  <si>
    <t>FNINS 2020</t>
  </si>
  <si>
    <t>https://doi.org/10.3389/fnins.2020.00135</t>
  </si>
  <si>
    <t>Low-Power Dynamic Object Detection and Classification With Freely Moving Event Cameras</t>
  </si>
  <si>
    <t>https://doi.org/10.3389/fnins.2020.00275</t>
  </si>
  <si>
    <t>Event-based Gesture Recognition with Dynamic Background Suppression using Smartphone Computational Capabilities</t>
  </si>
  <si>
    <t>https://doi.org/10.3389/fnins.2020.00420</t>
  </si>
  <si>
    <t>https://doi.org/10.3389/fnins.2020.00451</t>
  </si>
  <si>
    <t>https://doi.org/10.3389/fnins.2020.00551</t>
  </si>
  <si>
    <t>An On-chip Spiking Neural Network for Estimation of the Head Pose of the iCub Robot</t>
  </si>
  <si>
    <t>https://doi.org/10.3389/fnins.2020.00587</t>
  </si>
  <si>
    <t>https://doi.org/10.3389/fnins.2022.1079357</t>
  </si>
  <si>
    <t>STSC-SNN: Spatio-Temporal Synaptic Connection with Temporal Convolution and Attention for Spiking Neural Networks</t>
  </si>
  <si>
    <t>FNINS 2022</t>
  </si>
  <si>
    <t>https://doi.org/10.3389/fnins.2024.1467935</t>
  </si>
  <si>
    <t>A neuromorphic event data interpretation approach with hardware reservoir</t>
  </si>
  <si>
    <t>FNINS 2024</t>
  </si>
  <si>
    <t>https://doi.org/10.3389/fnins.2025.1735027</t>
  </si>
  <si>
    <t>Sequential analysis and its applications to neuromorphic engineering</t>
  </si>
  <si>
    <t>FNINS 2026</t>
  </si>
  <si>
    <t>https://doi.org/10.3389/frobt.2023.994488</t>
  </si>
  <si>
    <t>Event-based feature tracking in a visual inertial odometry framework</t>
  </si>
  <si>
    <t>FROBT 2023</t>
  </si>
  <si>
    <t>https://doi.org/10.3389/frobt.2024.1435197</t>
  </si>
  <si>
    <t>A spiking neural network for active efficient coding</t>
  </si>
  <si>
    <t>https://doi.org/10.3389/frobt.2025.1629884</t>
  </si>
  <si>
    <t>The cyber-enhanced tank: a novel concept for increased realism and multi-modal monitoring in tank based finfish aquaculture research</t>
  </si>
  <si>
    <t>https://doi.org/10.3389%2Ffnins.2022.821157</t>
  </si>
  <si>
    <t>https://doi.org/10.3390/app10062024</t>
  </si>
  <si>
    <t>https://doi.org/10.3390/app15031314</t>
  </si>
  <si>
    <t>E2-VINS: An Event-Enhanced Visual–Inertial SLAM Scheme for Dynamic Environments</t>
  </si>
  <si>
    <t>ApplSci 2025</t>
  </si>
  <si>
    <t>https://doi.org/10.3390/app15137493</t>
  </si>
  <si>
    <t>Cyberattack Resilience of Autonomous Vehicle Sensor Systems: Evaluating RGB vs. Dynamic Vision Sensors in CARLA</t>
  </si>
  <si>
    <t>AS 2025</t>
  </si>
  <si>
    <t>https://doi.org/10.3390/atmos17010024</t>
  </si>
  <si>
    <t>Frame-Based vs. Event-Based Optical Turbulence Strength Estimation: A Comparative and Hybrid Approach</t>
  </si>
  <si>
    <t>Atmosphere 2026</t>
  </si>
  <si>
    <t>https://doi.org/10.3390/biomimetics10090569</t>
  </si>
  <si>
    <t>Design and Experimental Validation of Pipeline Defect Detection in Low-Illumination Environments Based on Bionic Visual Perception</t>
  </si>
  <si>
    <t>Biomimetics 2025</t>
  </si>
  <si>
    <t>https://doi.org/10.3390/brainsci13010068</t>
  </si>
  <si>
    <t xml:space="preserve">Precise Spiking Motifs in Neurobiological and Neuromorphic Data </t>
  </si>
  <si>
    <t>Brain Sciences 2023</t>
  </si>
  <si>
    <t>https://doi.org/10.3390/drones9030211</t>
  </si>
  <si>
    <t>A Low-Latency Dynamic Object Detection Algorithm Fusing Depth and Events</t>
  </si>
  <si>
    <t>Drones 2025</t>
  </si>
  <si>
    <t>https://doi.org/10.3390/e20060475</t>
  </si>
  <si>
    <t>https://doi.org/10.3390/electronics14061078</t>
  </si>
  <si>
    <t>EvTransPose: Towards Robust Human Pose Estimation via Event Camera</t>
  </si>
  <si>
    <t>Electronics 2025</t>
  </si>
  <si>
    <t>https://doi.org/10.3390/electronics14061105</t>
  </si>
  <si>
    <t>Efficient Spiking Neural Network for RGB–Event Fusion-Based Object Detection</t>
  </si>
  <si>
    <t>https://doi.org/10.3390/electronics14132603</t>
  </si>
  <si>
    <t>A Systematic Parametric Campaign to Benchmark Event Cameras in Computer Vision Tasks</t>
  </si>
  <si>
    <t>https://doi.org/10.3390/electronics14183712</t>
  </si>
  <si>
    <t>An Event-Based Time-Incremented SNN Architecture Supporting Energy-Efficient Device Classification</t>
  </si>
  <si>
    <t>https://doi.org/10.3390/electronics7110304</t>
  </si>
  <si>
    <t>https://doi.org/10.3390/electronics8040410</t>
  </si>
  <si>
    <t>https://doi.org/10.3390/info15080472</t>
  </si>
  <si>
    <t>An Application-Driven Survey on Event-Based Neuromorphic Computer Vision</t>
  </si>
  <si>
    <t>information MDPI 2024</t>
  </si>
  <si>
    <t>https://doi.org/10.3390/jimaging11110377</t>
  </si>
  <si>
    <t>Learning Domain-Invariant Representations for Event-Based Motion Segmentation: An Unsupervised Domain Adaptation Approach</t>
  </si>
  <si>
    <t>J Imaging 2025</t>
  </si>
  <si>
    <t>https://doi.org/10.3390/jimaging7020025</t>
  </si>
  <si>
    <t>Evaluation of Event-Based Corner Detectors</t>
  </si>
  <si>
    <t>J Imaging 2021</t>
  </si>
  <si>
    <t>https://doi.org/10.3390/jimaging8080210</t>
  </si>
  <si>
    <t>https://doi.org/10.3390/photonics12050426</t>
  </si>
  <si>
    <t>Theoretical Research on Large Field-of-View Polarization Imaging Based on Dynamic Vision Sensors</t>
  </si>
  <si>
    <t>Photonics 2025</t>
  </si>
  <si>
    <t>https://doi.org/10.3390/proceedings2024110002</t>
  </si>
  <si>
    <t>Event/Visual/IMU Integration for UAV-Based Indoor Navigation</t>
  </si>
  <si>
    <t>Proceedings 2024</t>
  </si>
  <si>
    <t>https://doi.org/10.3390/rs16030437</t>
  </si>
  <si>
    <t>ERS-HDRI: Event-Based Remote Sensing HDR Imaging</t>
  </si>
  <si>
    <t>Remote Sensing 2024</t>
  </si>
  <si>
    <t>https://doi.org/10.3390/rs17173112</t>
  </si>
  <si>
    <t>Sparse-Gated RGB-Event Fusion for Small Object Detection in the Wild</t>
  </si>
  <si>
    <t>Remote Sensing 2025</t>
  </si>
  <si>
    <t>https://doi.org/10.3390/s18020333</t>
  </si>
  <si>
    <t>https://doi.org/10.3390/s20123404</t>
  </si>
  <si>
    <t>https://doi.org/10.3390/s20164469</t>
  </si>
  <si>
    <t>https://doi.org/10.3390/s20247079</t>
  </si>
  <si>
    <t>https://doi.org/10.3390/s21041150</t>
  </si>
  <si>
    <t>https://doi.org/10.3390/s21134320</t>
  </si>
  <si>
    <t>https://doi.org/10.3390/s222410014</t>
  </si>
  <si>
    <t>https://doi.org/10.3390/s23198327</t>
  </si>
  <si>
    <t>Illumination-Based Color Reconstruction for the Dynamic Vision Sensor</t>
  </si>
  <si>
    <t>Sensors 2023</t>
  </si>
  <si>
    <t>https://doi.org/10.3390/s23249768</t>
  </si>
  <si>
    <t>Velocity and Color Estimation Using Event-Based Clustering</t>
  </si>
  <si>
    <t>https://doi.org/10.3390/s24206527</t>
  </si>
  <si>
    <t>Event Stream Denoising Method Based on Spatio-Temporal Density and Time Sequence Analysis</t>
  </si>
  <si>
    <t>Sensors 2024</t>
  </si>
  <si>
    <t>https://doi.org/10.3390/s24237430</t>
  </si>
  <si>
    <t>Adaptive Optimization and Dynamic Representation Method for Asynchronous Data Based on Regional Correlation Degree</t>
  </si>
  <si>
    <t>https://doi.org/10.3390/s24237752</t>
  </si>
  <si>
    <t>Fusing Events and Frames with Coordinate Attention Gated Recurrent Unit for Monocular Depth Estimation</t>
  </si>
  <si>
    <t>https://doi.org/10.3390/s25010061</t>
  </si>
  <si>
    <t>Event-Based Visual/Inertial Odometry for UAV Indoor Navigation</t>
  </si>
  <si>
    <t>https://doi.org/10.3390/s25030887</t>
  </si>
  <si>
    <t>Stereo Event-based Visual-Inertial Odometry</t>
  </si>
  <si>
    <t>https://doi.org/10.3390/s25103158</t>
  </si>
  <si>
    <t>Towards Anytime Optical Flow Estimation with Event Cameras</t>
  </si>
  <si>
    <t>https://doi.org/10.3390/s25103186</t>
  </si>
  <si>
    <t>Time-Interval-Guided Event Representation for Scene Understanding</t>
  </si>
  <si>
    <t>https://doi.org/10.3390/s25154540</t>
  </si>
  <si>
    <t>EPCNet: Implementing an Artificial Fovea for More Efficient Monitoring Using the Sensor Fusion of an Event-Based and a Frame-Based Camera</t>
  </si>
  <si>
    <t>https://doi.org/10.3390/s25175472</t>
  </si>
  <si>
    <t>Dynamic Vision-Based Non-Contact Rotating Machine Fault Diagnosis with EViT</t>
  </si>
  <si>
    <t>https://doi.org/10.3390/s25196048</t>
  </si>
  <si>
    <t>Dynamic Vision Sensor-Driven Spiking Neural Networks for Low-Power Event-Based Tracking and Recognition</t>
  </si>
  <si>
    <t>https://doi.org/10.3390/s25216580</t>
  </si>
  <si>
    <t>PMRVT: Parallel Attention Multilayer Perceptron Recurrent Vision Transformer for Object Detection with Event Cameras</t>
  </si>
  <si>
    <t>https://doi.org/10.3390/s25216599</t>
  </si>
  <si>
    <t>Event-Based Vision Sensor Lifetime Degradation in Low Earth Orbit</t>
  </si>
  <si>
    <t>https://doi.org/10.3390/s25237276</t>
  </si>
  <si>
    <t>Event-Based Camera Modeling for Atmospheric Turbulence Prediction</t>
  </si>
  <si>
    <t>https://doi.org/10.3390/s26010081</t>
  </si>
  <si>
    <t>Event-Based Vision Application on Autonomous Unmanned Aerial Vehicle: A Systematic Review of Prospects and Challenges</t>
  </si>
  <si>
    <t>https://doi.org/10.3390/s26010188</t>
  </si>
  <si>
    <t>E-Sem3DGS: Monocular Human and Scene Reconstruction via Event-Aided Semantic 3DGS</t>
  </si>
  <si>
    <t>https://doi.org/10.3390/signals6030039</t>
  </si>
  <si>
    <t>Method for Target Detection in a High Noise Environment Through Frequency Analysis Using an Event-Based Vision Sensor</t>
  </si>
  <si>
    <t>Signals 2025</t>
  </si>
  <si>
    <t>https://doi.org/10.3390/vehicles7020053</t>
  </si>
  <si>
    <t>Enhancing Autonomous Driving Perception: A Practical Approach to Event-Based Object Detection in CARLA and ROS</t>
  </si>
  <si>
    <t>Vehicles 2025</t>
  </si>
  <si>
    <t>https://doi.org/10.3390/wevj16110634</t>
  </si>
  <si>
    <t>Validating DVS Application in Autonomous Driving with Various AEB Scenarios in CARLA Simulator</t>
  </si>
  <si>
    <t>WEVJ 2025</t>
  </si>
  <si>
    <t>https://doi.org/10.34133/icomputing.0043</t>
  </si>
  <si>
    <t>In-Sensor Visual Perception and Inference</t>
  </si>
  <si>
    <t>IComputing 2023</t>
  </si>
  <si>
    <t>https://doi.org/10.34133/icomputing.0243</t>
  </si>
  <si>
    <t>DCR-EFlow: Dynamic Correlation Recurrent Architecture for Optical Flow Estimation Based on Event Cameras</t>
  </si>
  <si>
    <t>IComputing 2025</t>
  </si>
  <si>
    <t>https://doi.org/10.3929/ethz-a-005279479</t>
  </si>
  <si>
    <t>https://doi.org/10.3929/ethz-a-006838001</t>
  </si>
  <si>
    <t>https://doi.org/10.3929/ethz-a-010636883</t>
  </si>
  <si>
    <t>https://doi.org/10.3929/ethz-a-010897825</t>
  </si>
  <si>
    <t>https://doi.org/10.3929/ethz-b-000164862</t>
  </si>
  <si>
    <t>https://doi.org/10.3929/ethz-b-000168865</t>
  </si>
  <si>
    <t>https://doi.org/10.3929/ethz-b-000277131</t>
  </si>
  <si>
    <t>https://doi.org/10.3929/ethz-b-000291763</t>
  </si>
  <si>
    <t>https://doi.org/10.3929/ethz-b-000360434</t>
  </si>
  <si>
    <t>Asynchronous Multi-Hypothesis Tracking of Features with Event Cameras</t>
  </si>
  <si>
    <t>3DV 2019</t>
  </si>
  <si>
    <t>https://doi.org/10.3929/ethz-b-000362900</t>
  </si>
  <si>
    <t>https://doi.org/10.3929/ethz-b-000385246</t>
  </si>
  <si>
    <t>https://doi.org/10.3929/ethz-b-000541700</t>
  </si>
  <si>
    <t>https://doi.org/10.3991/ijim.v19i17.56777</t>
  </si>
  <si>
    <t>A Hybrid Approach for Moving Object Detection and Tracking in Event-Based Cameras.</t>
  </si>
  <si>
    <t>IJIM 2025</t>
  </si>
  <si>
    <t>https://doi.org/10.4108/eai.3-12-2015.2262447</t>
  </si>
  <si>
    <t>https://doi.org/10.46604/aiti.2024.14121</t>
  </si>
  <si>
    <t>A Review of Advances in Bio-Inspired Visual Models Using Event-and Frame-Based Sensors</t>
  </si>
  <si>
    <t>AITI 2024</t>
  </si>
  <si>
    <t>https://doi.org/10.48550/arXiv.2005.00974</t>
  </si>
  <si>
    <t>Lossy Event Compression based on Image-derived Quad Trees and Poisson Disk Sampling</t>
  </si>
  <si>
    <t>https://doi.org/10.5162/SMSI2025/B6.3</t>
  </si>
  <si>
    <t>Motion Compensation of Event-Streams for Multitarget Tracking in Sensor-Based Sorting</t>
  </si>
  <si>
    <t>SMSI 2025</t>
  </si>
  <si>
    <t>https://doi.org/10.5167/uzh-121743</t>
  </si>
  <si>
    <t>A Framework of Relational Networks to Build Systems with Sensors able to Perform the Joint Approximate Inference of Quantities</t>
  </si>
  <si>
    <t>IROSW 2015</t>
  </si>
  <si>
    <t>https://doi.org/10.5194/isprs-archives-XLVIII-2-W7-2024-9-2024</t>
  </si>
  <si>
    <t>Measuring Vibrations with Event Cameras</t>
  </si>
  <si>
    <t>ISPRS 2024</t>
  </si>
  <si>
    <t>https://doi.org/10.5220/0012308100003660</t>
  </si>
  <si>
    <t>https://doi.org/10.5220/0013588200004664</t>
  </si>
  <si>
    <t>EveCamNet: A Fusion Framework of Event and RGB Camera Towards Detecting Drivable Area for Autonomous Vehicles</t>
  </si>
  <si>
    <t>INCOFT 2025</t>
  </si>
  <si>
    <t>https://doi.org/10.5281/zenodo.10562563</t>
  </si>
  <si>
    <t>https://doi.org/10.5281/zenodo.4918319</t>
  </si>
  <si>
    <t>https://doi.org/10.5281/zenodo.7625961</t>
  </si>
  <si>
    <t>https://doi.org/10.5768/JAO202445.0501002</t>
  </si>
  <si>
    <t>Design of temporal coded structured light system based on event-based camera sensor</t>
  </si>
  <si>
    <t>JAO 2024</t>
  </si>
  <si>
    <t>https://doi.org/10.59782/aai.v1i1.285</t>
  </si>
  <si>
    <t>Target detection and obstacle avoidance for UAV based on dynamic vision sensor</t>
  </si>
  <si>
    <t>JAAI 2024</t>
  </si>
  <si>
    <t>https://doi.org/10.60928/6xz4-1wrc</t>
  </si>
  <si>
    <t>Noise Performance of a Photovoltaic Receptor for Dynamic Vision Sensors</t>
  </si>
  <si>
    <t>IISW 2025</t>
  </si>
  <si>
    <t>https://doi.org/10.60928/brmo-wf6b</t>
  </si>
  <si>
    <t>A 256x256 Flash-LiDAR SPAD Imager with Distributed Background Suppression and Adaptive Event Detection for Space Applications in 110nm CIS Technology</t>
  </si>
  <si>
    <t>https://doi.org/10.60928/cukh-42ir</t>
  </si>
  <si>
    <t>A DVS sensor with a Photovoltaic Receptor</t>
  </si>
  <si>
    <t>https://doi.org/10.60928/h94e-3tbp</t>
  </si>
  <si>
    <t>Pixel Design of Gain-Boosted Event-Based Vision Sensor to Control Event Noise and Latency at Low Illuminance</t>
  </si>
  <si>
    <t>https://doi.org/10.60928/mjf4-fe84</t>
  </si>
  <si>
    <t>A 300x150 Single Photon Active Event Sensor</t>
  </si>
  <si>
    <t>https://doi.org/10.60928/yrbv-qvab</t>
  </si>
  <si>
    <t>Investigating Diverse Parameters for Characterizing Spatial Contrast Transfer in CMOS Event-Based Cameras</t>
  </si>
  <si>
    <t>https://doi.org/10.60928/zv98-d2xl</t>
  </si>
  <si>
    <t>Towards a physically realistic computationally efficient DVS pixel model</t>
  </si>
  <si>
    <t>https://doi.org/10.7717/peerj-cs.2192</t>
  </si>
  <si>
    <t>Backlight and dim space object detection based on a novel event camera</t>
  </si>
  <si>
    <t>PeerJ CS 2024</t>
  </si>
  <si>
    <t>https://downloads.ctfassets.net/yreyglvi5sud/3nNNylN8GN96d3Cb8YMAUI/990568aa0bf10b4fb1f8e5e7dba61b22/2024______Yang_ECCV.pdf</t>
  </si>
  <si>
    <t>Real-data-driven 2000 FPS Color Video from Mosaicked Chromatic Spikes</t>
  </si>
  <si>
    <t>https://dr.ntu.edu.sg//handle/10220/46126</t>
  </si>
  <si>
    <t>https://drive.google.com/drive/folders/10_bnZ_TOcq7xCtCiDcaDiIO3_Txgr19S</t>
  </si>
  <si>
    <t>https://drive.google.com/drive/folders/18Xdr6pxJX0ZXTrXW9tK0hC3ZpmKDIt6_</t>
  </si>
  <si>
    <t>https://drive.google.com/drive/folders/1CKPIBZYMAyOgIsD9pp3pvewiikfQfXwE</t>
  </si>
  <si>
    <t>https://drive.google.com/drive/u/1/folders/1S2LiKrteh4N23SOghA0xU7rC1Q8trNCR</t>
  </si>
  <si>
    <t>https://drive.google.com/file/d/0BzvXOhBHjRheTS1rSVlZN0l2MDg</t>
  </si>
  <si>
    <t>https://drive.google.com/file/d/15YflL00x8X1StKwZqWR3YLBN8iHAP27E/view?usp=sharing</t>
  </si>
  <si>
    <t>https://drive.google.com/file/d/1A2OtqRl0qFmYpsiN9PQcR0sYpg8dDMcP/view?usp=drive_link</t>
  </si>
  <si>
    <t>Event-based Motion Deblurring with Dual Channel Attention</t>
  </si>
  <si>
    <t>https://drive.google.com/file/d/1A7pPxQ0X9yCQoiBpUtkx4U2-EYvyz0Ju/view?usp=drive_link</t>
  </si>
  <si>
    <t>Vibration Vision: Real-Time Machinery Fault Diagnosis with Event Cameras</t>
  </si>
  <si>
    <t>https://drive.google.com/file/d/1cGcFvmJhQyj1sT6f8yPY1LceHDMmMIRa/view?usp=drive_link</t>
  </si>
  <si>
    <t>Millisecond-latency Visual Fault-buttons using Event-cameras</t>
  </si>
  <si>
    <t>https://drive.google.com/file/d/1HkkEeX4JmIWgaG9y7joxmPgx3lEw5bt6/view?usp=sharing</t>
  </si>
  <si>
    <t>https://drive.google.com/file/d/1IYgmY8b8eNBrruVlCcg1o4DLQonXwRjy/view?usp=drive_link</t>
  </si>
  <si>
    <t>Scaling Up Resonate-and-Fire Networks for Fast Deep Learning</t>
  </si>
  <si>
    <t>https://drive.google.com/file/d/1jsi2l3MHqwOeWHIN6U9Yk36mqwLksGew/view?usp=drive_link</t>
  </si>
  <si>
    <t>S-ROPE: Spectral Frame Representation of Periodic Events</t>
  </si>
  <si>
    <t>https://drive.google.com/file/d/1ljPk-etWe3KLKKoKUwe2p70NQ2oeWpkG/view?usp=drive_link</t>
  </si>
  <si>
    <t>https://drive.google.com/file/d/1NOgSHaZOgWkognQhaqmNluR3zhS4fMTj/view?usp=share_link</t>
  </si>
  <si>
    <t>Formulating Event-based Image Reconstruction as a Linear Inverse Problem with Deep Regularization using Optical Flow</t>
  </si>
  <si>
    <t>https://drive.google.com/file/d/1Pq1knxZmM6X8smEe0rtlE7t6XI9UOcE5/view?usp=drive_link</t>
  </si>
  <si>
    <t>Drone Detection Using a Low-Power Neuromorphic Virtual Tripwire</t>
  </si>
  <si>
    <t>https://drive.google.com/file/d/1q9QwPvkd7ZcEBcGMIxIVy2r_iRfTKCSe/view</t>
  </si>
  <si>
    <t>https://drive.google.com/file/d/1s40YRb1HdJ7GMWotIpakDeKl9ETv8dd6/view?usp=drive_link</t>
  </si>
  <si>
    <t>EvDownsampling: A Robust Method For Downsampling Event Camera Data</t>
  </si>
  <si>
    <t>https://drive.google.com/file/d/1U-sSOR8Xx5RbrLDxoU8zLu95pRx-N3jx/view?usp=drive_link</t>
  </si>
  <si>
    <t>Autobiasing Event Cameras</t>
  </si>
  <si>
    <t>https://drive.google.com/file/d/1Uf_lHBa0wkICWCFTD9gBQn2P3bePbisA/view?usp=drive_link</t>
  </si>
  <si>
    <t>Lossy Encoding of Time-aggregated Neuromorphic Vision Sensor Data based on Point Cloud Compression</t>
  </si>
  <si>
    <t>https://drive.google.com/open?id=1asyMIQIAtsl3_KqgfPuZagr_gjKZhbYm</t>
  </si>
  <si>
    <t>https://dsec.ifi.uzh.ch/</t>
  </si>
  <si>
    <t>DSEC: A Stereo Event Camera Dataset for Driving Scenarios</t>
  </si>
  <si>
    <t>https://dx.doi.org/10.1109/ICECS.2018.8617982</t>
  </si>
  <si>
    <t>https://dx.doi.org/10.13140/RG.2.2.19514.62404</t>
  </si>
  <si>
    <t>https://dx.doi.org/10.3389%2Ffnins.2014.00009</t>
  </si>
  <si>
    <t>https://dx.doi.org/10.3389%2Ffnins.2016.00049</t>
  </si>
  <si>
    <t>https://dx.doi.org/10.3389%2Ffnins.2019.00073</t>
  </si>
  <si>
    <t>https://dx.doi.org/10.7302/8116</t>
  </si>
  <si>
    <t>https://e-lab.github.io/data/papers/ISCAS2010actsens.pdf</t>
  </si>
  <si>
    <t>https://eccv.ecva.net/virtual/2024/poster/1447</t>
  </si>
  <si>
    <t>Exploring Vulnerabilities in Spiking Neural Networks: Direct Adversarial Attacks on Raw Event Data</t>
  </si>
  <si>
    <t>https://eccv.ecva.net/virtual/2024/poster/2116</t>
  </si>
  <si>
    <t>Edge-Guided Fusion and Motion Augmentation for Event-Image Stereo</t>
  </si>
  <si>
    <t>https://edpr.iit.it/event-details/-/seminars/detail/1629</t>
  </si>
  <si>
    <t>https://edpr.iit.it/events/2026-evs</t>
  </si>
  <si>
    <t>EVS: Event Vision School 2026 {May 17-23th, Arenzano, Italy}</t>
  </si>
  <si>
    <t>Event</t>
  </si>
  <si>
    <t>https://eetchallenge.github.io/EET.github.io</t>
  </si>
  <si>
    <t>https://elib.dlr.de/215871/</t>
  </si>
  <si>
    <t>Event-based imaging velocimetry for jet flow control</t>
  </si>
  <si>
    <t>ISPIV 2025</t>
  </si>
  <si>
    <t>https://embeddedvisionworkshop.wordpress.com</t>
  </si>
  <si>
    <t>https://en.m.wikipedia.org/wiki/Event_camera</t>
  </si>
  <si>
    <t>https://en.wikipedia.org/wiki/Event_camera</t>
  </si>
  <si>
    <t>https://engineering.purdue.edu/NRL</t>
  </si>
  <si>
    <t>https://eprints.kingston.ac.uk/id/eprint/52765</t>
  </si>
  <si>
    <t>Lossless compression of neuromorphic vision sensor data based on point cloud representation</t>
  </si>
  <si>
    <t>https://epubs.siam.org/doi/full/10.1137/22M1539204</t>
  </si>
  <si>
    <t>State Estimation with Event Sensors: Observability Analysis and Multi-sensor Fusion</t>
  </si>
  <si>
    <t>SIAM JCO 2024</t>
  </si>
  <si>
    <t>https://esa.int/gsp/ACT/projects/multi_particle_tracking/</t>
  </si>
  <si>
    <t>Tracking Particles Ejected From Active Asteroid Bennu With Event-Based Vision</t>
  </si>
  <si>
    <t>AIDAA 2023</t>
  </si>
  <si>
    <t>https://escholarship.org/uc/item/6ck7w36g</t>
  </si>
  <si>
    <t>NeuroFlow: Deciphering Boiling Patterns from Neuromorphic Events</t>
  </si>
  <si>
    <t>https://europepmc.org/article/PPR/PPR801337</t>
  </si>
  <si>
    <t>Event-Driven Figure-Ground Organisation model for the humanoid robot iCub</t>
  </si>
  <si>
    <t>https://eusipco2025.org/wp-content/uploads/pdfs/0000606.pdf</t>
  </si>
  <si>
    <t>Efficient Frequency-Aware Multiscale Vision Transformer for Event-to-Video Reconstruction</t>
  </si>
  <si>
    <t>EUSIPCO 2025</t>
  </si>
  <si>
    <t>https://eventbasedvision.github.io/eTraM</t>
  </si>
  <si>
    <t>https://eventbasedvision.github.io/EVGEN2025</t>
  </si>
  <si>
    <t>https://eventbasedvision.github.io/EVGEN2026</t>
  </si>
  <si>
    <t>WACV 2026 EVGEN: Event-based Vision in the Era of Generative AI. {March 2026, Tucosn (USA), Paper submission until Dec 7th 2025.</t>
  </si>
  <si>
    <t>https://eventego3d.mpi-inf.mpg.de/</t>
  </si>
  <si>
    <t>EventEgo3D++: 3D Human Motion Capture from a Head-Mounted Event Camera</t>
  </si>
  <si>
    <t>https://events.linuxfoundation.org/px4-developer-summit</t>
  </si>
  <si>
    <t>https://eventvision-robotics.github.io/iros_workshop</t>
  </si>
  <si>
    <t>IROS 2025 Workshop on Event-Based Vision</t>
  </si>
  <si>
    <t>https://eventvppstereo.github.io/</t>
  </si>
  <si>
    <t>LiDAR-Event Stereo Fusion with Hallucinations</t>
  </si>
  <si>
    <t>https://eye-tracking-for-physiological-sensing.github.io/eyegraph</t>
  </si>
  <si>
    <t>https://femexrobotica.org/imav2025/index.php/keynotes</t>
  </si>
  <si>
    <t>https://figshare.com/s/70565903453eef7c3965</t>
  </si>
  <si>
    <t>https://fleuret.org/papers/tulyakov-et-al-iccv2019.pdf</t>
  </si>
  <si>
    <t>https://flexevent.github.io/</t>
  </si>
  <si>
    <t>FlexEvent: Event Camera Object Detection at Arbitrary Frequencies</t>
  </si>
  <si>
    <t>https://fling.seas.upenn.edu/~alexzhu/dynamic/wp-content/uploads/2017/07/EventBasedFeatureTrackingICRA2017.pdf</t>
  </si>
  <si>
    <t>https://framos.com/articles/prototype-event-based-vision-systems-with-the-framos-fsm-imx636-devkit-on-the-nvidia-jetson-platform-for-edge-ai-and-robotics</t>
  </si>
  <si>
    <t>https://framos.com/products-solutions/image-sensors/event-based-sensors</t>
  </si>
  <si>
    <t>https://fraunhoferhhi.github.io/X-maps</t>
  </si>
  <si>
    <t>https://github.com/aa-samad/conv_snn</t>
  </si>
  <si>
    <t>https://github.com/ac-freeman/adder-codec-rs</t>
  </si>
  <si>
    <t>https://github.com/ac-freeman/aedat-rs</t>
  </si>
  <si>
    <t>https://github.com/ac-freeman/davis-EDI-rs</t>
  </si>
  <si>
    <t>https://github.com/ac-freeman/dvs-fast-corners</t>
  </si>
  <si>
    <t>https://github.com/addisonwang2013/evdistill</t>
  </si>
  <si>
    <t>https://github.com/AHupuJR/REFID</t>
  </si>
  <si>
    <t>https://github.com/alessandromarchei/neuromorphicVision</t>
  </si>
  <si>
    <t>https://github.com/alexisbdr/e3d</t>
  </si>
  <si>
    <t>https://github.com/anthonytec2/EV-TTC</t>
  </si>
  <si>
    <t>https://github.com/arghasen10/EyeTrAES</t>
  </si>
  <si>
    <t>https://github.com/ashishrao7/NFPP</t>
  </si>
  <si>
    <t>https://github.com/bald6354/aedat4tomat):</t>
  </si>
  <si>
    <t>https://github.com/berndpfrommer</t>
  </si>
  <si>
    <t>https://github.com/Blabla51/Embedded-Event-based-Visual-Odometry</t>
  </si>
  <si>
    <t>https://github.com/CASR-HKU/REMOT-FPGA-22</t>
  </si>
  <si>
    <t>https://github.com/cedric-scheerlinck/dvs_image_reconstruction</t>
  </si>
  <si>
    <t>https://github.com/chanokin/pyDVS</t>
  </si>
  <si>
    <t>https://github.com/DachunKai/EBVSR</t>
  </si>
  <si>
    <t>https://github.com/daniilidis-group/EV-FlowNet</t>
  </si>
  <si>
    <t>https://github.com/daniilidis-group/event_feature_tracking</t>
  </si>
  <si>
    <t>https://github.com/daniilidis-group/m3ed</t>
  </si>
  <si>
    <t>https://github.com/Danvil/edvstools</t>
  </si>
  <si>
    <t>https://github.com/deguchihiroyuki/e2gs</t>
  </si>
  <si>
    <t>E2GS: Event Enhanced Gaussian Splatting</t>
  </si>
  <si>
    <t>https://github.com/dhyuan99/VecKM_flow</t>
  </si>
  <si>
    <t>Learning Normal Flow Directly from Events</t>
  </si>
  <si>
    <t>https://github.com/dirksavage88</t>
  </si>
  <si>
    <t>https://github.com/duguyue100/pyaer</t>
  </si>
  <si>
    <t>https://github.com/EgocentricVision/N-EPIC-Kitchens</t>
  </si>
  <si>
    <t>https://github.com/ercanburak/EVREAL</t>
  </si>
  <si>
    <t>https://github.com/ercanburak/HyperE2VID</t>
  </si>
  <si>
    <t>https://github.com/ethz-asl/kalibr/wiki/camera-imu-calibration</t>
  </si>
  <si>
    <t>https://github.com/ethz-asl/kalibr/wiki/multiple-camera-calibration</t>
  </si>
  <si>
    <t>https://github.com/Event-AHU/Event_Camera_in_Top_Conference</t>
  </si>
  <si>
    <t>Event Camera in Top Conference</t>
  </si>
  <si>
    <t>Search / Index List</t>
  </si>
  <si>
    <t>https://github.com/Event-AHU/EventVOT_Benchmark</t>
  </si>
  <si>
    <t>Event Stream-based Visual Object Tracking: A High-Resolution Benchmark Dataset and A Novel Baseline</t>
  </si>
  <si>
    <t>https://github.com/Event-Camera-Community-Group-ECCG/community/blob/simulation-tooling/simulation-tooling/README.md</t>
  </si>
  <si>
    <t>https://github.com/event-driven-robotics/bimvee</t>
  </si>
  <si>
    <t>https://github.com/event-driven-robotics/cooperative-stereo-network</t>
  </si>
  <si>
    <t>https://github.com/event-driven-robotics/EDOPT</t>
  </si>
  <si>
    <t>https://github.com/event-driven-robotics/high-throughput-convolutions</t>
  </si>
  <si>
    <t>https://github.com/event-driven-robotics/hpe-core</t>
  </si>
  <si>
    <t>https://github.com/event-driven-robotics/Hybrid-object-tracking-with-events-and-frames</t>
  </si>
  <si>
    <t>https://github.com/event-driven-robotics/LSTM-trajectory-forecasting</t>
  </si>
  <si>
    <t>https://github.com/event-driven-robotics/sEMD-iCub</t>
  </si>
  <si>
    <t>https://github.com/event-driven-robotics/visual-fault-button</t>
  </si>
  <si>
    <t>https://github.com/event-driven-robotics/workbook_yvonne-vullers</t>
  </si>
  <si>
    <t>https://github.com/EventVisionLibrary/evl</t>
  </si>
  <si>
    <t>https://github.com/fabhertz95/expelliarmus</t>
  </si>
  <si>
    <t>https://github.com/gorchard/DVScalibration</t>
  </si>
  <si>
    <t>https://github.com/gorchard/event-Python</t>
  </si>
  <si>
    <t>https://github.com/gorchard/FPGA_event_based_optical_flow</t>
  </si>
  <si>
    <t>https://github.com/gorchard/HFIRST):</t>
  </si>
  <si>
    <t>https://github.com/gorchard/Matlab_AER_vision_functions</t>
  </si>
  <si>
    <t>https://github.com/happychenpipi/EventSAM</t>
  </si>
  <si>
    <t>https://github.com/HYLZ-2019/Neuro_Vision_Map</t>
  </si>
  <si>
    <t>Neuro Vision Map of event-based institutions (from papers)</t>
  </si>
  <si>
    <t>Map</t>
  </si>
  <si>
    <t>https://github.com/ImperialCollegeLondon/event_emin_ros</t>
  </si>
  <si>
    <t>https://github.com/inilabs/caer</t>
  </si>
  <si>
    <t>https://github.com/intelpro/CBMNet</t>
  </si>
  <si>
    <t>Event-based Video Frame Interpolation with Cross-Modal Asymmetric Bidirectional Motion Fields</t>
  </si>
  <si>
    <t>https://github.com/IS2AI/faces-in-event-streams</t>
  </si>
  <si>
    <t>Faces in Event Streams (FES): An Annotated Face Dataset for Event Cameras</t>
  </si>
  <si>
    <t>https://github.com/isarlab-department-engineering/MA-VIED</t>
  </si>
  <si>
    <t>https://github.com/jackpiecz/ee3p</t>
  </si>
  <si>
    <t>EE3P: Event-based Estimation of Periodic Phenomena Properties</t>
  </si>
  <si>
    <t>CVWW 2024</t>
  </si>
  <si>
    <t>https://github.com/kehanXue/CeleX5-ROS</t>
  </si>
  <si>
    <t>https://github.com/kehanXue/dv_ros</t>
  </si>
  <si>
    <t>https://github.com/LarryDong/FusionTracking</t>
  </si>
  <si>
    <t>https://github.com/ldkong1205/OpenESS</t>
  </si>
  <si>
    <t>OpenESS: Event-based Semantic Scene Understanding with Open Vocabularies</t>
  </si>
  <si>
    <t>https://github.com/lisiqi19971013/E-3DTrack</t>
  </si>
  <si>
    <t>https://github.com/lisiqi19971013/Event_Enhanced_DeOcc</t>
  </si>
  <si>
    <t>https://github.com/lisiqi19971013/EventStream-SR</t>
  </si>
  <si>
    <t>https://github.com/lisiqi19971013/SuperFast</t>
  </si>
  <si>
    <t>https://github.com/liudaqikk/CMBNB-demo</t>
  </si>
  <si>
    <t>https://github.com/LogicTronixInc/Kria-Prophesee-Event-VitisAI</t>
  </si>
  <si>
    <t>LogicTronix GitHub repo {machine learning application that leverages the imx636 in the Prophesee embedded starter kit}</t>
  </si>
  <si>
    <t>https://github.com/lsying009/CISTA-Flow</t>
  </si>
  <si>
    <t>https://github.com/lujiaxuan0520/THU-EACT-50</t>
  </si>
  <si>
    <t>https://github.com/lujiaxuan0520/THU-MV-EACT-50</t>
  </si>
  <si>
    <t>https://github.com/lunagava/study-air-hockey/tree/master</t>
  </si>
  <si>
    <t>https://github.com/lunagava/study-air-hockey/tree/vel_control</t>
  </si>
  <si>
    <t>https://github.com/mgaoling/mpl_dataset_toolbox</t>
  </si>
  <si>
    <t>https://github.com/mikihiroikura/RATE</t>
  </si>
  <si>
    <t>RATE: Real-time Asynchronous Feature Tracking with Event Cameras</t>
  </si>
  <si>
    <t>https://github.com/miracleyoo/yelan-dynamic-dvs-hpe</t>
  </si>
  <si>
    <t>https://github.com/MSZTY/PAFBenchmark</t>
  </si>
  <si>
    <t>https://github.com/NAIL-HNU/ESVIO_AA</t>
  </si>
  <si>
    <t>https://github.com/NAIL-HNU/ESVO2</t>
  </si>
  <si>
    <t>ESVO2: Direct Visual-Inertial Odometry with Stereo Event Cameras</t>
  </si>
  <si>
    <t>https://github.com/neuromorphic-paris</t>
  </si>
  <si>
    <t>https://github.com/neuromorphic-paris/event_batch</t>
  </si>
  <si>
    <t>Adaptive Global Decay Process for Event Cameras</t>
  </si>
  <si>
    <t>https://github.com/neuromorphic-paris/loris</t>
  </si>
  <si>
    <t>https://github.com/neuromorphic-paris/tarsier</t>
  </si>
  <si>
    <t>https://github.com/neuromorphic-paris/tutorials</t>
  </si>
  <si>
    <t>https://github.com/neuromorphicsystems/aedat</t>
  </si>
  <si>
    <t>https://github.com/neuromorphicsystems/IEBCS</t>
  </si>
  <si>
    <t>ICNS Event Based Camera Simulator</t>
  </si>
  <si>
    <t>Simulator</t>
  </si>
  <si>
    <t>https://github.com/neuromorphs/tonic</t>
  </si>
  <si>
    <t>https://github.com/NicRalph213/ICNS_NORALPH_Event_Based-Space_Imaging-Speed_Dataset</t>
  </si>
  <si>
    <t>https://github.com/norse/aestream</t>
  </si>
  <si>
    <t>https://github.com/nusneuromorphic/PCA-RECT</t>
  </si>
  <si>
    <t>https://github.com/openmv/openmv-projects/tree/master/donkey-car</t>
  </si>
  <si>
    <t>https://github.com/pbonazzi/eva</t>
  </si>
  <si>
    <t>https://github.com/pbonazzi/retina</t>
  </si>
  <si>
    <t>Retina: Low-Power Eye Tracking with Event Camera and Spiking Hardware</t>
  </si>
  <si>
    <t>https://github.com/PIX2NVS/NVS_ActionRecognition</t>
  </si>
  <si>
    <t>https://github.com/PIX2NVS/PIX2NVS</t>
  </si>
  <si>
    <t>https://github.com/pld-group/V2E2V</t>
  </si>
  <si>
    <t>https://github.com/prophesee-ai</t>
  </si>
  <si>
    <t>https://github.com/prophesee-ai/linux-sensor-drivers</t>
  </si>
  <si>
    <t>https://github.com/prophesee-ai/openeb</t>
  </si>
  <si>
    <t>https://github.com/prophesee-ai/prophesee_ros_wrapper</t>
  </si>
  <si>
    <t>https://github.com/prophesee-ai/prophesee-automotive-dataset-toolbox</t>
  </si>
  <si>
    <t>https://github.com/qian-liu/benchmarking</t>
  </si>
  <si>
    <t>https://github.com/QUEAHREN/DemosaicFormer</t>
  </si>
  <si>
    <t>https://github.com/raultapia/efft</t>
  </si>
  <si>
    <t>eFFT: An Event-based Method for the Efficient Computation of Exact Fourier Transforms</t>
  </si>
  <si>
    <t>https://github.com/robin-shaun/dvs_event_server</t>
  </si>
  <si>
    <t>https://github.com/robotology/event-driven</t>
  </si>
  <si>
    <t>https://github.com/RodrigoGantier/SPADE_E2VID</t>
  </si>
  <si>
    <t>https://github.com/ros-acceleration</t>
  </si>
  <si>
    <t>https://github.com/RTC-research-group/EDIP_library</t>
  </si>
  <si>
    <t>https://github.com/SensorsINI/aedat4to2):</t>
  </si>
  <si>
    <t>https://github.com/SensorsINI/jaer/blob/master/src/ch/unizh/ini/jaer/projects/rbodo/opticalflow/LocalPlanesFlow.java</t>
  </si>
  <si>
    <t>https://github.com/SensorsINI/jaer/tree/master/src/ch/unizh/ini/jaer/projects/rbodo/opticalflow</t>
  </si>
  <si>
    <t>https://github.com/SensorsINI/MVSEC-NIGHTL21</t>
  </si>
  <si>
    <t>https://github.com/SensorsINI/processAEDAT):</t>
  </si>
  <si>
    <t>https://github.com/simbamford/AedatTools/):</t>
  </si>
  <si>
    <t>https://github.com/sjtuyuxuan/sync_toolbox</t>
  </si>
  <si>
    <t>https://github.com/SuppDoc/EventKD</t>
  </si>
  <si>
    <t>https://github.com/TOTON95/linux-sensor-drivers-prophesee</t>
  </si>
  <si>
    <t>https://github.com/tub-rip/cmax_slam</t>
  </si>
  <si>
    <t>https://github.com/tub-rip/cmax_slam/blob/main/README.md</t>
  </si>
  <si>
    <t>CMax-SLAM: Event-based Rotational-Motion Bundle Adjustment and SLAM System using Contrast Maximization</t>
  </si>
  <si>
    <t>https://github.com/tub-rip/dvs_mcemvs</t>
  </si>
  <si>
    <t>Multi-Event-Camera Depth Estimation and Outlier Rejection by Refocused Events Fusion</t>
  </si>
  <si>
    <t>AISY 2022</t>
  </si>
  <si>
    <t>https://github.com/tub-rip/ECRot</t>
  </si>
  <si>
    <t>https://github.com/tub-rip/event_based_bos</t>
  </si>
  <si>
    <t>https://github.com/tub-rip/event_based_optical_flow</t>
  </si>
  <si>
    <t>Secrets of Event-Based Optical Flow</t>
  </si>
  <si>
    <t>https://github.com/tub-rip/event_slip</t>
  </si>
  <si>
    <t>Combined Physics and Event Camera Simulator for Slip Detection</t>
  </si>
  <si>
    <t>WACVW 2025</t>
  </si>
  <si>
    <t>https://github.com/tub-rip/events_h52bag</t>
  </si>
  <si>
    <t>https://github.com/tub-rip/MouseSIS</t>
  </si>
  <si>
    <t>https://github.com/tum-vision/DEVO</t>
  </si>
  <si>
    <t>https://github.com/ucsd-hdsi-dvs/V2CE-Toolbox</t>
  </si>
  <si>
    <t>https://github.com/Unsigned-Long/eKalibr</t>
  </si>
  <si>
    <t>eKalibr: Dynamic Intrinsic Calibration for Event Cameras From First Principles of Events</t>
  </si>
  <si>
    <t>https://github.com/uzh-rpg/E-RAFT</t>
  </si>
  <si>
    <t>https://github.com/uzh-rpg/e2calib</t>
  </si>
  <si>
    <t>https://github.com/uzh-rpg/event-based_vision_resources</t>
  </si>
  <si>
    <t>https://github.com/uzh-rpg/event-based_vision_resources/blob/master/Contributing.md</t>
  </si>
  <si>
    <t>https://github.com/uzh-rpg/flightmare</t>
  </si>
  <si>
    <t>https://github.com/uzh-rpg/rpg_dvs_ros</t>
  </si>
  <si>
    <t>https://github.com/uzh-rpg/rpg_dvs_ros/tree/master/dvs_calibration</t>
  </si>
  <si>
    <t>https://github.com/uzh-rpg/rpg_dvs_ros/tree/master/dvs_calibration#focus-adjustment</t>
  </si>
  <si>
    <t>https://github.com/uzh-rpg/rpg_e2vid</t>
  </si>
  <si>
    <t>https://github.com/uzh-rpg/rpg_eklt</t>
  </si>
  <si>
    <t>EKLT: Asynchronous Photometric Feature Tracking Using Events and Frames</t>
  </si>
  <si>
    <t>IJCV 2019</t>
  </si>
  <si>
    <t>https://github.com/uzh-rpg/rpg_esim</t>
  </si>
  <si>
    <t>https://github.com/uzh-rpg/rpg_feature_tracking_analysis</t>
  </si>
  <si>
    <t>https://github.com/uzh-rpg/rpg_image_reconstruction_from_events</t>
  </si>
  <si>
    <t>https://github.com/vincentqqu/e2hqv</t>
  </si>
  <si>
    <t>E2HQV: High-Quality Video Generation from Event Camera via Theory-Inspired Model-Aided Deep Learning</t>
  </si>
  <si>
    <t>https://github.com/VincentQQu/EvRepSL</t>
  </si>
  <si>
    <t>https://github.com/VLOGroup/dvs-calibration</t>
  </si>
  <si>
    <t>https://github.com/VLOGroup/dvs-panotracking</t>
  </si>
  <si>
    <t>https://github.com/VLOGroup/dvs-reconstruction</t>
  </si>
  <si>
    <t>https://github.com/wangxiao5791509/VisEvent_SOT_Benchmark</t>
  </si>
  <si>
    <t>https://github.com/wanzengy/S2N-Suppression-Strengthen-Network</t>
  </si>
  <si>
    <t>S2N: Suppression-Strengthen Network for Event-based Recognition under Variant Illuminations</t>
  </si>
  <si>
    <t>https://github.com/WarranWeng/EBFI-BE</t>
  </si>
  <si>
    <t>Event-based Blurry Frame Interpolation under Blind Exposure</t>
  </si>
  <si>
    <t>https://github.com/yucicheung/CelexMatlabToolbox</t>
  </si>
  <si>
    <t>https://github.com/Zelshair/cstr-event-vision</t>
  </si>
  <si>
    <t>https://github.com/zhangxiann/TPAMI_Gait_Identification</t>
  </si>
  <si>
    <t>https://github.com/ZhijingS/DA_event_deblur</t>
  </si>
  <si>
    <t>https://github.com/zhiwen-xdu/EventSAM</t>
  </si>
  <si>
    <t>Segment Any Event Streams via Weighted Adaptation of Pivotal Tokens</t>
  </si>
  <si>
    <t>https://github.com/ZHU-Zhiyu/High-Rank_RGB-Event_Tracker</t>
  </si>
  <si>
    <t>https://github.com/ziweiWWANG/Event-Asynchronous-Filter</t>
  </si>
  <si>
    <t>https://github.com/ziweiWWANG/SHEF</t>
  </si>
  <si>
    <t>https://gitlab.com/EuropeanSpaceAgency/trajectory-to-events</t>
  </si>
  <si>
    <t>On the Generation of a Synthetic Event-Based Vision Dataset for Navigation and Landing</t>
  </si>
  <si>
    <t>GNC 2023</t>
  </si>
  <si>
    <t>https://gitlab.com/inivation/dv/libcaer</t>
  </si>
  <si>
    <t>https://gitlab.com/VladyslavUsenko/basalt/-/blob/master/doc/Calibration.md</t>
  </si>
  <si>
    <t>https://griffin-erc-advanced-grant.eu/wp-content/uploads/2020/08/Asynchronous-Event-based-Line-Tracking-for-Time-to-Contact-Maneuvers-in-UAS.pdf</t>
  </si>
  <si>
    <t>Asynchronous Event-based Line Tracking for Time-to-Contact Maneuvers in UAS</t>
  </si>
  <si>
    <t>IROS 2020</t>
  </si>
  <si>
    <t>https://grvc.us.es/newweb/wp-content/uploads/2022/06/icra2022_flappingwingworkshop.pdf</t>
  </si>
  <si>
    <t>https://grvc.us.es/newweb/wp-content/uploads/2023/06/Thesis_JPRG.pdf</t>
  </si>
  <si>
    <t>https://guides.pnw.edu/c.php?g=979963&amp;p=8514619</t>
  </si>
  <si>
    <t>https://gvv.mpi-inf.mpg.de/projects/EventHands</t>
  </si>
  <si>
    <t>https://gvv.mpi-inf.mpg.de/projects/EventHands/</t>
  </si>
  <si>
    <t>EventHands: Real-Time Neural 3D Hand Reconstruction from an Event Stream</t>
  </si>
  <si>
    <t>https://hal.archives-ouvertes.fr/hal-03671778/file/VISAPP_2022_Gruel.pdf</t>
  </si>
  <si>
    <t>Event data downscaling for embedded computer vision</t>
  </si>
  <si>
    <t>VISAPP 2022</t>
  </si>
  <si>
    <t>https://hal.science/hal-03760724/document</t>
  </si>
  <si>
    <t>Neuromorphic foveation applied to semantic segmentation</t>
  </si>
  <si>
    <t>https://hal.science/hal-03933201/</t>
  </si>
  <si>
    <t>VK-SITS: Variable Kernel Speed Invariant Time Surface for Event-Based Recognition</t>
  </si>
  <si>
    <t>VISAPP 2023</t>
  </si>
  <si>
    <t>https://hal.science/hal-04169328/</t>
  </si>
  <si>
    <t>VK-SITS: a Robust Time-Surface for Fast Event-Based Recognition</t>
  </si>
  <si>
    <t>https://hal.science/hal-04183160/document</t>
  </si>
  <si>
    <t>Object Detection for Embedded Systems Using Tiny Spiking Neural Networks: Filtering Noise Through Visual Attention</t>
  </si>
  <si>
    <t>https://hal.science/hal-04211637</t>
  </si>
  <si>
    <t>An Event-based Stereo 3D Mapping and Tracking Pipeline for Autonomous Vehicles</t>
  </si>
  <si>
    <t>ITSC 2023</t>
  </si>
  <si>
    <t>https://hal.science/hal-04219396/document</t>
  </si>
  <si>
    <t>EvSegSNN : Segmentation sémantique neuromorphique pour la vision événementielle</t>
  </si>
  <si>
    <t>ORASIS 2023</t>
  </si>
  <si>
    <t>https://hal.science/hal-04405932/document</t>
  </si>
  <si>
    <t>EV-FuseMODNet: Moving object detection using the fusion of event camera and frame camera</t>
  </si>
  <si>
    <t>IEEE SOLI 2023</t>
  </si>
  <si>
    <t>https://hal.science/tel-04762118v1/file/CUADRADO_Javier_PhD_Manuscript_corrected.pdf</t>
  </si>
  <si>
    <t>Opcal flow esmaon from event-based data using spiking neural networks</t>
  </si>
  <si>
    <t>https://haram-kim.github.io/Globally_Aligned_Events</t>
  </si>
  <si>
    <t>https://hdl.handle.net/2123/33750</t>
  </si>
  <si>
    <t>Event-based 3D Reconstruction: Innovative Event Representation Methods</t>
  </si>
  <si>
    <t>BS Thesis 2025</t>
  </si>
  <si>
    <t>https://hdl.handle.net/2286/R.2.N.199285</t>
  </si>
  <si>
    <t>Computational Imaging for Overcoming Optical Tradeoffs: Applications to Pinhole Photography, Light Transport, and Event-based Depth Estimation</t>
  </si>
  <si>
    <t>https://hdl.handle.net/2440/136406</t>
  </si>
  <si>
    <t>https://hylz-2019.github.io/Neuro_Vision_Map/bar.html</t>
  </si>
  <si>
    <t>https://hylz-2019.github.io/Neuro_Vision_Map/map.html</t>
  </si>
  <si>
    <t>Map of event-based institutions (from papers)</t>
  </si>
  <si>
    <t>https://hylz-2019.github.io/Neuro_Vision_Map/map.html"&gt;Map</t>
  </si>
  <si>
    <t>https://hyzhouboy.github.io/</t>
  </si>
  <si>
    <t>Bring Event into RGB and LiDAR: Hierarchical Visual-Motion Fusion for Scene Flow</t>
  </si>
  <si>
    <t>https://ibm.ent.box.com/s/3hiq58ww1pbbjrinh367ykfdf60xsfm8</t>
  </si>
  <si>
    <t>https://idus.us.es/handle/11441/147735</t>
  </si>
  <si>
    <t>https://ieee-cas.org/files/ieeecass/2025-08/JETCAS_CFP_2026Q3.pdf</t>
  </si>
  <si>
    <t>https://ieeexplore.ieee.org/abstract/document/10089678/</t>
  </si>
  <si>
    <t>When Do Neuromorphic Sensors Outperform cameras? Learning from Dynamic Features</t>
  </si>
  <si>
    <t>CISS 2023</t>
  </si>
  <si>
    <t>https://ieeexplore.ieee.org/abstract/document/10100741/</t>
  </si>
  <si>
    <t>Adaptive Attention with a Neuromorphic Hybrid Frame and Event-based Camera</t>
  </si>
  <si>
    <t>ICCICC 2023</t>
  </si>
  <si>
    <t>https://ieeexplore.ieee.org/abstract/document/10143632/</t>
  </si>
  <si>
    <t>An Artificial Neural SLAM Framework for Event-Based Vision</t>
  </si>
  <si>
    <t>https://ieeexplore.ieee.org/abstract/document/10161164).*,&lt;br</t>
  </si>
  <si>
    <t>https://ieeexplore.ieee.org/abstract/document/10168603</t>
  </si>
  <si>
    <t>Embedded neuromorphic attention model leveraging a novel low-power heterogeneous platform</t>
  </si>
  <si>
    <t>AICAS 2023</t>
  </si>
  <si>
    <t>https://ieeexplore.ieee.org/abstract/document/10184213/</t>
  </si>
  <si>
    <t>Single Pixel Event Tensor: A New Representation Method of Event Stream for Image Reconstruction</t>
  </si>
  <si>
    <t>https://ieeexplore.ieee.org/abstract/document/10191543</t>
  </si>
  <si>
    <t>Simultaneous neuromorphic selection of multiple salient objects for event vision</t>
  </si>
  <si>
    <t>IJCNN 2023</t>
  </si>
  <si>
    <t>https://ieeexplore.ieee.org/abstract/document/10319103</t>
  </si>
  <si>
    <t>https://ieeexplore.ieee.org/abstract/document/10341804</t>
  </si>
  <si>
    <t>https://ieeexplore.ieee.org/abstract/document/10445937</t>
  </si>
  <si>
    <t>https://ieeexplore.ieee.org/abstract/document/10480584</t>
  </si>
  <si>
    <t>https://ieeexplore.ieee.org/abstract/document/5606120</t>
  </si>
  <si>
    <t>https://ieeexplore.ieee.org/abstract/document/8836544</t>
  </si>
  <si>
    <t>Low Latency Event-Based Filtering and Feature Extraction for Dynamic Vision Sensors in Real-Time FPGA Applications</t>
  </si>
  <si>
    <t>IEEE Access</t>
  </si>
  <si>
    <t>https://ieeexplore.ieee.org/abstract/document/9191114/</t>
  </si>
  <si>
    <t>Event-based High Frame-rate Video Reconstruction with a Novel Cycle-Event Network</t>
  </si>
  <si>
    <t>ICIP 2020</t>
  </si>
  <si>
    <t>https://ieeexplore.ieee.org/abstract/document/9191148</t>
  </si>
  <si>
    <t>On-Device Event Filtering with Binary Neural Networks for Pedestrian Detection Using Neuromorphic Vision Sensors</t>
  </si>
  <si>
    <t>https://ieeexplore.ieee.org/abstract/document/9337225</t>
  </si>
  <si>
    <t>https://ieeexplore.ieee.org/abstract/document/9380323</t>
  </si>
  <si>
    <t>Auto-Tuned Event-Based Perception Scheme for Intrusion Monitoring With UAS</t>
  </si>
  <si>
    <t>https://ieeexplore.ieee.org/abstract/document/9426390</t>
  </si>
  <si>
    <t>https://ieeexplore.ieee.org/abstract/document/9635907</t>
  </si>
  <si>
    <t>https://ieeexplore.ieee.org/abstract/document/9810191/</t>
  </si>
  <si>
    <t>Event-Based Line SLAM in Real-Time</t>
  </si>
  <si>
    <t>https://ieeexplore.ieee.org/abstract/document/9831055</t>
  </si>
  <si>
    <t>A bio-inspired hierarchical spiking neural network with reward-modulated STDP learning rule for AER object recognition</t>
  </si>
  <si>
    <t>IEEE JSEN 2022</t>
  </si>
  <si>
    <t>https://ieeexplore.ieee.org/abstract/document/9869656/</t>
  </si>
  <si>
    <t>ECSNet: Spatio-Temporal Feature Learning for Event Camera</t>
  </si>
  <si>
    <t>TCSVT 2022</t>
  </si>
  <si>
    <t>https://ieeexplore.ieee.org/abstract/document/9897875</t>
  </si>
  <si>
    <t>PCA Event-Based Optical Flow: A Fast and Accurate 2D Motion Estimation</t>
  </si>
  <si>
    <t>ICIP 2022</t>
  </si>
  <si>
    <t>https://ieeexplore.ieee.org/abstract/document/9982428</t>
  </si>
  <si>
    <t>EVA2: Event-Assisted Video Frame Interpolation via Cross-Modal Alignment and Aggregation</t>
  </si>
  <si>
    <t>TCI 2022</t>
  </si>
  <si>
    <t>https://ieeexplore.ieee.org/document/10016699/</t>
  </si>
  <si>
    <t>Spike-event Object Detection for Neuromorphic Vision</t>
  </si>
  <si>
    <t>https://ieeexplore.ieee.org/document/10018655/</t>
  </si>
  <si>
    <t>Efficient Event-based Intrusion Monitoring using Probabilistic Distributions</t>
  </si>
  <si>
    <t>SSRR 2022</t>
  </si>
  <si>
    <t>https://ieeexplore.ieee.org/document/10067566</t>
  </si>
  <si>
    <t>A 2.97μm-Pitch Event-Based Vision Sensor with Shared Pixel Front-End Circuitry and Low-Noise Intensity Readout Mode</t>
  </si>
  <si>
    <t>https://ieeexplore.ieee.org/document/10092278/</t>
  </si>
  <si>
    <t>Emergent Visual Sensors for Autonomous Vehicles</t>
  </si>
  <si>
    <t>https://ieeexplore.ieee.org/document/10136914/</t>
  </si>
  <si>
    <t>Brain-Inspired Spatiotemporal Processing Algorithms for Efficient Event-Based Perception</t>
  </si>
  <si>
    <t>DATE 2023</t>
  </si>
  <si>
    <t>https://ieeexplore.ieee.org/document/10138453/</t>
  </si>
  <si>
    <t>Neuromorphic Imaging With Density-Based Spatiotemporal Denoising</t>
  </si>
  <si>
    <t>TCI 2023</t>
  </si>
  <si>
    <t>https://ieeexplore.ieee.org/document/10143632</t>
  </si>
  <si>
    <t>https://ieeexplore.ieee.org/document/10149465/</t>
  </si>
  <si>
    <t>Aircraft Marshaling Signals Dataset of FMCW Radar and Event-Based Camera for Sensor Fusion</t>
  </si>
  <si>
    <t>IRC 2023</t>
  </si>
  <si>
    <t>https://ieeexplore.ieee.org/document/10166491</t>
  </si>
  <si>
    <t>Event-Based Object Detection using Graph Neural Networks</t>
  </si>
  <si>
    <t>DDCLS 2023</t>
  </si>
  <si>
    <t>https://ieeexplore.ieee.org/document/10168551</t>
  </si>
  <si>
    <t>E-Track: Eye Tracking with Event Camera for Extended Reality (XR) Applications</t>
  </si>
  <si>
    <t>https://ieeexplore.ieee.org/document/10168635</t>
  </si>
  <si>
    <t>An Interpretable Pixel Intensity Reconstruction Model for Asynchronous Event Camera</t>
  </si>
  <si>
    <t>https://ieeexplore.ieee.org/document/10169359/</t>
  </si>
  <si>
    <t>Dense Voxel 3D Reconstruction Using a Monocular Event Camera</t>
  </si>
  <si>
    <t>ICVR 2023</t>
  </si>
  <si>
    <t>https://ieeexplore.ieee.org/document/10169361/</t>
  </si>
  <si>
    <t>A Stable Learning-Based Corner Detector for Event-Based Cameras</t>
  </si>
  <si>
    <t>https://ieeexplore.ieee.org/document/10186751/</t>
  </si>
  <si>
    <t>Spiking Neural Networks for Robust and Efficient Object Detection in Intelligent Transportation Systems With Roadside Event-Based Cameras</t>
  </si>
  <si>
    <t>IEEE IV 2023</t>
  </si>
  <si>
    <t>https://ieeexplore.ieee.org/document/10191272/</t>
  </si>
  <si>
    <t>Event-Guided Attention Network for Low Light Image Enhancement</t>
  </si>
  <si>
    <t>https://ieeexplore.ieee.org/document/10195232/</t>
  </si>
  <si>
    <t>SODFormer: Streaming Object Detection with Transformer Using Events and Frames</t>
  </si>
  <si>
    <t>https://ieeexplore.ieee.org/document/10196434/</t>
  </si>
  <si>
    <t>A Multi-Scale Recurrent Framework for Motion Segmentation with Event Camera</t>
  </si>
  <si>
    <t>https://ieeexplore.ieee.org/document/10198747</t>
  </si>
  <si>
    <t>https://ieeexplore.ieee.org/document/10210581/</t>
  </si>
  <si>
    <t>A Heterogeneous RRAM In-Memory and SRAM Near-Memory SoC for Fused Frame and Event-Based Target Identification and Tracking</t>
  </si>
  <si>
    <t>JSSC 2023</t>
  </si>
  <si>
    <t>https://ieeexplore.ieee.org/document/10311251/</t>
  </si>
  <si>
    <t>Enabling UAVs night-time navigation through Mutual Information-based matching of event-generated images</t>
  </si>
  <si>
    <t>DASC 2023</t>
  </si>
  <si>
    <t>https://ieeexplore.ieee.org/document/10311771/</t>
  </si>
  <si>
    <t>Stereo Depth Estimation Based on Adaptive Stacks from Event Cameras</t>
  </si>
  <si>
    <t>IECON 2023</t>
  </si>
  <si>
    <t>https://ieeexplore.ieee.org/document/10401990</t>
  </si>
  <si>
    <t>https://ieeexplore.ieee.org/document/10610401/</t>
  </si>
  <si>
    <t>A Neuromorphic System for the Real-time Classification of Natural Textures</t>
  </si>
  <si>
    <t>https://ieeexplore.ieee.org/document/10611127/</t>
  </si>
  <si>
    <t>SAM-Event-Adapter: Adapting Segment Anything Model for Event-RGB Semantic Segmentation</t>
  </si>
  <si>
    <t>https://ieeexplore.ieee.org/document/10651400/</t>
  </si>
  <si>
    <t>SENSIM: An Event-driven Parallel Simulator for Multi-core Neuromorphic Systems</t>
  </si>
  <si>
    <t>https://ieeexplore.ieee.org/document/11051240/</t>
  </si>
  <si>
    <t>EDE-Distill: Boosting Event-Based Monocular Depth Estimation Performance Via Knowledge Distillation</t>
  </si>
  <si>
    <t>https://ieeexplore.ieee.org/document/11226425</t>
  </si>
  <si>
    <t>Event-Based Visual Microphone Using Laser Speckle</t>
  </si>
  <si>
    <t>https://ieeexplore.ieee.org/document/6470127</t>
  </si>
  <si>
    <t>https://ieeexplore.ieee.org/document/7063246</t>
  </si>
  <si>
    <t>An Asynchronous Neuromorphic Event-Driven Visual Part-Based Shape Tracking</t>
  </si>
  <si>
    <t>https://ieeexplore.ieee.org/document/7436808</t>
  </si>
  <si>
    <t>Bag of Events: An Efficient Probability-Based Feature Extraction Method for AER Image Sensors</t>
  </si>
  <si>
    <t>https://ieeexplore.ieee.org/document/8368143/</t>
  </si>
  <si>
    <t>Event-Guided Structured Output Tracking of Fast-Moving Objects Using a CeleX Sensor</t>
  </si>
  <si>
    <t>TCSVT 2018</t>
  </si>
  <si>
    <t>https://ieeexplore.ieee.org/document/8463622</t>
  </si>
  <si>
    <t>Event-Based Line Fitting and Segment Detection Using a Neuromorphic Visual Sensor</t>
  </si>
  <si>
    <t>https://ieeexplore.ieee.org/document/8660483</t>
  </si>
  <si>
    <t>Unsupervised Learning of a Hierarchical Spiking Neural Network for Optical Flow Estimation: From Events to Global Motion Perception</t>
  </si>
  <si>
    <t>https://ieeexplore.ieee.org/document/9053002</t>
  </si>
  <si>
    <t>Denoising of Event-Based Sensors with Spatial-Temporal Correlation</t>
  </si>
  <si>
    <t>ICASSP 2020</t>
  </si>
  <si>
    <t>https://ieeexplore.ieee.org/document/9073922</t>
  </si>
  <si>
    <t>Retinal Slip Estimation and Object Tracking with an Active Event Camera</t>
  </si>
  <si>
    <t>AICAS 2020</t>
  </si>
  <si>
    <t>https://ieeexplore.ieee.org/document/9155035</t>
  </si>
  <si>
    <t>https://ieeexplore.ieee.org/document/9372134</t>
  </si>
  <si>
    <t>Asynchronous Spatiotemporal Spike Metric for Event Cameras</t>
  </si>
  <si>
    <t>https://ieeexplore.ieee.org/document/9395703</t>
  </si>
  <si>
    <t>Advancing Neuromorphic Computing With Loihi: A Survey of Results and Outlook</t>
  </si>
  <si>
    <t>Proc IEEE</t>
  </si>
  <si>
    <t>https://ieeexplore.ieee.org/document/9400234</t>
  </si>
  <si>
    <t>Efficient, event-driven feature extraction and unsupervised object tracking for embedded applications</t>
  </si>
  <si>
    <t>CISS 2021</t>
  </si>
  <si>
    <t>https://ieeexplore.ieee.org/document/9454404/</t>
  </si>
  <si>
    <t>Real-Time Rotational Motion Estimation With Contrast Maximization Over Globally Aligned Events</t>
  </si>
  <si>
    <t>https://ieeexplore.ieee.org/document/9479757</t>
  </si>
  <si>
    <t>EOMVS: Event-Based Omnidirectional Multi-View Stereo</t>
  </si>
  <si>
    <t>https://ieeexplore.ieee.org/document/9486868</t>
  </si>
  <si>
    <t>An End-to-End Spiking Neural Network Platform for Edge Robotics</t>
  </si>
  <si>
    <t>IEEE Trans. On Cognitive And Developmental Systems 2022</t>
  </si>
  <si>
    <t>https://ieeexplore.ieee.org/document/9490245</t>
  </si>
  <si>
    <t>SPEED: Spiking Neural Network with Event-driven Unsupervised Learning and Near-Real-Time Inference for Event-Based Vision</t>
  </si>
  <si>
    <t>JSEN 2021</t>
  </si>
  <si>
    <t>https://ieeexplore.ieee.org/document/9494335/</t>
  </si>
  <si>
    <t>Enhancing 3-D LiDAR Point Clouds With Event-Based Camera</t>
  </si>
  <si>
    <t>TIM 2021</t>
  </si>
  <si>
    <t>https://ieeexplore.ieee.org/document/9589502/</t>
  </si>
  <si>
    <t>A Multi-target Tracking Algorithm for Fast-moving Workpieces Based on Event Camera</t>
  </si>
  <si>
    <t>IECON 2021</t>
  </si>
  <si>
    <t>https://ieeexplore.ieee.org/document/9706311</t>
  </si>
  <si>
    <t>Aggregation Functions for Simultaneous Attitude and Image Estimation With Event Cameras at High Angular Rates</t>
  </si>
  <si>
    <t>https://ieeexplore.ieee.org/document/9713987</t>
  </si>
  <si>
    <t>Event-LSTM: An Unsupervised and Asynchronous Learning-Based Representation for Event-Based Data</t>
  </si>
  <si>
    <t>https://ieeexplore.ieee.org/document/9720086</t>
  </si>
  <si>
    <t>Low Cost and Latency Event Camera Background Activity Denoising</t>
  </si>
  <si>
    <t>https://ieeexplore.ieee.org/document/9720923</t>
  </si>
  <si>
    <t>Free as a Bird: Event-Based Dynamic Sense-and-Avoid for Ornithopter Robot Flight</t>
  </si>
  <si>
    <t>https://ieeexplore.ieee.org/document/9721918/</t>
  </si>
  <si>
    <t>Unsupervised Adaptive Multi-Object Tracking-by-Clustering Algorithm with a Bio-Inspired System</t>
  </si>
  <si>
    <t>https://ieeexplore.ieee.org/document/9727106/</t>
  </si>
  <si>
    <t>EDFLOW: Event Driven Optical Flow Camera with Keypoint Detection and Adaptive Block Matching</t>
  </si>
  <si>
    <t>https://ieeexplore.ieee.org/document/9747832</t>
  </si>
  <si>
    <t>Transformer-Based Domain Adaptation for Event Data Classification</t>
  </si>
  <si>
    <t>ICASSP 2022</t>
  </si>
  <si>
    <t>https://ieeexplore.ieee.org/document/9749022/</t>
  </si>
  <si>
    <t>Asynchronous Spatio-Temporal Memory Network for Continuous Event-Based Object Detection</t>
  </si>
  <si>
    <t>https://ieeexplore.ieee.org/document/9757431</t>
  </si>
  <si>
    <t>Video2Force: Experiencing Object Motion in Video with Dynamic Force Feedback based on Bio-Inspired Sensing and Processing</t>
  </si>
  <si>
    <t>VRW 2022</t>
  </si>
  <si>
    <t>https://ieeexplore.ieee.org/document/9771080/</t>
  </si>
  <si>
    <t>Neuromorphic Vision-Based Fall Localization in Event Streams With Temporal-Spatial Attention Weighted Network</t>
  </si>
  <si>
    <t>TCYB 2022</t>
  </si>
  <si>
    <t>https://ieeexplore.ieee.org/document/9782692/</t>
  </si>
  <si>
    <t>EBBINNOT: A Hardware-Efficient Hybrid Event-Frame Tracker for Stationary Dynamic Vision Sensors</t>
  </si>
  <si>
    <t>JIOT 2022</t>
  </si>
  <si>
    <t>https://ieeexplore.ieee.org/document/9807397/</t>
  </si>
  <si>
    <t>MDOE: A Spatiotemporal Event Representation Considering the Magnitude and Density of Events</t>
  </si>
  <si>
    <t>https://ieeexplore.ieee.org/document/9811687/</t>
  </si>
  <si>
    <t>Learning Local Event-based Descriptor for Patch-based Stereo Matching</t>
  </si>
  <si>
    <t>https://ieeexplore.ieee.org/document/9812059/</t>
  </si>
  <si>
    <t>Fusing Event-based and RGB camera for Robust Object Detection in Adverse Conditions</t>
  </si>
  <si>
    <t>https://ieeexplore.ieee.org/document/9812142/</t>
  </si>
  <si>
    <t>Neural Implicit Event Generator for Motion Tracking</t>
  </si>
  <si>
    <t>https://ieeexplore.ieee.org/document/9815134/</t>
  </si>
  <si>
    <t>EV-Catcher: High-Speed Object Catching Using Low-Latency Event-Based Neural Networks</t>
  </si>
  <si>
    <t>https://ieeexplore.ieee.org/document/9816799/</t>
  </si>
  <si>
    <t>PixiStamp: A tool to acquire, process, and sequence AER data from event-driven systems</t>
  </si>
  <si>
    <t>PRIME 2022</t>
  </si>
  <si>
    <t>https://ieeexplore.ieee.org/document/9819909/</t>
  </si>
  <si>
    <t>Unsupervised Deep Event Stereo for Depth Estimation</t>
  </si>
  <si>
    <t>https://ieeexplore.ieee.org/document/9844855/</t>
  </si>
  <si>
    <t>Understanding Human Reactions Looking At Facial Micro-Expressions With an Event Camera</t>
  </si>
  <si>
    <t>TII 2022</t>
  </si>
  <si>
    <t>https://ieeexplore.ieee.org/document/9850353/</t>
  </si>
  <si>
    <t>Lossless Compression of Event Camera Frames</t>
  </si>
  <si>
    <t>https://ieeexplore.ieee.org/document/9860082/</t>
  </si>
  <si>
    <t>A Residual Learning Approach to Deblur and Generate High Frame Rate Video With an Event Camera</t>
  </si>
  <si>
    <t>TMM 2022</t>
  </si>
  <si>
    <t>https://ieeexplore.ieee.org/document/9892281/</t>
  </si>
  <si>
    <t>Combining Deep Convolutional Feature Extraction with Hyperdimensional Computing for Visual Object Recognition</t>
  </si>
  <si>
    <t>https://ieeexplore.ieee.org/document/9892362/</t>
  </si>
  <si>
    <t>Event Camera Data Classification Using Spiking Networks with Spike-Timing-Dependent Plasticity</t>
  </si>
  <si>
    <t>https://ieeexplore.ieee.org/document/9897354</t>
  </si>
  <si>
    <t>Utility and Feasibility of a Center Surround Event Camera</t>
  </si>
  <si>
    <t>https://ieeexplore.ieee.org/document/9897394/</t>
  </si>
  <si>
    <t>Learning hetero-synaptic delays for motion detection in a single layer of spiking neurons</t>
  </si>
  <si>
    <t>https://ieeexplore.ieee.org/document/9897432</t>
  </si>
  <si>
    <t>Exploiting Spatial Sparsity for Event Cameras with Visual Transformers</t>
  </si>
  <si>
    <t>https://ieeexplore.ieee.org/document/9897492/</t>
  </si>
  <si>
    <t>VEFNet: an Event-RGB Cross Modality Fusion Network for Visual Place Recognition</t>
  </si>
  <si>
    <t>https://ieeexplore.ieee.org/document/9898061</t>
  </si>
  <si>
    <t>Bina-Rep Event Frames: A Simple and Effective Representation for Event-Based Cameras</t>
  </si>
  <si>
    <t>https://ieeexplore.ieee.org/document/9902710/</t>
  </si>
  <si>
    <t>Event Camera-based Motion Segmentation via Depth Estimation and 3D Motion Compensation</t>
  </si>
  <si>
    <t>CCC 2022</t>
  </si>
  <si>
    <t>https://ieeexplore.ieee.org/document/9913852/</t>
  </si>
  <si>
    <t>Global-local Feature Aggregation for Event-based Object Detection on EventKITTI</t>
  </si>
  <si>
    <t>https://ieeexplore.ieee.org/document/9913871/</t>
  </si>
  <si>
    <t>Event-based Driver Distraction Detection and Action Recognition</t>
  </si>
  <si>
    <t>https://ieeexplore.ieee.org/document/9945086/</t>
  </si>
  <si>
    <t>E-HANet:Event-based Hybrid Attention Network for Optical Flow Estimation</t>
  </si>
  <si>
    <t>https://ieeexplore.ieee.org/document/9954128/</t>
  </si>
  <si>
    <t>Real-Time Hetero-Stereo Matching for Event and Frame Camera With Aligned Events Using Maximum Shift Distance</t>
  </si>
  <si>
    <t>https://ieeexplore.ieee.org/document/9963561/</t>
  </si>
  <si>
    <t>Event augmentation for contact force measurements</t>
  </si>
  <si>
    <t>https://ieeexplore.ieee.org/document/9966595/</t>
  </si>
  <si>
    <t>Recursive Contrast Maximization for Event-Based High-Frequency Motion Estimation</t>
  </si>
  <si>
    <t>https://ieeexplore.ieee.org/document/9978619/</t>
  </si>
  <si>
    <t>Spiking Cooperative Network Implemented on FPGA for Real-Time Event-Based Stereo System</t>
  </si>
  <si>
    <t>https://ieeexplore.ieee.org/iel7/10186382/10186383/10186538.pdf</t>
  </si>
  <si>
    <t>Targetless Extrinsic Calibration Between Event-Based and RGB Camera for Intelligent Transportation Systems</t>
  </si>
  <si>
    <t>https://ieeexplore.ieee.org/iel7/16/4358746/09837876.pdf</t>
  </si>
  <si>
    <t>An Optically-Reconfigurable PUF Based on Logarithmic Photoreceptor of CMOS Dynamic Vision Sensors</t>
  </si>
  <si>
    <t>TED 2022</t>
  </si>
  <si>
    <t>https://ieeexplore.ieee.org/iel7/34/10384454/10292537.pdf</t>
  </si>
  <si>
    <t>Reliable Event Generation With Invertible Conditional Normalizing Flow</t>
  </si>
  <si>
    <t>https://ieeexplore.ieee.org/iel7/34/4359286/10198747.pdf</t>
  </si>
  <si>
    <t>Action Recognition and Benchmark using Event Cameras</t>
  </si>
  <si>
    <t>https://ieeexplore.ieee.org/iel7/5962385/6104215/06589170.pdf</t>
  </si>
  <si>
    <t>Event-Based Visual Flow</t>
  </si>
  <si>
    <t>https://ieeexplore.ieee.org/iel7/5962385/6104215/09893571.pdf</t>
  </si>
  <si>
    <t>Neuromorphic Camera Denoising Using Graph Neural Network-Driven Transformers</t>
  </si>
  <si>
    <t>TNNLS 2022</t>
  </si>
  <si>
    <t>https://ieeexplore.ieee.org/iel7/6287639/6514899/10188686.pdf</t>
  </si>
  <si>
    <t>Real-Time Multi-Task Facial Analytics with Event Cameras</t>
  </si>
  <si>
    <t>https://ieeexplore.ieee.org/iel7/7083369/7339444/09813406.pdf</t>
  </si>
  <si>
    <t>Exploring Event Camera-based Odometry for Planetary Robots</t>
  </si>
  <si>
    <t>https://ieeexplore.ieee.org/iel7/9066468/9072687/09073855.pdf</t>
  </si>
  <si>
    <t>Exploiting Event Cameras for Spatio-Temporal Prediction of Fast-Changing Trajectories</t>
  </si>
  <si>
    <t>https://ieeexplore.ieee.org/iel7/9184803/9190635/09190830.pdf</t>
  </si>
  <si>
    <t>Robust Intensity Image Reconstruciton Based On Event Cameras</t>
  </si>
  <si>
    <t>https://ieeexplore.ieee.org/iel7/9891857/9889787/09892070.pdf</t>
  </si>
  <si>
    <t>Accurate and Efficient Frame-based Event Representation for AER Object Recognition</t>
  </si>
  <si>
    <t>https://ieeexplore.ieee.org/iel7/9959088/9959097/09959313.pdf</t>
  </si>
  <si>
    <t>NeuroDFD: Towards Efficient Driver Face Detection with Neuromorphic Vision Sensor</t>
  </si>
  <si>
    <t>ICARM 2022</t>
  </si>
  <si>
    <t>https://ieeexplore.ieee.org/iel8/10347229/10787061/10795229.pdf</t>
  </si>
  <si>
    <t>https://ieeexplore.ieee.org/iel8/10801246/10801290/10802786.pdf</t>
  </si>
  <si>
    <t>Event-intensity Stereo with Cross-modal Fusion and Contrast</t>
  </si>
  <si>
    <t>https://ieeexplore.ieee.org/iel8/7083369/10601335/10629077.pdf</t>
  </si>
  <si>
    <t>Toward Robust Keypoint Detection and Tracking: A Fusion Approach With Event-Aligned Image Features</t>
  </si>
  <si>
    <t>https://ieeexplore.ieee.org/iel8/83/4358840/10612786.pdf</t>
  </si>
  <si>
    <t>Event-based Optical Flow via Transforming into Motion-dependent View</t>
  </si>
  <si>
    <t>https://ieeexplore.ieee.org/search/searchresult.jsp?newsearch=true&amp;queryText=event%20camera&amp;searchWithin=%22Parent%20Publication%20Number%22:1000002</t>
  </si>
  <si>
    <t>ICASSP search</t>
  </si>
  <si>
    <t>https://ieeexplore.ieee.org/search/searchresult.jsp?newsearch=true&amp;queryText=event%20camera&amp;searchWithin=%22Publication%20Number%22:19</t>
  </si>
  <si>
    <t>T-IM check publications with "event camera in title"</t>
  </si>
  <si>
    <t>https://ieeexplore.ieee.org/search/searchresult.jsp?newsearch=true&amp;queryText=event%20camera&amp;searchWithin=%22Publication%20Number%22:6745852</t>
  </si>
  <si>
    <t>TCI check publications with "event camera in title"</t>
  </si>
  <si>
    <t>https://ieeexplore.ieee.org/search/searchresult.jsp?queryText=event%20camera&amp;highlight=true&amp;returnType=SEARCH&amp;matchPubs=true&amp;returnFacets=ALL&amp;refinements=PublicationTitle:IEEE%20Transactions%20on%20Circuits%20and%20Systems%20for%20Video%20Technology</t>
  </si>
  <si>
    <t>TCSVT check publications with "event camera in title"</t>
  </si>
  <si>
    <t>https://ieeexplore.ieee.org/search/searchresult.jsp?queryText=event%20camera&amp;highlight=true&amp;returnType=SEARCH&amp;matchPubs=true&amp;returnFacets=ALL&amp;refinements=PublicationTitle:IEEE%20Transactions%20on%20Pattern%20Analysis%20and%20Machine%20Intelligence</t>
  </si>
  <si>
    <t>TPAMI check publications with "event camera in title"</t>
  </si>
  <si>
    <t>https://ieeexplore.ieee.org/search/searchresult.jsp?queryText=event%20camera&amp;highlight=true&amp;returnType=SEARCH&amp;matchPubs=true&amp;sortType=newest&amp;returnFacets=ALL&amp;refinementName=Publication%20Title&amp;refinements=PublicationTitle:IEEE%20Transactions%20on%20Image%20Processing</t>
  </si>
  <si>
    <t>TIP check publications with "event camera in title"</t>
  </si>
  <si>
    <t>https://ieeexplore.ieee.org/search/searchresult.jsp?queryText=event%20camera&amp;searchWithin=%22Parent%20Publication%20Number%22:1000349&amp;highlight=true&amp;returnFacets=ALL&amp;returnType=SEARCH&amp;matchPubs=true&amp;sortType=newest</t>
  </si>
  <si>
    <t>ICIP search</t>
  </si>
  <si>
    <t>https://ieeexplore.ieee.org/stamp/stamp.jsp?arnumber=8296630</t>
  </si>
  <si>
    <t>https://ieeexplore.ieee.org/stamp/stamp.jsp?arnumber=8683606</t>
  </si>
  <si>
    <t>Neuromorphic Vision Sensing for CNN-based Action Recognition</t>
  </si>
  <si>
    <t>ICASSP 2019</t>
  </si>
  <si>
    <t>https://ieeexplore.ieee.org/stamp/stamp.jsp?tp=&amp;arnumber=10376624</t>
  </si>
  <si>
    <t>https://ieeexplore.ieee.org/stamp/stamp.jsp?tp=&amp;arnumber=7508476</t>
  </si>
  <si>
    <t>https://ieeexplore.ieee.org/stamp/stamp.jsp?tp=&amp;arnumber=9635907</t>
  </si>
  <si>
    <t>https://ieeexplore.ieee.org/xpl/conhome/1000393/all-proceedings</t>
  </si>
  <si>
    <t>IROS all proceedings</t>
  </si>
  <si>
    <t>https://ieeexplore.ieee.org/xpl/conhome/1000639/all-proceedings</t>
  </si>
  <si>
    <t>ICRA all proceedings</t>
  </si>
  <si>
    <t>https://ieeexplore.ieee.org/xpl/conhome/10738716/proceeding</t>
  </si>
  <si>
    <t>Harnessing Noise for Materials Differentiation in Computational Neuromorphic Imaging</t>
  </si>
  <si>
    <t>OGC 2024</t>
  </si>
  <si>
    <t>https://ieeexplore.ieee.org/xpl/conhome/9845455/proceeding</t>
  </si>
  <si>
    <t>2022 8th International Conference on Event-Based Control, Communication, and Signal Processing (EBCCSP)</t>
  </si>
  <si>
    <t>https://ietresearch.onlinelibrary.wiley.com/doi/10.1049/cvi2.12206</t>
  </si>
  <si>
    <t>SA‐FlowNet: Event‐based self‐attention optical flow estimation with spiking‐analogue neural networks</t>
  </si>
  <si>
    <t>IETCV 2023</t>
  </si>
  <si>
    <t>https://ietresearch.onlinelibrary.wiley.com/doi/abs/10.1049/cvi2.12220</t>
  </si>
  <si>
    <t>A point‐image fusion network for event‐based frame interpolation</t>
  </si>
  <si>
    <t>https://ietresearch.onlinelibrary.wiley.com/doi/abs/10.1049/ell2.12582</t>
  </si>
  <si>
    <t>Event‐based motion segmentation of small objects in the wild</t>
  </si>
  <si>
    <t>Electr. Letters 2022</t>
  </si>
  <si>
    <t>https://ietresearch.onlinelibrary.wiley.com/doi/full/10.1049/cvi2.12115</t>
  </si>
  <si>
    <t>EAGAN: Event-based attention generative adversarial networks for optical flow and depth estimation</t>
  </si>
  <si>
    <t>IETCV 2022</t>
  </si>
  <si>
    <t>https://iit-pavis.github.io/lifting_events_to_3d_hpe</t>
  </si>
  <si>
    <t>https://image-sensors-world.blogspot.com/2021/02/do-event-based-imagers-have-advantage.html?m=1</t>
  </si>
  <si>
    <t>https://imagesensors.org/2023-international-image-sensor-workshop</t>
  </si>
  <si>
    <t>https://imt-atlantique.hal.science/hal-04746439/document</t>
  </si>
  <si>
    <t>Advancing Object Detection for Autonomous Vehicles via General Purpose Event-RGB Fusion</t>
  </si>
  <si>
    <t>https://index.ros.org/p/event_camera_codecs</t>
  </si>
  <si>
    <t>https://index.ros.org/p/event_camera_renderer</t>
  </si>
  <si>
    <t>https://infoscience.epfl.ch/record/275495/files/youssef2020.pdf</t>
  </si>
  <si>
    <t>https://infoscience.epfl.ch/record/304463</t>
  </si>
  <si>
    <t>Evaluation of the impact of lossy compression on event camera-based computer vision tasks</t>
  </si>
  <si>
    <t>https://inilabs.com</t>
  </si>
  <si>
    <t>https://inivation.com</t>
  </si>
  <si>
    <t>https://inivation.com/dvs</t>
  </si>
  <si>
    <t>https://inivation.com/dvs/videos</t>
  </si>
  <si>
    <t>https://inivation.com/support/product-specifications</t>
  </si>
  <si>
    <t>https://inivation.github.io/inivation-docs/Hardware%20user%20guides/User_guide_-_DAVIS240.html</t>
  </si>
  <si>
    <t>https://inivation.github.io/inivation-docs/Hardware%20user%20guides/User_guide_-_DVS128.html</t>
  </si>
  <si>
    <t>https://iopscience.iop.org/article/10.1088/1361-6420/ace7c7/meta</t>
  </si>
  <si>
    <t>Bilevel Inverse Problems in Neuromorphic Imaging</t>
  </si>
  <si>
    <t>Inverse Problems 2023</t>
  </si>
  <si>
    <t>https://iopscience.iop.org/article/10.1088/1361-6501/ad25da/pdf</t>
  </si>
  <si>
    <t>High-frequency visualization of flexible structures using an event-triggered camera: multiple flapping membranes</t>
  </si>
  <si>
    <t>MeaSciTech 2024</t>
  </si>
  <si>
    <t>https://iopscience.iop.org/article/10.1088/1361-6501/ad42bf/pdf</t>
  </si>
  <si>
    <t>Structural Vibration Frequency Monitoring Based on Event Camera</t>
  </si>
  <si>
    <t>https://iopscience.iop.org/article/10.1088/1361-6501/ad6172/meta</t>
  </si>
  <si>
    <t>An event-triggered background-oriented schlieren technique combined with dynamic projection using dynamic mirror device</t>
  </si>
  <si>
    <t>MeasSci 2024</t>
  </si>
  <si>
    <t>https://iopscience.iop.org/article/10.1088/1361-6501/ade27b</t>
  </si>
  <si>
    <t>Super-time-resolution particle tracking velocimetry via the fusion of event-and frame-based cameras</t>
  </si>
  <si>
    <t>Meas Sci Technol 2025</t>
  </si>
  <si>
    <t>https://iopscience.iop.org/article/10.1088/1741-2552/aceca3</t>
  </si>
  <si>
    <t>Neuromorphic applications in medicine</t>
  </si>
  <si>
    <t>JNE 2023</t>
  </si>
  <si>
    <t>https://iopscience.iop.org/article/10.1088/2631-8695/ad9235/meta</t>
  </si>
  <si>
    <t>Efficient data processing pipeline for event-based vision datasets: techniques and insights</t>
  </si>
  <si>
    <t>ERE 2024</t>
  </si>
  <si>
    <t>https://iopscience.iop.org/article/10.1088/2634-4386/ac4a83</t>
  </si>
  <si>
    <t>2022 roadmap on neuromorphic computing and engineering</t>
  </si>
  <si>
    <t>IOPScience 2022</t>
  </si>
  <si>
    <t>https://iopscience.iop.org/article/10.1088/2634-4386/ac970d/meta</t>
  </si>
  <si>
    <t>Efficient spatio-temporal feature clustering for large event-based datasets</t>
  </si>
  <si>
    <t>Neuromorph. Comput. Eng. 2022</t>
  </si>
  <si>
    <t>https://iopscience.iop.org/article/10.1088/2634-4386/add0da/pdf</t>
  </si>
  <si>
    <t>Bio-inspired event-based looming object detection for automotive collision avoidance</t>
  </si>
  <si>
    <t>https://iopscience.iop.org/article/10.1088/2634-4386/add0db/pdf</t>
  </si>
  <si>
    <t>NeuroPong: The event-based camera driven embedded neuromorphic system</t>
  </si>
  <si>
    <t>https://iopscience.iop.org/article/10.1088/2634-4386/ae0a76</t>
  </si>
  <si>
    <t>An adaptive filter for denoising brain-inspired complementary vision sensor</t>
  </si>
  <si>
    <t>https://iopscience.iop.org/article/10.1088/2634-4386/ae2156</t>
  </si>
  <si>
    <t>Retinomorphic devices beyond silicon for dynamic machine vision</t>
  </si>
  <si>
    <t>https://iopscience.iop.org/article/10.35848/1347-4065/acad88</t>
  </si>
  <si>
    <t>Tiny and error-tolerant ConvLSTM for event-based vision sensor with  optimized event representation and ReRAM computation-in-memory</t>
  </si>
  <si>
    <t>Japanese Journal Of Applied Physics 2023</t>
  </si>
  <si>
    <t>https://iris.unige.it/retrieve/handle/11567/1047290/534319/phdunige_4458940.pdf</t>
  </si>
  <si>
    <t>https://iris.unimore.it/retrieve/handle/11380/1178955/224434/ICIAP19_Event_Cameras.pdf</t>
  </si>
  <si>
    <t>https://isar.unipg.it/datasets</t>
  </si>
  <si>
    <t>https://isprs-archives.copernicus.org/articles/XLVIII-4-2024/645/2024/isprs-archives-XLVIII-4-2024-645-2024.pdf</t>
  </si>
  <si>
    <t>How Many Events are Needed for One Reconstructed Image Using an Event Camera?</t>
  </si>
  <si>
    <t>https://isprs-archives.copernicus.org/articles/XLVIII-4-2024/717/2024/</t>
  </si>
  <si>
    <t>Event Camera Denoising Using Asynchronous Spatio-Temporal Event Denoising Neural Network</t>
  </si>
  <si>
    <t>https://itcanthink.substack.com/p/vision-language-action-models-and</t>
  </si>
  <si>
    <t>https://jepedersen.dk/202304_nice_object"&gt;Website&lt;/a</t>
  </si>
  <si>
    <t>https://joint-research-centre.ec.europa.eu/events/innovative-neuromorphic-vision-sensors-invisions-workshop-2026-02-05_en</t>
  </si>
  <si>
    <t>https://journal.50sea.com/index.php/IJIST/article/view/1097</t>
  </si>
  <si>
    <t>Event-Based Vision for Robust SLAM: An Evaluation Using Hyper E2VID Event Reconstruction Algorithm</t>
  </si>
  <si>
    <t>IJIST 2024</t>
  </si>
  <si>
    <t>https://kelvins.esa.int/elope</t>
  </si>
  <si>
    <t>https://koara.lib.keio.ac.jp/xoonips/modules/xoonips/detail.php?koara_id=KO50002002-20236069-0003</t>
  </si>
  <si>
    <t>https://koara.lib.keio.ac.jp/xoonips/modules/xoonips/download.php/KO50002002-20236069-0003.pdf?file_id=174804</t>
  </si>
  <si>
    <t>https://kth.diva-portal.org/smash/get/diva2:1779214/FULLTEXT01.pdf</t>
  </si>
  <si>
    <t>Comparing energy efficiency of Leaky integrate-and-fire and Spike response neuron models in Spiking Neural Networks</t>
  </si>
  <si>
    <t>BS Thesis 2023</t>
  </si>
  <si>
    <t>https://lamor.fer.hr/images/50036607/hadviger-disparity-advrob.pdf</t>
  </si>
  <si>
    <t>https://laurentperrinet.github.io/publication/grimaldi-21-cosyne/</t>
  </si>
  <si>
    <t>A robust bio-inspired approach to event-driven object recognition</t>
  </si>
  <si>
    <t>COSYNE 2021</t>
  </si>
  <si>
    <t>https://lbh666.github.io/ef-3dgs/</t>
  </si>
  <si>
    <t>EF-3DGS: Event-Aided Free-Trajectory 3D Gaussian Splatting</t>
  </si>
  <si>
    <t>https://link.springer.com/article/10.1007/s00348-022-03441-6</t>
  </si>
  <si>
    <t>Event-based imaging velocimetry: an assessment of event-based cameras for the measurement of fluid flows</t>
  </si>
  <si>
    <t>Exp Fluids 2022</t>
  </si>
  <si>
    <t>https://link.springer.com/article/10.1007/s00348-023-03641-8</t>
  </si>
  <si>
    <t>Event-based imaging velocimetry using pulsed illumination</t>
  </si>
  <si>
    <t>Exp Fluids 2023</t>
  </si>
  <si>
    <t>https://link.springer.com/article/10.1007/s00348-023-03673-0</t>
  </si>
  <si>
    <t>TrackAER: real-time event-based quantitative flow visualization</t>
  </si>
  <si>
    <t>https://link.springer.com/article/10.1007/s00348-024-03766-4</t>
  </si>
  <si>
    <t>Feasibility study of in-line particle image velocimetry</t>
  </si>
  <si>
    <t>https://link.springer.com/article/10.1007/s00348-025-04009-w</t>
  </si>
  <si>
    <t>Evaluation of an event-based camera for time-resolved imaging of primary atomization in an air-assist atomizer</t>
  </si>
  <si>
    <t>https://link.springer.com/article/10.1007/s00371-017-1372-y</t>
  </si>
  <si>
    <t>https://link.springer.com/article/10.1007/s00371-021-02237-9</t>
  </si>
  <si>
    <t>https://link.springer.com/article/10.1007/s10489-023-04763-6</t>
  </si>
  <si>
    <t>SwinEFT: a robust and powerful Swin Transformer based Event Frame Tracker</t>
  </si>
  <si>
    <t>Appl Intell 2023</t>
  </si>
  <si>
    <t>https://link.springer.com/article/10.1007/s10514-023-10111-x</t>
  </si>
  <si>
    <t>Towards neuromorphic FPGA-based infrastructures for a robotic arm</t>
  </si>
  <si>
    <t>Auton Robot 2023</t>
  </si>
  <si>
    <t>https://link.springer.com/article/10.1007/s11042-023-15743-w</t>
  </si>
  <si>
    <t>EV-Perturb: event-stream perturbation for privacy-preserving classification with dynamic vision sensors</t>
  </si>
  <si>
    <t>Multimed Tools Appl 2023</t>
  </si>
  <si>
    <t>https://link.springer.com/article/10.1007/s11263-024-02011-z</t>
  </si>
  <si>
    <t>Event-Based Non-rigid Reconstruction of Low-Rank Parametrized Deformations from Contours</t>
  </si>
  <si>
    <t>IJCV 2024</t>
  </si>
  <si>
    <t>https://link.springer.com/article/10.1007/s11263-024-02197-2</t>
  </si>
  <si>
    <t>Compressed Event Sensing (CES) Volumes for Event Cameras</t>
  </si>
  <si>
    <t>https://link.springer.com/article/10.1007/s11263-025-02418-2</t>
  </si>
  <si>
    <t>NU-AIR: A Neuromorphic Urban Aerial Dataset for Detection and Localization of Pedestrians and Vehicles</t>
  </si>
  <si>
    <t>https://link.springer.com/article/10.1007/s11340-023-00966-7</t>
  </si>
  <si>
    <t>High-Speed Deformation Measurement with Event-Based Cameras</t>
  </si>
  <si>
    <t>ExpMEch 2023</t>
  </si>
  <si>
    <t>https://link.springer.com/article/10.1007/s11554-024-01528-3</t>
  </si>
  <si>
    <t>EV-TIFNet: lightweight binocular fusion network assisted by event camera time information for 3D human pose estimation</t>
  </si>
  <si>
    <t>https://link.springer.com/article/10.1007/s11633-022-1350-3</t>
  </si>
  <si>
    <t>https://link.springer.com/article/10.1007/s11633-022-1370-z</t>
  </si>
  <si>
    <t>Towards a New Paradigm for Brain-inspired Computer Vision</t>
  </si>
  <si>
    <t>Machine Intelligence Research 2022</t>
  </si>
  <si>
    <t>https://link.springer.com/article/10.1007/s12204-024-2699-y</t>
  </si>
  <si>
    <t>Hypergraph-Based Asynchronous Event Processing for Moving Object Classification</t>
  </si>
  <si>
    <t>Journal of SJU 2024</t>
  </si>
  <si>
    <t>https://link.springer.com/article/10.1007/s42486-024-00153-0</t>
  </si>
  <si>
    <t>Ef-kpress: joint event-frame compression and video generation with event cameras for low-bandwidth VR streaming</t>
  </si>
  <si>
    <t>CCFTPCI 2024</t>
  </si>
  <si>
    <t>https://link.springer.com/article/10.1155/2007/82174</t>
  </si>
  <si>
    <t>https://link.springer.com/chapter/10.1007/978-3-030-27272-2_35</t>
  </si>
  <si>
    <t>https://link.springer.com/chapter/10.1007/978-3-030-80119-9_44</t>
  </si>
  <si>
    <t>DBA-Filter: A Dynamic Background Activity Noise Filtering Algorithm for Event Cameras</t>
  </si>
  <si>
    <t>Intelligent Computing 2021</t>
  </si>
  <si>
    <t>https://link.springer.com/chapter/10.1007/978-3-031-04098-6_4</t>
  </si>
  <si>
    <t>Neuromorphic Data Processing for Event-Driven Imagery for Acoustic Measurements</t>
  </si>
  <si>
    <t>CPSEMS 2022</t>
  </si>
  <si>
    <t>https://link.springer.com/chapter/10.1007/978-3-031-04098-6_8</t>
  </si>
  <si>
    <t>Digital Image Correlation with a Neuromorphic Event-Based Imager</t>
  </si>
  <si>
    <t>https://link.springer.com/chapter/10.1007/978-3-031-04881-4_32</t>
  </si>
  <si>
    <t>Visual event-based egocentric human action recognition</t>
  </si>
  <si>
    <t>IbPRIA 2022</t>
  </si>
  <si>
    <t>https://link.springer.com/chapter/10.1007/978-3-031-13324-4_9</t>
  </si>
  <si>
    <t>Event-Based Object Detection and Tracking-A Traffic Monitoring Use Case</t>
  </si>
  <si>
    <t>ICIA 2022</t>
  </si>
  <si>
    <t>https://link.springer.com/chapter/10.1007/978-3-031-15934-3_51</t>
  </si>
  <si>
    <t>Dynamic Vision Sensor Based Gesture Recognition Using Liquid State Machine</t>
  </si>
  <si>
    <t>ICANN 2022</t>
  </si>
  <si>
    <t>https://link.springer.com/chapter/10.1007/978-3-031-20868-3_20</t>
  </si>
  <si>
    <t>FusionSeg: Motion Segmentation by Jointly Exploiting Frames and Events</t>
  </si>
  <si>
    <t>PRICAI 2022</t>
  </si>
  <si>
    <t>https://link.springer.com/chapter/10.1007/978-3-031-25056-9_1</t>
  </si>
  <si>
    <t>Globally Optimal Event-Based Divergence Estimation for Ventral Landing</t>
  </si>
  <si>
    <t>https://link.springer.com/chapter/10.1007/978-3-031-25056-9_5</t>
  </si>
  <si>
    <t>Asynchronous Kalman Filter for Event-Based Star Tracking</t>
  </si>
  <si>
    <t>https://link.springer.com/chapter/10.1007/978-3-031-26431-3_7</t>
  </si>
  <si>
    <t>Event-Based Visual Sensing for Human Motion Detection and Classification at Various Distances</t>
  </si>
  <si>
    <t>PSIVT 2022</t>
  </si>
  <si>
    <t>https://link.springer.com/chapter/10.1007/978-3-031-44198-1_19</t>
  </si>
  <si>
    <t>FE Fusion: A Fast Detection Method of Moving UAV Based on Frame and Event Flow</t>
  </si>
  <si>
    <t>ICANN 2023</t>
  </si>
  <si>
    <t>https://link.springer.com/chapter/10.1007/978-3-031-44240-7_4</t>
  </si>
  <si>
    <t>Fall Detection with Event-Based Data: A Case Study</t>
  </si>
  <si>
    <t>CAIP 2023</t>
  </si>
  <si>
    <t>https://link.springer.com/chapter/10.1007/978-3-031-47966-3_7</t>
  </si>
  <si>
    <t>Semantic Scene Filtering for Event Cameras in Long-Term Outdoor Monitoring Scenarios</t>
  </si>
  <si>
    <t>ISVC 2023</t>
  </si>
  <si>
    <t>https://link.springer.com/chapter/10.1007/978-3-031-59057-3_24</t>
  </si>
  <si>
    <t>A Color Event-Based Camera Emulator for Robot Vision</t>
  </si>
  <si>
    <t>ROBOVIS 2024</t>
  </si>
  <si>
    <t>https://link.springer.com/chapter/10.1007/978-981-19-7742-8_3</t>
  </si>
  <si>
    <t>Transferring dense object detection models to event-based data</t>
  </si>
  <si>
    <t>AIVR 2022</t>
  </si>
  <si>
    <t>https://link.springer.com/chapter/10.1007/978-981-19-7867-8_15</t>
  </si>
  <si>
    <t>High-Speed HDR Video Reconstruction from Hybrid Intensity Frames and Events</t>
  </si>
  <si>
    <t>CVMI 2023</t>
  </si>
  <si>
    <t>https://link.springer.com/chapter/10.1007/978-981-19-9379-4_6</t>
  </si>
  <si>
    <t>Event Based Time-To-Contact Estimation with Depth Image Fusion</t>
  </si>
  <si>
    <t>3rd Congress on Intelligent Systems CIS 2022</t>
  </si>
  <si>
    <t>https://link.springer.com/chapter/10.1007/978-981-95-0011-6_22</t>
  </si>
  <si>
    <t>Towards Fast Event-Based Recognition with Adaptive Slicing</t>
  </si>
  <si>
    <t>https://link.springer.com/chapter/10.1007/978-981-99-1645-0_46</t>
  </si>
  <si>
    <t>Multimodal Learning of Audio-Visual Speech Recognition with Liquid State Machine</t>
  </si>
  <si>
    <t>ICONIP 2022</t>
  </si>
  <si>
    <t>https://link.springer.com/chapter/10.1007/978-981-99-6498-7_6</t>
  </si>
  <si>
    <t>Hardware-Free Event Cameras Temporal Synchronization Based on Event Density Alignment</t>
  </si>
  <si>
    <t>ICIRA 2023</t>
  </si>
  <si>
    <t>https://livrepository.liverpool.ac.uk/3184244/1/201135223_Sep2024.pdf</t>
  </si>
  <si>
    <t>Towards Inference Efficient Spiking Neural Network</t>
  </si>
  <si>
    <t>https://m.youtube.com/watch?v=RDu5eldW8i8</t>
  </si>
  <si>
    <t>https://m3ed.io</t>
  </si>
  <si>
    <t>https://m3ed.io/sequences</t>
  </si>
  <si>
    <t>https://mavlab.tudelft.nl/event_flow</t>
  </si>
  <si>
    <t>https://mavmatrix.uta.edu/cgi/viewcontent.cgi?article=1531&amp;context=cse_theses</t>
  </si>
  <si>
    <t>Event-Based Histogram of Gradients for Lane Detection</t>
  </si>
  <si>
    <t>MS Thesis 2025</t>
  </si>
  <si>
    <t>https://mdpi-res.com/bookfiles/book/3836/Visual_Servoing_in_Robotics.pdf?v=1759280678</t>
  </si>
  <si>
    <t>https://mediatum.ub.tum.de/doc/1191908/271955.pdf</t>
  </si>
  <si>
    <t>https://mediatum.ub.tum.de/doc/1215541/835468.pdf</t>
  </si>
  <si>
    <t>https://mediatum.ub.tum.de/doc/1254531/131347.pdf</t>
  </si>
  <si>
    <t>https://mediatum.ub.tum.de/doc/1281617/789727.pdf</t>
  </si>
  <si>
    <t>https://mediatum.ub.tum.de/doc/1327653/1327653.pdf</t>
  </si>
  <si>
    <t>https://mediatum.ub.tum.de/doc/1367575/1367575.pdf</t>
  </si>
  <si>
    <t>https://mediatum.ub.tum.de/doc/1445947/1445947.pdf</t>
  </si>
  <si>
    <t>Event-Based Stereo Depth Estimation Using Belief Propagation</t>
  </si>
  <si>
    <t>FNINS 2017</t>
  </si>
  <si>
    <t>https://mediatum.ub.tum.de/doc/1755556/orqeucbq37bm6595kqv2m729a.Thesis_Final_Corrected_v2.pdf</t>
  </si>
  <si>
    <t>Spacecraft Relative Attitude Determination with Event Camera</t>
  </si>
  <si>
    <t>https://mediatum.ub.tum.de/download/1173294/1173294.pdf</t>
  </si>
  <si>
    <t>https://medium.com/@adnanmasood/trade-off-between-movement-quality-and-inference-speed-in-vision-language-action-models-for-robotic-52af173ff1bd</t>
  </si>
  <si>
    <t>https://medium.com/@ian_25476/the-complete-guide-to-vision-language-action-models-how-robots-are-learning-to-think-f1a788d003ed</t>
  </si>
  <si>
    <t>https://medium.com/@LawrencewleKnight/how-vision-language-action-models-are-revolutionizing-robotic-control-a627bbc0c249</t>
  </si>
  <si>
    <t>https://medium.com/@vikramsetty169/event-cameras-everything-you-need-to-know-c5dd4281eb9b</t>
  </si>
  <si>
    <t>https://medium.com/tangram-visions/event-cameras-where-are-they-now-293343754bfd</t>
  </si>
  <si>
    <t>https://mgaoling.github.io/eventail</t>
  </si>
  <si>
    <t>https://mgaoling.github.io/eventail_iccv23</t>
  </si>
  <si>
    <t>https://microsoft.github.io/AirSim/event_sim</t>
  </si>
  <si>
    <t>AirSim event simulator</t>
  </si>
  <si>
    <t>https://mpl.sist.shanghaitech.edu.cn</t>
  </si>
  <si>
    <t>https://ms-evs.github.io</t>
  </si>
  <si>
    <t>https://myukk.org/SM2017/sm_pdf/SM1083.pdf</t>
  </si>
  <si>
    <t>https://n-rod-dataset.github.io/home</t>
  </si>
  <si>
    <t>https://nail-hnu.github.io/EvSLAM/index.html</t>
  </si>
  <si>
    <t>IROS 2025 Event-based Stereo SLAM Challenge</t>
  </si>
  <si>
    <t>https://nanocad.ee.ucla.edu/</t>
  </si>
  <si>
    <t>SCIMITAR: Stochastic Computing In-Memory In-situ Tracking ARchitecture for Event-Based Cameras</t>
  </si>
  <si>
    <t>CASES 2024</t>
  </si>
  <si>
    <t>https://neural-fields-beyond-cams.github.io</t>
  </si>
  <si>
    <t>https://neural-fields-beyond-cams.github.io/accepted_papers/15.pdf</t>
  </si>
  <si>
    <r>
      <rPr>
        <rFont val="Arial"/>
        <color theme="1"/>
        <sz val="10.0"/>
      </rPr>
      <t>EaDeblur-GS: Event assisted 3D Deblur Reconstruction with Gaussian Splatting</t>
    </r>
  </si>
  <si>
    <t>https://neurips.cc/virtual/2023/poster/69919</t>
  </si>
  <si>
    <t>SparseProp: Efficient Event-Based Simulation and Training of Sparse Recurrent Spiking Neural Networks</t>
  </si>
  <si>
    <t>https://neurips.cc/virtual/2023/poster/69938</t>
  </si>
  <si>
    <t>E2PNet: Event to Point Cloud Registration with Spatio-Temporal Representation Learning</t>
  </si>
  <si>
    <t>https://neurips.cc/virtual/2023/poster/73538</t>
  </si>
  <si>
    <t>EV-Eye: Rethinking High-frequency Eye Tracking through the Lenses of Event Cameras</t>
  </si>
  <si>
    <t>https://neuromorphicrobotics.com</t>
  </si>
  <si>
    <t>https://news.ycombinator.com/item?id=28895747</t>
  </si>
  <si>
    <t>https://nfr-icra26.fcladera.com</t>
  </si>
  <si>
    <t>https://niceworkshop.org/nice-2019</t>
  </si>
  <si>
    <t>https://nips.cc/virtual/2023/79294</t>
  </si>
  <si>
    <t>Multimodal Neural Surface Reconstruction: Recovering the Geometry and Appearance of 3D Scenes from Events and Grayscale Images</t>
  </si>
  <si>
    <t>NeurIPS Workshop 2023</t>
  </si>
  <si>
    <t>https://npucvr.github.io/RPEFlow/</t>
  </si>
  <si>
    <t>RPEFlow: Multimodal Fusion of RGB-PointCloud-Event for Joint Optical Flow and Scene Flow Estimation</t>
  </si>
  <si>
    <t>https://ojs.aaai.org/index.php/AAAI/article/view/16171</t>
  </si>
  <si>
    <t>Deep Event Stereo Leveraged by Event-to-Image Translation</t>
  </si>
  <si>
    <t>AAAI 2021</t>
  </si>
  <si>
    <t>https://ojs.aaai.org/index.php/AAAI/article/view/16171/15978</t>
  </si>
  <si>
    <t>https://ojs.aaai.org/index.php/AAAI/article/view/30545</t>
  </si>
  <si>
    <t>Flow-Event Autoencoder: Event Stream Object Recognition Dataset Generation with Arbitrary High Temporal Resolution</t>
  </si>
  <si>
    <t>https://ojs.aaai.org/index.php/AAAI/article/view/32154/34309</t>
  </si>
  <si>
    <t>Leveraging Asynchronous Spiking Neural Networks for Ultra Efficient Event-Based Visual Processing</t>
  </si>
  <si>
    <t>https://ojs.aaai.org/index.php/AAAI/article/view/32237/34392</t>
  </si>
  <si>
    <t>EvHDR-GS: Event-guided HDR Video Reconstruction with 3D Gaussian Splatting</t>
  </si>
  <si>
    <t>https://ojs.aaai.org/index.php/AAAI/article/view/32238/34393</t>
  </si>
  <si>
    <t>EvHDR-NeRF: Building High Dynamic Range Radiance Fields with Single Exposure Images and Events</t>
  </si>
  <si>
    <t>https://ojs.aaai.org/index.php/AAAI/article/view/32292/34447</t>
  </si>
  <si>
    <t>EventPillars: Pillar-based Efficient Representations for Event Data</t>
  </si>
  <si>
    <t>https://ojs.aaai.org/index.php/AAAI/article/view/32508/34663</t>
  </si>
  <si>
    <t>Know Where You Are From: Event-Based Segmentation via Spatio-Temporal Propagation</t>
  </si>
  <si>
    <t>https://ojs.aaai.org/index.php/AAAI/article/view/32967</t>
  </si>
  <si>
    <t>https://ojs.aaai.org/index.php/AAAI/article/view/32967/35122</t>
  </si>
  <si>
    <t>Motion-adaptive Transformer for Event-based Image Deblurring</t>
  </si>
  <si>
    <t>https://ojs.aaai.org/index.php/AAAI/article/view/32983/35138</t>
  </si>
  <si>
    <t>EvSTVSR: Event Guided Space-Time Video Super-Resolution</t>
  </si>
  <si>
    <t>https://ojs.aaai.org/index.php/AAAI/article/view/33003/35158</t>
  </si>
  <si>
    <t>Asymmetric Hierarchical Difference-aware Interaction Network for Event-guided Motion Deblurring</t>
  </si>
  <si>
    <t>https://ojs.aaai.org/index.php/AAAI/article/view/33005/35160</t>
  </si>
  <si>
    <t>DriveGazen: Event-Based Driving Status Recognition Using Conventional Camera</t>
  </si>
  <si>
    <t>https://ojs.aaai.org/index.php/AAAI/article/view/33141/35296</t>
  </si>
  <si>
    <t>ESEG: Event-Based Segmentation Boosted by Explicit Edge-Semantic Guidance</t>
  </si>
  <si>
    <t>https://omilab.naist.jp/papers/MIRU2024-IS-2-114.pdf</t>
  </si>
  <si>
    <t>Arbitrary Viewpoint Event Camera Simulation by Neural Radiance Fields</t>
  </si>
  <si>
    <t>MIRU 2024</t>
  </si>
  <si>
    <t>https://onlinelibrary.wiley.com/doi/10.1002/aisy.202200251</t>
  </si>
  <si>
    <t>https://onlinelibrary.wiley.com/doi/abs/10.1002/advs.202304355</t>
  </si>
  <si>
    <t>Widefield Diamond Quantum Sensing with Neuromorphic Vision Sensors</t>
  </si>
  <si>
    <t>ADVS 2023</t>
  </si>
  <si>
    <t>https://open-neuromorphic.org/blog/strategic-vision-open-neuromorphic</t>
  </si>
  <si>
    <t>https://openaccess.thecvf.com//content/CVPR2025/papers/Yu_Active_Hyperspectral_Imaging_Using_an_Event_Camera_CVPR_2025_paper.pdf</t>
  </si>
  <si>
    <t>Active Hyperspectral Imaging Using an Event Camera</t>
  </si>
  <si>
    <t>https://openaccess.thecvf.com//content/CVPR2025/papers/Yu_EventPSR_Surface_Normal_and_Reflectance_Estimation_from_Photometric_Stereo_Using_CVPR_2025_paper.pdf</t>
  </si>
  <si>
    <t>EventPSR: Surface Normal and Reflectance Estimation from Photometric Stereo Using an Event Camera</t>
  </si>
  <si>
    <t>https://openaccess.thecvf.com//content/ICCV2025/papers/Baek_EVOLVE_Event-Guided_Deformable_Feature_Transfer_and_Dual-Memory_Refinement_for_Low-Light_ICCV_2025_paper.pdf</t>
  </si>
  <si>
    <t>EVOLVE: Event-Guided Deformable Feature Transfer and Dual-Memory Refinement for Low-Light Video Object Segmentation</t>
  </si>
  <si>
    <t>https://openaccess.thecvf.com//content/ICCV2025/papers/Cao_Exploiting_Frequency_Dynamics_for_Enhanced_Multimodal_Event-based_Action_Recognition_ICCV_2025_paper.pdf</t>
  </si>
  <si>
    <t>Exploiting Frequency Dynamics for Enhanced Multimodal Event-based Action Recognition</t>
  </si>
  <si>
    <t>https://openaccess.thecvf.com//content/ICCV2025/papers/Han_MATE_Motion-Augmented_Temporal_Consistency_for_Event-based_Point_Tracking_ICCV_2025_paper.pdf</t>
  </si>
  <si>
    <t>MATE: Motion-Augmented Temporal Consistency for Event-based Point Tracking</t>
  </si>
  <si>
    <t>https://openaccess.thecvf.com//content/ICCV2025/papers/Kim_Event-guided_Unified_Framework_for_Low-light_Video_Enhancement_Frame_Interpolation_and_ICCV_2025_paper.pdf</t>
  </si>
  <si>
    <t>Event-guided Unified Framework for Low-light Video Enhancement, Frame Interpolation, and Deblurring</t>
  </si>
  <si>
    <t>https://openaccess.thecvf.com//content/ICCV2025/papers/Liang_Efficient_Event_Camera_Data_Pretraining_with_Adaptive_Prompt_Fusion_ICCV_2025_paper.pdf</t>
  </si>
  <si>
    <t>Efficient Event Camera Data Pretraining with Adaptive Prompt Fusion</t>
  </si>
  <si>
    <t>https://openaccess.thecvf.com//content/ICCV2025/papers/Liang_EventUPS_Uncalibrated_Photometric_Stereo_Using_an_Event_Camera_ICCV_2025_paper.pdf</t>
  </si>
  <si>
    <t>EventUPS: Uncalibrated Photometric Stereo Using an Event Camera</t>
  </si>
  <si>
    <t>https://openaccess.thecvf.com//content/ICCV2025/papers/Liu_E-NeMF_Event-based_Neural_Motion_Field_for_Novel_Space-time_View_Synthesis_ICCV_2025_paper.pdf</t>
  </si>
  <si>
    <t>E-NeMF: Event-based Neural Motion Field for Novel Space-time View Synthesis of Dynamic Scenes</t>
  </si>
  <si>
    <t>https://openaccess.thecvf.com//content/ICCV2025/papers/Meng_Diffusion-Based_Extreme_High-speed_Scenes_Reconstruction_with_the_Complementary_Vision_Sensor_ICCV_2025_paper.pdf</t>
  </si>
  <si>
    <t>Diffusion-Based Extreme High-speed Scenes Reconstruction with the Complementary Vision Sensor</t>
  </si>
  <si>
    <t>https://openaccess.thecvf.com//content/ICCV2025/papers/Sun_EVDM_Event-based_Real-world_Video_Deblurring_with_Mamba_ICCV_2025_paper.pdf</t>
  </si>
  <si>
    <t>EVDM: Event-based Real-world Video Deblurring with Mamba</t>
  </si>
  <si>
    <t>https://openaccess.thecvf.com//content/ICCV2025/papers/Torbunov_EvRT-DETR_Latent_Space_Adaptation_of_Image_Detectors_for_Event-based_Vision_ICCV_2025_paper.pdf</t>
  </si>
  <si>
    <t>EvRT-DETR: Latent Space Adaptation of Image Detectors for Event-based Vision</t>
  </si>
  <si>
    <t>https://openaccess.thecvf.com//content/ICCV2025/papers/Wan_Event-aided_Dense_and_Continuous_Point_Tracking_Everywhere_and_Anytime_ICCV_2025_paper.pdf</t>
  </si>
  <si>
    <t>Event-aided Dense and Continuous Point Tracking: Everywhere and Anytime</t>
  </si>
  <si>
    <t>https://openaccess.thecvf.com//content/ICCV2025/papers/Wang_SAMPLE_Semantic_Alignment_through_Temporal-Adaptive_Multimodal_Prompt_Learning_for_Event-Based_ICCV_2025_paper.pdf</t>
  </si>
  <si>
    <t>SAMPLE: Semantic Alignment through Temporal-Adaptive Multimodal Prompt Learning for Event-Based Open-Vocabulary Action Recognition</t>
  </si>
  <si>
    <t>https://openaccess.thecvf.com//content/ICCV2025/papers/Yang_Event-guided_HDR_Reconstruction_with_Diffusion_Priors_ICCV_2025_paper.pdf</t>
  </si>
  <si>
    <t>Event-guided HDR Reconstruction with Diffusion Priors</t>
  </si>
  <si>
    <t>https://openaccess.thecvf.com//content/ICCV2025/papers/Zhang_Enhanced_Event-based_Dense_Stereo_via_Cross-Sensor_Knowledge_Distillation_ICCV_2025_paper.pdf</t>
  </si>
  <si>
    <t>Enhanced Event-based Dense Stereo via Cross-Sensor Knowledge Distillation</t>
  </si>
  <si>
    <t>https://openaccess.thecvf.com//content/ICCV2025/papers/Zhou_Event-based_Visual_Vibrometry_ICCV_2025_paper.pdf</t>
  </si>
  <si>
    <t>Event-based Visual Vibrometry</t>
  </si>
  <si>
    <t>https://openaccess.thecvf.com//content/ICCV2025/papers/Zhu_Depth_Any_Event_Stream_Enhancing_Event-based_Monocular_Depth_Estimation_via_ICCV_2025_paper.pdf</t>
  </si>
  <si>
    <t>Depth Any Event Stream: Enhancing Event-based Monocular Depth Estimation via Dense-to-Sparse Distillation</t>
  </si>
  <si>
    <t>https://openaccess.thecvf.com//content/ICCV2025/papers/Zhu_Separation_for_Better_Integration_Disentangling_Edge_and_Motion_in_Event-based_ICCV_2025_paper.pdf</t>
  </si>
  <si>
    <t>Separation for Better Integration: Disentangling Edge and Motion in Event-based Deblurring</t>
  </si>
  <si>
    <t>https://openaccess.thecvf.com//content/WACV2025/papers/Cho_Unifying_Low-Resolution_and_High-Resolution_Alignment_by_Event_Cameras_for_Space-Time_WACV_2025_paper.pdf</t>
  </si>
  <si>
    <t>Unifying Low-Resolution and High-Resolution Alignment by Event Cameras for Space-Time Video Super-Resolution</t>
  </si>
  <si>
    <t>https://openaccess.thecvf.com//content/WACV2025/papers/Weerakoon_NeuroViG_-_Integrating_Event_Cameras_for_Resource-Efficient_Video_Grounding_WACV_2025_paper.pdf</t>
  </si>
  <si>
    <t>NeuroViG - Integrating Event Cameras for Resource-Efficient Video Grounding</t>
  </si>
  <si>
    <t>https://openaccess.thecvf.com/content_ICCV_2019/html/Tulyakov_Learning_an_Event_Sequence_Embedding_for_Dense_Event-Based_Deep_Stereo_ICCV_2019_paper.html</t>
  </si>
  <si>
    <t>https://openaccess.thecvf.com/content/CVPR2021/html/Chen_Indoor_Lighting_Estimation_Using_an_Event_Camera_CVPR_2021_paper.html</t>
  </si>
  <si>
    <t>Indoor Lighting Estimation Using an Event Camera</t>
  </si>
  <si>
    <t>https://openaccess.thecvf.com/content/CVPR2021/html/Takatani_Event-Based_Bispectral_Photometry_Using_Temporally_Modulated_Illumination_CVPR_2021_paper.html</t>
  </si>
  <si>
    <t>Event-Based Bispectral Photometry Using Temporally Modulated Illumination</t>
  </si>
  <si>
    <t>https://openaccess.thecvf.com/content/CVPR2021/html/Zou_Learning_To_Reconstruct_High_Speed_and_High_Dynamic_Range_Videos_CVPR_2021_paper.html</t>
  </si>
  <si>
    <t>Learning To Reconstruct High Speed and High Dynamic Range Videos From Events</t>
  </si>
  <si>
    <t>https://openaccess.thecvf.com/content/CVPR2021/papers/Chen_Indoor_Lighting_Estimation_Using_an_Event_Camera_CVPR_2021_paper.pdf</t>
  </si>
  <si>
    <t>https://openaccess.thecvf.com/content/CVPR2021/papers/Duan_EventZoom_Learning_To_Denoise_and_Super_Resolve_Neuromorphic_Events_CVPR_2021_paper.pdf</t>
  </si>
  <si>
    <t>https://openaccess.thecvf.com/content/CVPR2021/papers/Jing_Turning_Frequency_to_Resolution_Video_Super-Resolution_via_Event_Cameras_CVPR_2021_paper.pdf</t>
  </si>
  <si>
    <t>Turning Frequency to Resolution: Video Super-Resolution via Event Cameras</t>
  </si>
  <si>
    <t>https://openaccess.thecvf.com/content/CVPR2021/papers/Liu_Spatiotemporal_Registration_for_Event-Based_Visual_Odometry_CVPR_2021_paper.pdf</t>
  </si>
  <si>
    <t>https://openaccess.thecvf.com/content/CVPR2021/papers/Paredes-Valles_Back_to_Event_Basics_Self-Supervised_Learning_of_Image_Reconstruction_for_CVPR_2021_paper.pdf</t>
  </si>
  <si>
    <t>https://openaccess.thecvf.com/content/CVPR2021/papers/Takatani_Event-Based_Bispectral_Photometry_Using_Temporally_Modulated_Illumination_CVPR_2021_paper.pdf</t>
  </si>
  <si>
    <t>https://openaccess.thecvf.com/content/CVPR2021/papers/Tulyakov_Time_Lens_Event-Based_Video_Frame_Interpolation_CVPR_2021_paper.pdf</t>
  </si>
  <si>
    <t>https://openaccess.thecvf.com/content/CVPR2021/papers/Wang_EvDistill_Asynchronous_Events_To_End-Task_Learning_via_Bidirectional_Reconstruction-Guided_Cross-Modal_CVPR_2021_paper.pdf</t>
  </si>
  <si>
    <t>https://openaccess.thecvf.com/content/CVPR2021/papers/Zhang_Event-Based_Synthetic_Aperture_Imaging_With_a_Hybrid_Network_CVPR_2021_paper.pdf</t>
  </si>
  <si>
    <t>https://openaccess.thecvf.com/content/CVPR2021/papers/Zou_Learning_To_Reconstruct_High_Speed_and_High_Dynamic_Range_Videos_CVPR_2021_paper.pdf</t>
  </si>
  <si>
    <t>https://openaccess.thecvf.com/content/CVPR2021/supplemental/Chen_Indoor_Lighting_Estimation_CVPR_2021_supplemental.pdf</t>
  </si>
  <si>
    <t>https://openaccess.thecvf.com/content/CVPR2021/supplemental/Liu_Spatiotemporal_Registration_for_CVPR_2021_supplemental.pdf</t>
  </si>
  <si>
    <t>https://openaccess.thecvf.com/content/CVPR2021/supplemental/Zhang_Event-Based_Synthetic_Aperture_CVPR_2021_supplemental.pdf</t>
  </si>
  <si>
    <t>https://openaccess.thecvf.com/content/CVPR2021W/AI4Space/papers/Sikorski_Event-Based_Spacecraft_Landing_Using_Time-To-Contact_CVPRW_2021_paper.pdf</t>
  </si>
  <si>
    <t>Event-based spacecraft landing using time-to-contact</t>
  </si>
  <si>
    <t>CVPRW 2021</t>
  </si>
  <si>
    <t>https://openaccess.thecvf.com/content/CVPR2021W/EventVision/papers/Barbier_Spike_Timing-Based_Unsupervised_Learning_of_Orientation_Disparity_and_Motion_Representations_CVPRW_2021_paper.pdf</t>
  </si>
  <si>
    <t>https://openaccess.thecvf.com/content/CVPR2021W/EventVision/papers/Bolten_DVS-OUTLAB_A_Neuromorphic_Event-Based_Long_Time_Monitoring_Dataset_for_Real-World_CVPRW_2021_paper.pdf</t>
  </si>
  <si>
    <t>https://openaccess.thecvf.com/content/CVPR2021W/EventVision/papers/Cannici_N-ROD_A_Neuromorphic_Dataset_for_Synthetic-to-Real_Domain_Adaptation_CVPRW_2021_paper.pdf</t>
  </si>
  <si>
    <t>https://openaccess.thecvf.com/content/CVPR2021W/EventVision/papers/Chiberre_Detecting_Stable_Keypoints_From_Events_Through_Image_Gradient_Prediction_CVPRW_2021_paper.pdf</t>
  </si>
  <si>
    <t>https://openaccess.thecvf.com/content/CVPR2021W/EventVision/papers/Duwek_Image_Reconstruction_From_Neuromorphic_Event_Cameras_Using_Laplacian-Prediction_and_Poisson_CVPRW_2021_paper.pdf</t>
  </si>
  <si>
    <t>https://openaccess.thecvf.com/content/CVPR2021W/EventVision/papers/Hu_v2e_From_Video_Frames_to_Realistic_DVS_Events_CVPRW_2021_paper.pdf</t>
  </si>
  <si>
    <t>https://openaccess.thecvf.com/content/CVPR2021W/EventVision/papers/Jiao_Comparing_Representations_in_Tracking_for_Event_Camera-Based_SLAM_CVPRW_2021_paper.pdf</t>
  </si>
  <si>
    <t>https://openaccess.thecvf.com/content/CVPR2021W/EventVision/papers/Nehvi_Differentiable_Event_Stream_Simulator_for_Non-Rigid_3D_Tracking_CVPRW_2021_paper.pdf</t>
  </si>
  <si>
    <t>https://openaccess.thecvf.com/content/CVPR2021W/EventVision/papers/Nunes_Live_Demonstration_Incremental_Motion_Estimation_for_Event-Based_Cameras_by_Dispersion_CVPRW_2021_paper.pdf</t>
  </si>
  <si>
    <t>https://openaccess.thecvf.com/content/CVPR2021W/EventVision/papers/Paikin_EFI-Net_Video_Frame_Interpolation_From_Fusion_of_Events_and_Frames_CVPRW_2021_paper.pdf</t>
  </si>
  <si>
    <t>https://openaccess.thecvf.com/content/CVPR2021W/EventVision/papers/Peveri_A_Cortically-Inspired_Architecture_for_Event-Based_Visual_Motion_Processing_From_Design_CVPRW_2021_paper.pdf</t>
  </si>
  <si>
    <t>https://openaccess.thecvf.com/content/CVPR2021W/EventVision/papers/Scarpellini_Lifting_Monocular_Events_to_3D_Human_Poses_CVPRW_2021_paper.pdf</t>
  </si>
  <si>
    <t>https://openaccess.thecvf.com/content/CVPR2021W/EventVision/supplemental/Barbier_Spike_Timing-Based_Unsupervised_CVPRW_2021_supplemental.pdf</t>
  </si>
  <si>
    <t>https://openaccess.thecvf.com/content/CVPR2022/html/Lin_Autofocus_for_Event_Cameras_CVPR_2022_paper.html</t>
  </si>
  <si>
    <t>https://openaccess.thecvf.com/content/CVPR2022/html/Plizzari_E2GOMOTION_Motion_Augmented_Event_Stream_for_Egocentric_Action_Recognition_CVPR_2022_paper.html</t>
  </si>
  <si>
    <t>https://openaccess.thecvf.com/content/CVPR2022/papers/Liao_Synthetic_Aperture_Imaging_With_Events_and_Frames_CVPR_2022_paper.pdf</t>
  </si>
  <si>
    <t>Synthetic Aperture Imaging with Events and Frames</t>
  </si>
  <si>
    <t>https://openaccess.thecvf.com/content/CVPR2022/papers/Lin_Autofocus_for_Event_Cameras_CVPR_2022_paper.pdf</t>
  </si>
  <si>
    <t>https://openaccess.thecvf.com/content/CVPR2022/papers/Zhang_Discrete_Time_Convolution_for_Fast_Event-Based_Stereo_CVPR_2022_paper.pdf</t>
  </si>
  <si>
    <t>Discrete time convolution for fast event-based stereo</t>
  </si>
  <si>
    <t>https://openaccess.thecvf.com/content/CVPR2022/papers/Zhang_Spiking_Transformers_for_Event-Based_Single_Object_Tracking_CVPR_2022_paper.pdf</t>
  </si>
  <si>
    <t>https://openaccess.thecvf.com/content/CVPR2022/papers/Zhou_EvUnroll_Neuromorphic_Events_Based_Rolling_Shutter_Image_Correction_CVPR_2022_paper.pdf</t>
  </si>
  <si>
    <t>EvUnroll: Neuromorphic Events based Rolling Shutter Image Correction</t>
  </si>
  <si>
    <t>https://openaccess.thecvf.com/content/CVPR2022/papers/Zhu_Event-Based_Video_Reconstruction_via_Potential-Assisted_Spiking_Neural_Network_CVPR_2022_paper.pdf</t>
  </si>
  <si>
    <t>https://openaccess.thecvf.com/content/CVPR2022W/ECV/html/Sabater_Event_Transformer._A_Sparse-Aware_Solution_for_Efficient_Event_Data_Processing_CVPRW_2022_paper.html</t>
  </si>
  <si>
    <t>https://openaccess.thecvf.com/content/CVPR2023/html/Mei_Deep_Polarization_Reconstruction_With_PDAVIS_Events_CVPR_2023_paper.html</t>
  </si>
  <si>
    <t>https://openaccess.thecvf.com/content/CVPR2023/papers/Cao_Event-Guided_Person_Re-Identification_via_Sparse-Dense_Complementary_Learning_CVPR_2023_paper.pdf</t>
  </si>
  <si>
    <t>Event-guided Person Re-Identification via Sparse-Dense Complementary Learning</t>
  </si>
  <si>
    <t>https://openaccess.thecvf.com/content/CVPR2023/papers/Cho_Learning_Adaptive_Dense_Event_Stereo_From_the_Image_Domain_CVPR_2023_paper.pdf</t>
  </si>
  <si>
    <t>Learning Adaptive Dense Event Stereo from the Image Domain</t>
  </si>
  <si>
    <t>https://openaccess.thecvf.com/content/CVPR2023/papers/Erbach_EvShutter_Transforming_Events_for_Unconstrained_Rolling_Shutter_Correction_CVPR_2023_paper.pdf</t>
  </si>
  <si>
    <t>EvShutter: Transforming Events for Unconstrained Rolling Shutter Correction</t>
  </si>
  <si>
    <t>https://openaccess.thecvf.com/content/CVPR2023/papers/Hamaguchi_Hierarchical_Neural_Memory_Network_for_Low_Latency_Event_Processing_CVPR_2023_paper.pdf</t>
  </si>
  <si>
    <t>Hierarchical Neural Memory Network for Low Latency Event Processing</t>
  </si>
  <si>
    <t>https://openaccess.thecvf.com/content/CVPR2023/papers/Huang_Progressive_Spatio-Temporal_Alignment_for_Efficient_Event-Based_Motion_Estimation_CVPR_2023_paper.pdf</t>
  </si>
  <si>
    <t>Progressive Spatio-temporal Alignment for Efficient Event-based Motion Estimation</t>
  </si>
  <si>
    <t>https://openaccess.thecvf.com/content/CVPR2023/papers/Lou_All-in-Focus_Imaging_From_Event_Focal_Stack_CVPR_2023_paper.pdf</t>
  </si>
  <si>
    <t>All-in-focus Imaging from Event Focal Stack</t>
  </si>
  <si>
    <t>https://openaccess.thecvf.com/content/CVPR2023/papers/Mei_Deep_Polarization_Reconstruction_With_PDAVIS_Events_CVPR_2023_paper.pdf</t>
  </si>
  <si>
    <t>Deep Polarization Reconstruction with PDAVIS Events</t>
  </si>
  <si>
    <t>https://openaccess.thecvf.com/content/CVPR2023/papers/Muglikar_Event-Based_Shape_From_Polarization_CVPR_2023_paper.pdf</t>
  </si>
  <si>
    <t>https://openaccess.thecvf.com/content/CVPR2023/papers/Nagata_Tangentially_Elongated_Gaussian_Belief_Propagation_for_Event-Based_Incremental_Optical_Flow_CVPR_2023_paper.pdf</t>
  </si>
  <si>
    <t>Tangentially Elongated Gaussian Belief Propagation for Event-based Incremental Optical Flow Estimation</t>
  </si>
  <si>
    <t>https://openaccess.thecvf.com/content/CVPR2023/papers/Yang_Learning_Event_Guided_High_Dynamic_Range_Video_Reconstruction_CVPR_2023_paper.pdf</t>
  </si>
  <si>
    <t>Learning Event Guided High Dynamic Range Video Reconstruction</t>
  </si>
  <si>
    <t>https://openaccess.thecvf.com/content/CVPR2023/papers/Zhang_Frame-Event_Alignment_and_Fusion_Network_for_High_Frame_Rate_Tracking_CVPR_2023_paper.pdf</t>
  </si>
  <si>
    <t>Frame-Event Alignment and Fusion Network for High Frame Rate Tracking</t>
  </si>
  <si>
    <t>https://openaccess.thecvf.com/content/CVPR2023/supplemental/Han_High-Fidelity_Event-Radiance_Recovery_CVPR_2023_supplemental.pdf</t>
  </si>
  <si>
    <t>High-fidelity Event-Radiance Recovery via Transient Event Frequency</t>
  </si>
  <si>
    <t>https://openaccess.thecvf.com/content/CVPR2023W/EventVision/html/Haessig_PDAVIS_Bio-Inspired_Polarization_Event_Camera_CVPRW_2023_paper.html</t>
  </si>
  <si>
    <t>https://openaccess.thecvf.com/content/CVPR2023W/EventVision/papers/Chaney_M3ED_Multi-Robot_Multi-Sensor_Multi-Environment_Event_Dataset_CVPRW_2023_paper.pdf</t>
  </si>
  <si>
    <t>https://openaccess.thecvf.com/content/CVPR2023W/EventVision/papers/Ercan_EVREAL_Towards_a_Comprehensive_Benchmark_and_Analysis_Suite_for_Event-Based_CVPRW_2023_paper.pdf</t>
  </si>
  <si>
    <t>https://openaccess.thecvf.com/content/CVPR2023W/EventVision/papers/Morgenstern_X-Maps_Direct_Depth_Lookup_for_Event-Based_Structured_Light_Systems_CVPRW_2023_paper.pdf</t>
  </si>
  <si>
    <t>https://openaccess.thecvf.com/content/CVPR2024/html/Hamann_Low-power_Continuous_Remote_Behavioral_Localization_with_Event_Cameras_CVPR_2024_paper.html</t>
  </si>
  <si>
    <t>https://openaccess.thecvf.com/content/CVPR2024/papers/Gao_An_N-Point_Linear_Solver_for_Line_and_Motion_Estimation_with_CVPR_2024_paper.pdf</t>
  </si>
  <si>
    <t>https://openaccess.thecvf.com/content/CVPR2024/papers/Gao_SD2EventSelf-supervised_Learning_of_Dynamic_Detectors_and_Contextual_Descriptors_for_Event_CVPR_2024_paper.pdf</t>
  </si>
  <si>
    <t>SD2Event: Self-supervised Learning of Dynamic Detectors and Contextual Descriptors for Event Cameras</t>
  </si>
  <si>
    <t>https://openaccess.thecvf.com/content/CVPR2024/papers/Jiang_EVS-assisted_Joint_Deblurring_Rolling-Shutter_Correction_and_Video_Frame_Interpolation_through_CVPR_2024_paper.pdf</t>
  </si>
  <si>
    <t>EVS-Assisted Joint Deblurring, Rolling-Shutter Correction and Video Frame Interpolation Through Sensor Inverse Modeling</t>
  </si>
  <si>
    <t>https://openaccess.thecvf.com/content/CVPR2024/papers/Li_3D_Feature_Tracking_via_Event_Camera_CVPR_2024_paper.pdf</t>
  </si>
  <si>
    <t>3D Feature Tracking at 250 FPS via Event Camera</t>
  </si>
  <si>
    <t>https://openaccess.thecvf.com/content/CVPR2024/papers/Liu_Video_Frame_Interpolation_via_Direct_Synthesis_with_the_Event-based_Reference_CVPR_2024_paper.pdf</t>
  </si>
  <si>
    <t>Video Frame Interpolation via Direct Synthesis with the Event-based Reference</t>
  </si>
  <si>
    <t>https://openaccess.thecvf.com/content/CVPR2024/papers/Luo_Efficient_Meshflow_and_Optical_Flow_Estimation_from_Event_Cameras_CVPR_2024_paper.pdf</t>
  </si>
  <si>
    <t>Efficient Meshflow and Optical Flow Estimation from Event Cameras</t>
  </si>
  <si>
    <t>https://openaccess.thecvf.com/content/CVPR2024W/MIPI/papers/Xu_DemosaicFormer_Coarse-to-Fine_Demosaicing_Network_for_HybridEVS_Camera_CVPRW_2024_paper.pdf</t>
  </si>
  <si>
    <t>https://openaccess.thecvf.com/content/CVPR2024W/WAD/html/Cocheteux_MULi-Ev_Maintaining_Unperturbed_LiDAR-Event_Calibration_CVPRW_2024_paper.html</t>
  </si>
  <si>
    <t>https://openaccess.thecvf.com/content/CVPR2025/papers/Dampfhoffer_Graph_Neural_Network_Combining_Event_Stream_and_Periodic_Aggregation_for_CVPR_2025_paper.pdf</t>
  </si>
  <si>
    <t>Graph Neural Network Combining Event Stream and Periodic Aggregation for Low-Latency Event-based Vision</t>
  </si>
  <si>
    <t>https://openaccess.thecvf.com/content/CVPR2025/papers/Li_Active_Event-based_Stereo_Vision_CVPR_2025_paper.pdf</t>
  </si>
  <si>
    <t>Active Event-based Stereo Vision</t>
  </si>
  <si>
    <t>https://openaccess.thecvf.com/content/CVPR2025/papers/Liu_EDCFlow_Exploring_Temporally_Dense_Difference_Maps_for_Event-based_Optical_Flow_CVPR_2025_paper.pdf</t>
  </si>
  <si>
    <t>EDCFlow: Exploring Temporally Dense Difference Maps for Event-based Optical Flow Estimation</t>
  </si>
  <si>
    <t>https://openaccess.thecvf.com/content/CVPR2025/papers/Xie_Diffusion-based_Event_Generation_for_High-Quality_Image_Deblurring_CVPR_2025_paper.pdf</t>
  </si>
  <si>
    <t>Diffusion-based Event Generation for High-Quality Image Deblurring</t>
  </si>
  <si>
    <t>https://openaccess.thecvf.com/content/CVPR2025W/EventVision/html/Aitsam_Event-Driven_Dynamic_Attention_for_Multi-Object_Tracking_on_Neuromorphic_Hardware_CVPRW_2025_paper.html</t>
  </si>
  <si>
    <t>Event-Driven Dynamic Attention for Multi-Object Tracking on Neuromorphic Hardware</t>
  </si>
  <si>
    <t>https://openaccess.thecvf.com/content/CVPR2025W/EventVision/html/Bose_Demo__Point-Feature_Tracking_for_Pixel_Processor_Arrays_CVPRW_2025_paper.html</t>
  </si>
  <si>
    <t>Demo : Point-Feature Tracking for Pixel Processor Arrays</t>
  </si>
  <si>
    <t>https://openaccess.thecvf.com/content/CVPR2025W/EventVision/html/Bulzomi_Real-Time_Pedestrian_Detection_at_the_Edge_on_a_Fully_Asynchronous_CVPRW_2025_paper.html</t>
  </si>
  <si>
    <t>Real-Time Pedestrian Detection at the Edge on a Fully Asynchronous Neuromorphic System</t>
  </si>
  <si>
    <t>https://openaccess.thecvf.com/content/CVPR2025W/EventVision/html/Cladera_Looking_into_the_Shadow_Recording_a_Total_Solar_Eclipse_with_CVPRW_2025_paper.html</t>
  </si>
  <si>
    <t>Looking into the Shadow: Recording a Total Solar Eclipse with High-resolution Event Cameras</t>
  </si>
  <si>
    <t>https://openaccess.thecvf.com/content/CVPR2025W/EventVision/html/Hoffmann_Live_Demonstration_NeuroTouch_-_A_Neuromorphic_Vision-based_Tactile_Sensor_for_CVPRW_2025_paper.html</t>
  </si>
  <si>
    <t>Live Demonstration: NeuroTouch - A Neuromorphic Vision-based Tactile Sensor for Real-Time Gesture Recognition</t>
  </si>
  <si>
    <t>https://openaccess.thecvf.com/content/CVPR2025W/EventVision/html/Sengupta_Quadrocular_Neuromorphic_Stereo_Triangulation_and_Asynchronous_Data_Fusion_for_3D_CVPRW_2025_paper.html</t>
  </si>
  <si>
    <t>Nanoparticle Diameter Measurements With Event Camera Tracking</t>
  </si>
  <si>
    <t>https://openaccess.thecvf.com/content/CVPR2025W/EventVision/html/Shiba_Augmented_Reality_Applications_Using_Active_Markers_With_An_Event_Camera_CVPRW_2025_paper.html</t>
  </si>
  <si>
    <t>Demo: Augmented Reality Applications Using Active Markers With An Event Camera</t>
  </si>
  <si>
    <t>https://openaccess.thecvf.com/content/CVPR2025W/EventVision/html/Tang_E-BARF_Bundle_Adjusting_Neural_Radiance_Fields_from_a_Moving_Event_CVPRW_2025_paper.html</t>
  </si>
  <si>
    <t>E-BARF: Bundle Adjusting Neural Radiance Fields from a Moving Event Camera</t>
  </si>
  <si>
    <t>https://openaccess.thecvf.com/content/CVPR2025W/EventVision/html/Valerdi_Best_Linear_Unbiased_Estimation_for_2D_and_3D_Flow_with_CVPRW_2025_paper.html</t>
  </si>
  <si>
    <t>Best Linear Unbiased Estimation for 2D and 3D Flow with Event-based Cameras</t>
  </si>
  <si>
    <t>https://openaccess.thecvf.com/content/CVPR2025W/EventVision/html/Wu_BRAT_Bidirectional_Relative_Positional_Attention_Transformer_for_Event-based_Eye_tracking_CVPRW_2025_paper.html</t>
  </si>
  <si>
    <t>BRAT: Bidirectional Relative Positional Attention Transformer for Event-based Eye tracking</t>
  </si>
  <si>
    <t>https://openaccess.thecvf.com/content/CVPR2025W/EventVision/html/Wzorek_Live_Demonstration_Real-time_event-data_processing_with_Graph_Convolutional_Neural_Networks_CVPRW_2025_paper.html</t>
  </si>
  <si>
    <t>Live Demonstration: Real-time event-data processing with Graph Convolutional Neural Networks and SoC FPGA</t>
  </si>
  <si>
    <t>https://openaccess.thecvf.com/content/CVPR2025W/EventVision/html/Zhang_Event-based_Tracking_and_Imaging_of_Randomly_Moving_Objects_in_Dense_CVPRW_2025_paper.html</t>
  </si>
  <si>
    <t>Event-based Tracking and Imaging of Randomly Moving Objects in Dense Dynamical Scattering Media</t>
  </si>
  <si>
    <t>https://openaccess.thecvf.com/content/CVPR2025W/EventVision/papers/Araghi_Making_Every_Event_Count_Balancing_Data_Efficiency_and_Accuracy_in_CVPRW_2025_paper.pdf</t>
  </si>
  <si>
    <t>https://openaccess.thecvf.com/content/CVPR2025W/EventVision/papers/Brebion_DELTA_Dense_Depth_from_Events_and_LiDAR_using_Transformers_Attention_CVPRW_2025_paper.pdf</t>
  </si>
  <si>
    <t>https://openaccess.thecvf.com/content/CVPR2025W/EventVision/papers/Girbau-Xalabarder_Probabilistic_Online_Event_Downsampling_CVPRW_2025_paper.pdf</t>
  </si>
  <si>
    <t>https://openaccess.thecvf.com/content/CVPR2025W/EventVision/papers/Shiba_Augmented_Reality_Applications_Using_Active_Markers_With_An_Event_Camera_CVPRW_2025_paper.pdf</t>
  </si>
  <si>
    <t>https://openaccess.thecvf.com/content/ICCV2021/html/Gu_The_Spatio-Temporal_Poisson_Point_Process_A_Simple_Model_for_the_ICCV_2021_paper.html</t>
  </si>
  <si>
    <t>The Spatio-Temporal Poisson Point Process: A Simple Model for the Alignment of Event Camera Data</t>
  </si>
  <si>
    <t>https://openaccess.thecvf.com/content/ICCV2021/html/Han_EvIntSR-Net_Event_Guided_Multiple_Latent_Frames_Reconstruction_and_Super-Resolution_ICCV_2021_paper.html</t>
  </si>
  <si>
    <t>EvIntSR-Net: Event Guided Multiple Latent Frames Reconstruction and Super-Resolution</t>
  </si>
  <si>
    <t>https://openaccess.thecvf.com/content/ICCV2021/html/Kim_N-ImageNet_Towards_Robust_Fine-Grained_Object_Recognition_With_Event_Cameras_ICCV_2021_paper.html</t>
  </si>
  <si>
    <t>N-ImageNet: Towards Robust, Fine-Grained Object Recognition With Event Cameras</t>
  </si>
  <si>
    <t>https://openaccess.thecvf.com/content/ICCV2021/html/Li_Event_Stream_Super-Resolution_via_Spatiotemporal_Constraint_Learning_ICCV_2021_paper.html</t>
  </si>
  <si>
    <t>Event Stream Super-Resolution via Spatiotemporal Constraint Learning</t>
  </si>
  <si>
    <t>https://openaccess.thecvf.com/content/ICCV2021/html/Li_Graph-Based_Asynchronous_Event_Processing_for_Rapid_Object_Recognition_ICCV_2021_paper.html</t>
  </si>
  <si>
    <t>Graph-Based Asynchronous Event Processing for Rapid Object Recognition</t>
  </si>
  <si>
    <t>https://openaccess.thecvf.com/content/ICCV2021/html/Mostafavi_Event-Intensity_Stereo_Estimating_Depth_by_the_Best_of_Both_Worlds_ICCV_2021_paper.html</t>
  </si>
  <si>
    <t>Event-Intensity Stereo: Estimating Depth by the Best of Both Worlds</t>
  </si>
  <si>
    <t>https://openaccess.thecvf.com/content/ICCV2021/html/Shang_Bringing_Events_Into_Video_Deblurring_With_Non-Consecutively_Blurry_Frames_ICCV_2021_paper.html</t>
  </si>
  <si>
    <t>Bringing Events Into Video Deblurring With Non-Consecutively Blurry Frames</t>
  </si>
  <si>
    <t>https://openaccess.thecvf.com/content/ICCV2021/html/Wang_An_Asynchronous_Kalman_Filter_for_Hybrid_Event_Cameras_ICCV_2021_paper.html</t>
  </si>
  <si>
    <t>https://openaccess.thecvf.com/content/ICCV2021/html/Wang_Dual_Transfer_Learning_for_Event-Based_End-Task_Prediction_via_Pluggable_Event_ICCV_2021_paper.html</t>
  </si>
  <si>
    <t>Dual Transfer Learning for Event-Based End-Task Prediction via Pluggable Event to Image Translation</t>
  </si>
  <si>
    <t>https://openaccess.thecvf.com/content/ICCV2021/html/Weng_Event-Based_Video_Reconstruction_Using_Transformer_ICCV_2021_paper.html</t>
  </si>
  <si>
    <t>Event-Based Video Reconstruction Using Transformer</t>
  </si>
  <si>
    <t>https://openaccess.thecvf.com/content/ICCV2021/html/Xu_Motion_Deblurring_With_Real_Events_ICCV_2021_paper.html</t>
  </si>
  <si>
    <t>Motion Deblurring With Real Events</t>
  </si>
  <si>
    <t>https://openaccess.thecvf.com/content/ICCV2021/html/Yao_Temporal-Wise_Attention_Spiking_Neural_Networks_for_Event_Streams_Classification_ICCV_2021_paper.html</t>
  </si>
  <si>
    <t>Temporal-Wise Attention Spiking Neural Networks for Event Streams Classification</t>
  </si>
  <si>
    <t>https://openaccess.thecvf.com/content/ICCV2021/html/Yu_Training_Weakly_Supervised_Video_Frame_Interpolation_With_Events_ICCV_2021_paper.html</t>
  </si>
  <si>
    <t>Training Weakly Supervised Video Frame Interpolation With Events</t>
  </si>
  <si>
    <t>https://openaccess.thecvf.com/content/ICCV2021/html/Zhang_Object_Tracking_by_Jointly_Exploiting_Frame_and_Event_Domain_ICCV_2021_paper.html</t>
  </si>
  <si>
    <t>Object Tracking by Jointly Exploiting Frame and Event Domain</t>
  </si>
  <si>
    <t>https://openaccess.thecvf.com/content/ICCV2021/html/Zhu_NeuSpike-Net_High_Speed_Video_Reconstruction_via_Bio-Inspired_Neuromorphic_Cameras_ICCV_2021_paper.html</t>
  </si>
  <si>
    <t>NeuSpike-Net: High Speed Video Reconstruction via Bio-Inspired Neuromorphic Cameras</t>
  </si>
  <si>
    <t>https://openaccess.thecvf.com/content/ICCV2021/html/Zou_EventHPE_Event-Based_3D_Human_Pose_and_Shape_Estimation_ICCV_2021_paper.html</t>
  </si>
  <si>
    <t>EventHPE: Event-Based 3D Human Pose and Shape Estimation</t>
  </si>
  <si>
    <t>https://openaccess.thecvf.com/content/ICCV2021/papers/Han_EvIntSR-Net_Event_Guided_Multiple_Latent_Frames_Reconstruction_and_Super-Resolution_ICCV_2021_paper.pdf</t>
  </si>
  <si>
    <t>https://openaccess.thecvf.com/content/ICCV2021/papers/Kim_N-ImageNet_Towards_Robust_Fine-Grained_Object_Recognition_With_Event_Cameras_ICCV_2021_paper.pdf</t>
  </si>
  <si>
    <t>https://openaccess.thecvf.com/content/ICCV2021/papers/Li_Event_Stream_Super-Resolution_via_Spatiotemporal_Constraint_Learning_ICCV_2021_paper.pdf</t>
  </si>
  <si>
    <t>https://openaccess.thecvf.com/content/ICCV2021/papers/Li_Graph-Based_Asynchronous_Event_Processing_for_Rapid_Object_Recognition_ICCV_2021_paper.pdf</t>
  </si>
  <si>
    <t>https://openaccess.thecvf.com/content/ICCV2021/papers/Wang_An_Asynchronous_Kalman_Filter_for_Hybrid_Event_Cameras_ICCV_2021_paper.pdf</t>
  </si>
  <si>
    <t>https://openaccess.thecvf.com/content/ICCV2021/papers/Zhang_Object_Tracking_by_Jointly_Exploiting_Frame_and_Event_Domain_ICCV_2021_paper.pdf</t>
  </si>
  <si>
    <t>https://openaccess.thecvf.com/content/ICCV2021/supplemental/Kim_N-ImageNet_Towards_Robust_ICCV_2021_supplemental.pdf</t>
  </si>
  <si>
    <t>https://openaccess.thecvf.com/content/ICCV2021W/GSP-CV/papers/Mondal_Moving_Object_Detection_for_Event-Based_Vision_Using_Graph_Spectral_Clustering_ICCVW_2021_paper.pdf</t>
  </si>
  <si>
    <t>Moving Object Detection for Event-Based Vision Using Graph Spectral Clustering</t>
  </si>
  <si>
    <t>ICCVW 2021</t>
  </si>
  <si>
    <t>https://openaccess.thecvf.com/content/ICCV2023/html/Cho_Non-Coaxial_Event-Guided_Motion_Deblurring_with_Spatial_Alignment_ICCV_2023_paper.html</t>
  </si>
  <si>
    <t>Non-Coaxial Event-Guided Motion Deblurring with Spatial Alignment</t>
  </si>
  <si>
    <t>https://openaccess.thecvf.com/content/ICCV2023/html/Jian_Unsupervised_Domain_Adaptation_for_Training_Event-Based_Networks_Using_Contrastive_Learning_ICCV_2023_paper.html</t>
  </si>
  <si>
    <t>https://openaccess.thecvf.com/content/ICCV2023/html/Liang_Coherent_Event_Guided_Low-Light_Video_Enhancement_ICCV_2023_paper.html</t>
  </si>
  <si>
    <t>Coherent Event Guided Low-Light Video Enhancement</t>
  </si>
  <si>
    <t>https://openaccess.thecvf.com/content/ICCV2023/html/Liu_TMA_Temporal_Motion_Aggregation_for_Event-based_Optical_Flow_ICCV_2023_paper.html</t>
  </si>
  <si>
    <t>TMA: Temporal Motion Aggregation for Event-based Optical Flow</t>
  </si>
  <si>
    <t>https://openaccess.thecvf.com/content/ICCV2023/html/Luo_Learning_Optical_Flow_from_Event_Camera_with_Rendered_Dataset_ICCV_2023_paper.html</t>
  </si>
  <si>
    <t>Learning Optical Flow from Event Camera with Rendered Dataset</t>
  </si>
  <si>
    <t>https://openaccess.thecvf.com/content/ICCV2023/html/Ma_Deformable_Neural_Radiance_Fields_using_RGB_and_Event_Cameras_ICCV_2023_paper.html</t>
  </si>
  <si>
    <t>Deformable Neural Radiance Fields using RGB and Event Cameras</t>
  </si>
  <si>
    <t>https://openaccess.thecvf.com/content/ICCV2023/html/Nunes_Time-to-Contact_Map_by_Joint_Estimation_of_Up-to-Scale_Inverse_Depth_and_ICCV_2023_paper.html</t>
  </si>
  <si>
    <t>Time-to-Contact Map by Joint Estimation of Up-to-Scale Inverse Depth and Global Motion using a Single Event Camera</t>
  </si>
  <si>
    <t>https://openaccess.thecvf.com/content/ICCV2023/html/Peng_GET_Group_Event_Transformer_for_Event-Based_Vision_ICCV_2023_paper.html</t>
  </si>
  <si>
    <t>GET: Group Event Transformer for Event-Based Vision</t>
  </si>
  <si>
    <t>https://openaccess.thecvf.com/content/ICCV2023/html/Ponghiran_Event-based_Temporally_Dense_Optical_Flow_Estimation_with_Sequential_Learning_ICCV_2023_paper.html</t>
  </si>
  <si>
    <t>Event-based Temporally Dense Optical Flow Estimation with Sequential Learning</t>
  </si>
  <si>
    <t>https://openaccess.thecvf.com/content/ICCV2023/html/Qi_E2NeRF_Event_Enhanced_Neural_Radiance_Fields_from_Blurry_Images_ICCV_2023_paper.html</t>
  </si>
  <si>
    <t>E2NeRF: Event Enhanced Neural Radiance Fields from Blurry Images</t>
  </si>
  <si>
    <t>https://openaccess.thecvf.com/content/ICCV2023/html/Wang_Unsupervised_Video_Deraining_with_An_Event_Camera_ICCV_2023_paper.html</t>
  </si>
  <si>
    <t>Unsupervised Video Deraining with An Event Camera</t>
  </si>
  <si>
    <t>https://openaccess.thecvf.com/content/ICCV2023/html/Wei_Temporal-Coded_Spiking_Neural_Networks_with_Dynamic_Firing_Threshold_Learning_with_ICCV_2023_paper.html</t>
  </si>
  <si>
    <t>Temporal-Coded Spiking Neural Networks with Dynamic Firing Threshold: Learning with Event-Driven Backpropagation</t>
  </si>
  <si>
    <t>https://openaccess.thecvf.com/content/ICCV2023/html/Yang_Event_Camera_Data_Pre-training_ICCV_2023_paper.html</t>
  </si>
  <si>
    <t>Event Camera Data Pre-training</t>
  </si>
  <si>
    <t>https://openaccess.thecvf.com/content/ICCV2023/html/Zhang_Generalizing_Event-Based_Motion_Deblurring_in_Real-World_Scenarios_ICCV_2023_paper.html</t>
  </si>
  <si>
    <t>Generalizing Event-Based Motion Deblurring in Real-World Scenarios</t>
  </si>
  <si>
    <t>https://openaccess.thecvf.com/content/ICCV2023/html/Zhu_Cross-Modal_Orthogonal_High-Rank_Augmentation_for_RGB-Event_Transformer-Trackers_ICCV_2023_paper.html</t>
  </si>
  <si>
    <t>Cross-Modal Orthogonal High-Rank Augmentation for RGB-Event Transformer-Trackers</t>
  </si>
  <si>
    <t>https://openaccess.thecvf.com/content/ICCV2023/papers/Gao_A_5-Point_Minimal_Solver_for_Event_Camera_Relative_Motion_Estimation_ICCV_2023_paper.pdf</t>
  </si>
  <si>
    <t>https://openaccess.thecvf.com/content/ICCV2025/html/Burkhardt_SuperEvent_Cross-Modal_Learning_of_Event-based_Keypoint_Detection_for_SLAM_ICCV_2025_paper.html</t>
  </si>
  <si>
    <t>https://openaccess.thecvf.com/content/ICCV2025/html/Mohammadi_TESPEC_Temporally-Enhanced_Self-Supervised_Pretraining_for_Event_Cameras_ICCV_2025_paper.html</t>
  </si>
  <si>
    <t>https://openaccess.thecvf.com/content/ICCV2025/papers/Su_A_Linear_N-Point_Solver_for_Structure_and_Motion_from_Asynchronous_ICCV_2025_paper.pdf</t>
  </si>
  <si>
    <t>https://openaccess.thecvf.com/content/ICCV2025W/NeVi/html/Bihl_Toward_Low-SWaP_Cognitive_Agents_Neuromorphic_Intelligence_and_FPGA-Based_Deployments_of_ICCVW_2025_paper.html</t>
  </si>
  <si>
    <t>Toward Low-SWaP Cognitive Agents: Neuromorphic Intelligence and FPGA-Based Deployments of Event Neural Networks</t>
  </si>
  <si>
    <t>https://openaccess.thecvf.com/content/ICCV2025W/NeVi/html/Hay_Comparing_Representations_for_Event_Camera-based_Visual_Object_Tracking_ICCVW_2025_paper.html</t>
  </si>
  <si>
    <t>Comparing Representations for Event Camera-based Visual Object Tracking</t>
  </si>
  <si>
    <t>https://openaccess.thecvf.com/content/ICCV2025W/NeVi/html/Howard_Enhancing_Event-Based_Optical_Camera_Communication_Via_Dynamic_Timing_Correction_ICCVW_2025_paper.html</t>
  </si>
  <si>
    <t>Enhancing Event-Based Optical Camera Communication Via Dynamic Timing Correction</t>
  </si>
  <si>
    <t>https://openaccess.thecvf.com/content/ICCV2025W/NeVi/html/Ikura_Lattice-allocated_Real-time_Line_Segment_Feature_Detection_and_Tracking_Using_Only_ICCVW_2025_paper.html</t>
  </si>
  <si>
    <t>https://openaccess.thecvf.com/content/ICCV2025W/NeVi/html/So_Neural_Ganglion_Sensors_Learning_Task-specific_Event_Cameras_Inspired_by_the_ICCVW_2025_paper.html</t>
  </si>
  <si>
    <t>Multimodal Neuromorphic Event-Frame Fusion in Domain-Generalized Vision Transformer for Dynamic Object Tracking</t>
  </si>
  <si>
    <t>https://openaccess.thecvf.com/content/ICCV2025W/NeVi/papers/Elms_Event-based_Spinning_Object_SLAM_ICCVW_2025_paper.pdf</t>
  </si>
  <si>
    <t>Event-based Spinning Object SLAM</t>
  </si>
  <si>
    <t>https://openaccess.thecvf.com/content/WACV2022/papers/Salvatore_Learned_Event-Based_Visual_Perception_for_Improved_Space_Object_Detection_WACV_2022_paper.pdf</t>
  </si>
  <si>
    <t>Learned Event-Based Visual Perception for Improved Space Object Detection</t>
  </si>
  <si>
    <t>WACV 2022</t>
  </si>
  <si>
    <t>https://openaccess.thecvf.com/content/WACV2022/papers/Stoffregen_Event-Based_Kilohertz_Eye_Tracking_Using_Coded_Differential_Lighting_WACV_2022_paper.pdf</t>
  </si>
  <si>
    <t>Event-Based Kilohertz Eye Tracking Using Coded Differential Lighting</t>
  </si>
  <si>
    <t>https://openaccess.thecvf.com/content/WACV2024/papers/Bhattacharya_EvDNeRF_Reconstructing_Event_Data_With_Dynamic_Neural_Radiance_Fields_WACV_2024_paper.pdf</t>
  </si>
  <si>
    <t>https://openaccess.thecvf.com/content/WACV2024/papers/Fox_Unsupervised_Event-Based_Video_Reconstruction_WACV_2024_paper.pdf</t>
  </si>
  <si>
    <t>Unsupervised Event-Based Video Reconstruction</t>
  </si>
  <si>
    <t>https://openaccess.thecvf.com/content/WACV2024/papers/Himmi_MS-EVS_Multispectral_Event-Based_Vision_for_Deep_Learning_Based_Face_Detection_WACV_2024_paper.pdf</t>
  </si>
  <si>
    <t>https://openaccess.thecvf.com/content/WACV2024/supplemental/Chen_Depth_From_Asymmetric_WACV_2024_supplemental.pdf</t>
  </si>
  <si>
    <t>Depth From Asymmetric Frame-Event Stereo: A Divide-and-Conquer Approach</t>
  </si>
  <si>
    <t>https://openaccess.thecvf.com/content/WACV2025/papers/Karmokar_Secrets_of_Edge-Informed_Contrast_Maximization_for_Event-Based_Vision_WACV_2025_paper.pdf</t>
  </si>
  <si>
    <t>https://openaccess.thecvf.com/content/WACV2025/papers/Yao_Event-Guided_Low-Light_Video_Semantic_Segmentation_WACV_2025_paper.pdf</t>
  </si>
  <si>
    <t>https://openaccess.thecvf.com/content/WACV2025W/EVGEN/papers/Kumar_Simple_Transformer_with_Single_Leaky_Neuron_for_Event_Vision_WACVW_2025_paper.pdf</t>
  </si>
  <si>
    <t>Simple Transformer with Single Leaky Neuron for Event Vision</t>
  </si>
  <si>
    <t>https://openaccess.thecvf.com/content/WACV2025W/EVGEN/papers/Park_Continuous_Histogram_for_Event-based_Vision_Camera_Systems_WACVW_2025_paper.pdf</t>
  </si>
  <si>
    <t>Continuous Histogram for Event-based Vision Camera Systems</t>
  </si>
  <si>
    <t>https://openaccess.thecvf.com/WACV2024</t>
  </si>
  <si>
    <t>MS-EVS: Multispectral Event-Based Vision for Deep Learning Based Face Detection</t>
  </si>
  <si>
    <t>https://openmv.io</t>
  </si>
  <si>
    <t>https://openmv.io/collections/cameras</t>
  </si>
  <si>
    <t>https://openmv.io/pages/about</t>
  </si>
  <si>
    <t>https://openmv.io/products/genx320-camera-module</t>
  </si>
  <si>
    <t>https://openmv.io/products/openmv-cam-h7-plus</t>
  </si>
  <si>
    <t>https://openmv.io/products/openmv-cam-rt</t>
  </si>
  <si>
    <t>https://openresearch-repository.anu.edu.au/bitstream/1885/216784/1/Scheerlinck_Thesis_2021.pdf</t>
  </si>
  <si>
    <t>https://openreview.net/forum?id=BqtoARyz7Y</t>
  </si>
  <si>
    <t>https://openreview.net/forum?id=bzGAELYOyL&amp;noteId=3xieLF0LBh</t>
  </si>
  <si>
    <t>Revisiting motion information for RGB-Event tracking with MOT philosophy</t>
  </si>
  <si>
    <t>https://openreview.net/forum?id=CNaiJRcX84</t>
  </si>
  <si>
    <t>S-TLLR: STDP-inspired Temporal Local Learning Rule for Spiking Neural Networks</t>
  </si>
  <si>
    <t>TMLR 2025</t>
  </si>
  <si>
    <t>https://openreview.net/forum?id=d4JmP1T45WE</t>
  </si>
  <si>
    <t>Training Spiking Neural Networks with Event-driven Backpropagation</t>
  </si>
  <si>
    <t>NeurIPS 2022</t>
  </si>
  <si>
    <t>https://openreview.net/forum?id=DH7DQCu1fC</t>
  </si>
  <si>
    <r>
      <rPr>
        <rFont val="Arial"/>
        <color theme="1"/>
        <sz val="10.0"/>
      </rPr>
      <t>Multi-Modal Indoor Dataset for Event-based Monocular Depth Estimation by Mobile Robots</t>
    </r>
  </si>
  <si>
    <t>https://openreview.net/forum?id=H4xO3doonl-</t>
  </si>
  <si>
    <t>Optimising Event-Driven Spiking Neural Network with Regularisation and Cutoff</t>
  </si>
  <si>
    <t>https://openreview.net/forum?id=hTxYJAKY85</t>
  </si>
  <si>
    <t>Learning Graph-embedded Key-event Back-tracing for Object Tracking in Event Clouds</t>
  </si>
  <si>
    <t>https://openreview.net/forum?id=JxQeCNabIy</t>
  </si>
  <si>
    <r>
      <rPr>
        <rFont val="Arial"/>
        <color theme="1"/>
        <sz val="10.0"/>
      </rPr>
      <t>Depth Estimation from Moving Stereo Event Cameras without Motion Cues</t>
    </r>
  </si>
  <si>
    <t>https://openreview.net/forum?id=mqCUxEsfsI</t>
  </si>
  <si>
    <r>
      <rPr>
        <rFont val="Arial"/>
        <color theme="1"/>
        <sz val="10.0"/>
      </rPr>
      <t>SPECTRA: Synchronized Stereo Event-Camera Driving Dataset for Diverse Perception Tasks</t>
    </r>
  </si>
  <si>
    <t>https://openreview.net/forum?id=Oc7PzozG2s</t>
  </si>
  <si>
    <r>
      <rPr>
        <rFont val="Arial"/>
        <color theme="1"/>
        <sz val="10.0"/>
      </rPr>
      <t>SCARF: A Set of Centre Active Receptive Fields for Velocity Invariant Event Representation</t>
    </r>
  </si>
  <si>
    <t>https://openreview.net/forum?id=oyzMyylgINj</t>
  </si>
  <si>
    <t>LT-SNN: Self-Adaptive Spiking Neural Network for Event-based Classification and Object Detection</t>
  </si>
  <si>
    <t>https://openreview.net/forum?id=P7h7UT9uDzb</t>
  </si>
  <si>
    <t>CBP-QSNN: Spiking Neural Networks Quantized Using Constrained Backpropagation</t>
  </si>
  <si>
    <t>https://openreview.net/forum?id=pWowK7jqok</t>
  </si>
  <si>
    <t>https://openreview.net/forum?id=qcFTezC4x9</t>
  </si>
  <si>
    <t>Event-based HDR Structured Light</t>
  </si>
  <si>
    <t>https://openreview.net/forum?id=SEfxlDwL7fR</t>
  </si>
  <si>
    <t>Temporally-Weighted Spike Encoding for Event-based Object Detection and Classification</t>
  </si>
  <si>
    <t>https://openreview.net/forum?id=udFZhUgtkI&amp;referrer=%5Bthe%20profile%20of%20Xiangyang%20Ji%5D(%2Fprofile%3Fid%3D~Xiangyang_Ji1)</t>
  </si>
  <si>
    <t>Learning Scale-Aware Spatio-temporal Implicit Representation for Event-based Motion Deblurring</t>
  </si>
  <si>
    <t>https://openreview.net/forum?id=YxuuzyplFZ</t>
  </si>
  <si>
    <t>https://openreview.net/forum?id=ZCStthyW-TD</t>
  </si>
  <si>
    <t>Associative Memory Augmented Asynchronous Spatiotemporal Representation Learning for Event-based Perception</t>
  </si>
  <si>
    <t>https://openreview.net/pdf?id=82bpTugrMt</t>
  </si>
  <si>
    <t>https://openreview.net/pdf?id=DBHCRrdsfi</t>
  </si>
  <si>
    <t>Effortless Event-Augmented Latent Diffusion for Video Frame Interpolation</t>
  </si>
  <si>
    <t>https://openreview.net/pdf?id=E3ZMsqdO0D</t>
  </si>
  <si>
    <t>Zero-Shot Event-Intensity Asymmetric Stereo via Visual Prompting from Image Domain</t>
  </si>
  <si>
    <t>https://openreview.net/pdf?id=hTxYJAKY85</t>
  </si>
  <si>
    <t>https://openreview.net/pdf?id=pWowK7jqok</t>
  </si>
  <si>
    <t>https://openreview.net/pdf?id=Zb3QO7HLIj</t>
  </si>
  <si>
    <t>FLAME: Fast Long-context Adaptive Memory for Event-based Vision</t>
  </si>
  <si>
    <t>https://openreview.net/pdf?id=ZQy6dGlBay</t>
  </si>
  <si>
    <t>A Benchmark Dataset for Event-Guided Human Pose Estimation and Tracking in Extreme Conditions</t>
  </si>
  <si>
    <t>https://openreview.net/pdf/08948ef0b14cbcadcce5570403a532c879e1f404.pdf</t>
  </si>
  <si>
    <t>Continuous Spatiotemporal Events Decoupling through Spike-based Bayesian Computation</t>
  </si>
  <si>
    <t>https://openreview.net/pdf/242f76b1dc8cfdb76699c27cab085008cce4c759.pdf</t>
  </si>
  <si>
    <t>EAG3R: Event-Augmented 3D Geometry Estimation for Dynamic and Extreme-Lighting Scenes</t>
  </si>
  <si>
    <t>https://openreview.net/pdf/4301eed89c6096729b86f7bfa82e7b0e35ddce15.pdf</t>
  </si>
  <si>
    <t>PASS: Path-selective State Space Model for Event-based Recognition</t>
  </si>
  <si>
    <t>https://openreview.net/pdf/559eee4a5b9499821edd9a0844b2f25dec883a46.pdf</t>
  </si>
  <si>
    <t>FlexEvent: Towards Flexible Event-Frame Object Detection at Varying Operational Frequencies</t>
  </si>
  <si>
    <t>https://openreview.net/pdf/a4ffe6d5c4bc0c8bea029c7e7dd531a37d955652.pdf</t>
  </si>
  <si>
    <t>Dense Metric Depth Estimation via Event-based Differential Focus Volume Prompting</t>
  </si>
  <si>
    <t>https://openreview.net/pdf/ba38507200ff943655bccd3db5735db18b7830d7.pdf</t>
  </si>
  <si>
    <t>EGSST: Event-based Graph Spatiotemporal Sensitive Transformer for Object Detection</t>
  </si>
  <si>
    <t>https://openreview.net/pdf/cc4eaeabc4ad5686aa702592dc45e87a141680d7.pdf</t>
  </si>
  <si>
    <t>Distil-E2D: Distilling Image-to-Depth Priors for Event-Based Monocular Depth Estimation</t>
  </si>
  <si>
    <t>https://openreview.net/pdf/cf1c15b6c260e523c456d99a32068df6e6dbc376.pdf</t>
  </si>
  <si>
    <t>EPA: Boosting Event-based Video Frame Interpolation with Perceptually Aligned Learning</t>
  </si>
  <si>
    <t>https://openreview.net/pdf/e835a861d6dc56ce776bdfd886b4655ecf5982a5.pdf</t>
  </si>
  <si>
    <t>PLEIADES: Building Temporal Kernels with Orthogonal Polynomials</t>
  </si>
  <si>
    <t>https://openreview.net/pdf/e92cccd4e31bcb7c87f8c3e8bd4c96238e66c3cd.pdf</t>
  </si>
  <si>
    <t>EventMG: Efficient Multilevel Mamba-Graph Learning for Spatiotemporal Event Representation</t>
  </si>
  <si>
    <t>https://openreview.net/pdf/ec37f44a01df8ff7d357ab005b444ff286524eba.pdf</t>
  </si>
  <si>
    <t>Rethinking Scale-Aware Temporal Encoding for Event-based Object Detection</t>
  </si>
  <si>
    <t>https://openreview.net/pdf/eecaed959b7bd0ceaa4a0fe64f4828f5a8f12500.pdf</t>
  </si>
  <si>
    <t>Re-coding for Uncertainties: Edge-awareness Semantic Concordance for Resilient Event-RGB Segmentation</t>
  </si>
  <si>
    <t>https://opg.optica.org/abstract.cfm?URI=3D-2022-3F2A.4</t>
  </si>
  <si>
    <t>3D Events with Stereoscopy with a single Dynamic Vision System</t>
  </si>
  <si>
    <t>Imaging and Applied Optics Congress 2022</t>
  </si>
  <si>
    <t>https://opg.optica.org/abstract.cfm?uri=ao-61-29-8826</t>
  </si>
  <si>
    <t>Non-uniform illumination underwater image enhancement via events and frame fusion</t>
  </si>
  <si>
    <t>Applied Optics 2022</t>
  </si>
  <si>
    <t>https://opg.optica.org/abstract.cfm?uri=ao-62-23-G128</t>
  </si>
  <si>
    <t>Reduced spatiotemporal bandwidth of motion stabilized event-based imaging sensors: experimental demonstration</t>
  </si>
  <si>
    <t>Appl Optics 2023</t>
  </si>
  <si>
    <t>https://opg.optica.org/abstract.cfm?uri=COSI-2022-CM4A.2</t>
  </si>
  <si>
    <t>Event-based automatic focusing under photon-limited conditions</t>
  </si>
  <si>
    <t>COSI 2022</t>
  </si>
  <si>
    <t>https://opg.optica.org/abstract.cfm?uri=oe-29-22-35864</t>
  </si>
  <si>
    <t>High-speed structured light based 3D scanning using an event camera</t>
  </si>
  <si>
    <t>Optics Express 2021</t>
  </si>
  <si>
    <t>https://opg.optica.org/ao/abstract.cfm?uri=ao-63-16-E35</t>
  </si>
  <si>
    <t>Convolutional neural network for improved event-based Shack-Hartmann wavefront reconstruction</t>
  </si>
  <si>
    <t>https://opg.optica.org/ao/abstract.cfm?uri=ao-64-14-3897</t>
  </si>
  <si>
    <t>E-3DGS: 3D Gaussian splatting with exposure and motion events</t>
  </si>
  <si>
    <t>AO 2025</t>
  </si>
  <si>
    <t>https://opg.optica.org/boe/abstract.cfm?URI=boe-15-9-5442</t>
  </si>
  <si>
    <t>Probing diffusive media through speckle differencing</t>
  </si>
  <si>
    <t>BOE 2024</t>
  </si>
  <si>
    <t>https://opg.optica.org/oe/abstract.cfm?uri=oe-33-18-38449</t>
  </si>
  <si>
    <t>https://opg.optica.org/oe/fulltext.cfm?uri=oe-32-9-15390&amp;id=548894</t>
  </si>
  <si>
    <t>Motion measurements of explosive shock waves based on an event camera</t>
  </si>
  <si>
    <t>https://opg.optica.org/optica/abstract.cfm?URI=optica-11-5-606</t>
  </si>
  <si>
    <t>Event-based x-ray imager with ghosting-free scintillator film</t>
  </si>
  <si>
    <t>Optica 2024</t>
  </si>
  <si>
    <t>https://orcid.org/0000-0002-3831-6778</t>
  </si>
  <si>
    <t>https://osapublishing.figshare.com/articles/media/Tearing_A_Piece_Of_Paper_120Fps_mp4/14984802</t>
  </si>
  <si>
    <t>https://paperguide.ai/papers/top/research-papers-neuromorphic-computing</t>
  </si>
  <si>
    <t>https://paperpile.com/?welcome</t>
  </si>
  <si>
    <t>https://paperpile.com/g/academic-research-databases/</t>
  </si>
  <si>
    <t>https://papers.nips.cc/paper/2020/file/c213877427b46fa96cff6c39e837ccee-Paper.pdf</t>
  </si>
  <si>
    <t>NeurIPS 2020</t>
  </si>
  <si>
    <t>https://papers.ssrn.com/sol3/papers.cfm?abstract_id=4264344</t>
  </si>
  <si>
    <t>Event-Based Micro Vibration Measurement Using Phase Correlation Template Matching with Event Filter Optimization</t>
  </si>
  <si>
    <t>https://paperswithcode.com/paper/denoising-distillation-makes-event-frame</t>
  </si>
  <si>
    <t>Denoising Distillation Makes Event-Frame Transformers as Accurate Gaze Trackers</t>
  </si>
  <si>
    <t>https://paperswithcode.com/task/event-based-vision/codeless</t>
  </si>
  <si>
    <t>https://par.nsf.gov/servlets/purl/10212648</t>
  </si>
  <si>
    <t>https://pdfs.semanticscholar.org/0453/c19ced72b649e0609f04cd861a75140ed734.pdf</t>
  </si>
  <si>
    <t>https://pdfs.semanticscholar.org/2a76/ebed789fdca9dc9e40dc412f6bba3cfa3ef2.pdf</t>
  </si>
  <si>
    <t>https://pear.wpi.edu/eventvision.html</t>
  </si>
  <si>
    <t>https://permalink.catalogplus.tuwien.at/AC05792670</t>
  </si>
  <si>
    <t>https://pfrommer.us</t>
  </si>
  <si>
    <t>https://pietrobonazzi.com/projects/retina</t>
  </si>
  <si>
    <t>https://play.google.com/store/books/details?id=nYbc2XTlweMC</t>
  </si>
  <si>
    <t>https://ppolon.github.io/paper/cvpr2022-eventstereo.pdf</t>
  </si>
  <si>
    <t>Stereo Depth from Events Cameras: Concentrate and Focus on the Future</t>
  </si>
  <si>
    <t>https://prg.cs.umd.edu/research/EVDodge_files/EVDodge.pdf</t>
  </si>
  <si>
    <t>https://proceedings.neurips.cc/paper/2021/hash/39d4b545fb02556829aab1db805021c3-Abstract.html</t>
  </si>
  <si>
    <t>https://prophesee.ai/):</t>
  </si>
  <si>
    <t>https://publik.tuwien.ac.at/files/PubDat_209369.pdf</t>
  </si>
  <si>
    <t>https://publikationen.bibliothek.kit.edu/1000122690</t>
  </si>
  <si>
    <t>https://pubmed.ncbi.nlm.nih.gov/39056885</t>
  </si>
  <si>
    <t>https://pubmed.ncbi.nlm.nih.gov/39374288/</t>
  </si>
  <si>
    <t>RGBE-Gaze: A Large-scale Event-based Multimodal Dataset for High Frequency Remote Gaze Tracking</t>
  </si>
  <si>
    <t>https://ras.papercept.net/proceedings/ICRA20/1523.pdf</t>
  </si>
  <si>
    <t>Asynchronous event-based clustering and tracking for intrusionmonitoring in UAS</t>
  </si>
  <si>
    <t>https://ras.papercept.net/proceedings/IROS20/1135.pdf</t>
  </si>
  <si>
    <t>IDOL: A Framework for IMU-DVS Odometry Using Lines</t>
  </si>
  <si>
    <t>https://ras.papercept.net/proceedings/IROS20/1193.pdf</t>
  </si>
  <si>
    <t>Unsupervised Learning of Dense Optical Flow, Depth and Egomotion with Event-Based Sensors</t>
  </si>
  <si>
    <t>https://ras.papercept.net/proceedings/IROS20/1350.pdf</t>
  </si>
  <si>
    <t>Event-based PID controller fully realized in neuromorphic hardware: a one DoF study</t>
  </si>
  <si>
    <t>https://ras.papercept.net/proceedings/IROS20/1490.pdf</t>
  </si>
  <si>
    <t>A Miniaturised Neuromorphic Tactile Sensor Integrated with an Anthropomorphic Robot Hand</t>
  </si>
  <si>
    <t>https://ras.papercept.net/proceedings/IROS20/2483.pdf</t>
  </si>
  <si>
    <t>AMAE: Adaptive Motion-Agnostic Encoder for Event-Based Object Classification</t>
  </si>
  <si>
    <t>https://ras.papercept.net/proceedings/IROS20/2654.pdf</t>
  </si>
  <si>
    <t>Evolved Neuromorphic Control for High Speed Divergence-Based Landings of MAVs</t>
  </si>
  <si>
    <t>https://rdcu.be/bQcGk</t>
  </si>
  <si>
    <t>https://repositorio.udec.cl/handle/11594/12414</t>
  </si>
  <si>
    <t>Optical modulation to enhance event rate detection by neuromorphic cameras in microscopy applications.</t>
  </si>
  <si>
    <t>https://repository.arizona.edu/handle/10150/668225</t>
  </si>
  <si>
    <t>Optically Enhancing Event-Based Vision</t>
  </si>
  <si>
    <t>MS Thesis 2023</t>
  </si>
  <si>
    <t>https://repository.tudelft.nl/file/File_66ea24ad-3a60-456f-b544-40b52b060a9d?preview=1</t>
  </si>
  <si>
    <t>Optimizing Event-Based Vision by Realizing Super-Resolution in Event-Space: an Experimental Approach</t>
  </si>
  <si>
    <t>MS Thesis 2022</t>
  </si>
  <si>
    <t>https://repository.upenn.edu/edissertations/3566</t>
  </si>
  <si>
    <t>https://repositum.tuwien.at/bitstream/20.500.12708/205844/1/Pechhacker%20Lukas%20-%202024%20-%20Stabilization%20of%20a%20rotary%20inverted%20pendulum%20with...pdf</t>
  </si>
  <si>
    <t>Stabilization of a Rotary Inverted Pendulum with Neuromorphic Vision Feedback</t>
  </si>
  <si>
    <t>Diplma Thesis 2024</t>
  </si>
  <si>
    <t>https://research.rug.nl/files/830806072/Complete_thesis.pdf</t>
  </si>
  <si>
    <t>Efficient Spiking and Artificial Neural Networks for Event Cameras</t>
  </si>
  <si>
    <t>PhD Thesis 2023</t>
  </si>
  <si>
    <t>https://research.tudelft.nl/en/publications/self-supervised-neuromorphic-perception-for-autonomous-flying-rob</t>
  </si>
  <si>
    <t>Self-Supervised Neuromorphic Perception for Autonomous Flying Robots</t>
  </si>
  <si>
    <t>https://resolver.obvsg.at/urn:nbn:at:at-ubtuw:1-2178</t>
  </si>
  <si>
    <t>https://ringoswchu.com/Research/iestereo</t>
  </si>
  <si>
    <t>https://robohub.org/event-cameras-an-evolution-in-visual-data-capture</t>
  </si>
  <si>
    <t>https://robotics.sciencemag.org/content/5/40/eaaz9712.full.pdf</t>
  </si>
  <si>
    <t>https://robotics.stackexchange.com/users/37550/bernd-pfrommer</t>
  </si>
  <si>
    <t>https://roboticsconference.org/program/papers/20</t>
  </si>
  <si>
    <t>https://roboticsconference.org/program/papers/74/</t>
  </si>
  <si>
    <t>Towards neuromorphic control: A spiking neural network based PID controller for UAV</t>
  </si>
  <si>
    <t>https://ros-aerial.github.io/aerial_robotic_landscape</t>
  </si>
  <si>
    <t>https://royalsocietypublishing.org/doi/10.1098/rstb.2021.0447</t>
  </si>
  <si>
    <t>https://rpg.ifi.uzh.ch</t>
  </si>
  <si>
    <t>https://rpg.ifi.uzh.ch/davis_data.html</t>
  </si>
  <si>
    <t>https://rpg.ifi.uzh.ch/docs/3DV21_Muglikar.pdf</t>
  </si>
  <si>
    <t>https://rpg.ifi.uzh.ch/docs/arxiv22_detection_mgehrig.pdf</t>
  </si>
  <si>
    <t>Recurrent Vision Transformers for Object Detection with Event Cameras</t>
  </si>
  <si>
    <t>https://rpg.ifi.uzh.ch/docs/arxiv22_Gehrig.pdf</t>
  </si>
  <si>
    <t>Are High-Resolution Event Cameras Really Needed?</t>
  </si>
  <si>
    <t>https://rpg.ifi.uzh.ch/docs/arxiv23_aydin.pdf</t>
  </si>
  <si>
    <t>https://rpg.ifi.uzh.ch/docs/CVPR2024_Zubic.pdf</t>
  </si>
  <si>
    <t>https://rpg.ifi.uzh.ch/docs/CVPR22_Hidalgo_poster.pdf</t>
  </si>
  <si>
    <t>https://rpg.ifi.uzh.ch/docs/CVPR22_Hidalgo.pdf</t>
  </si>
  <si>
    <t>https://rpg.ifi.uzh.ch/docs/CVPR22_Schaefer.pdf</t>
  </si>
  <si>
    <t>https://rpg.ifi.uzh.ch/docs/CVPR23_Messikommer.pdf</t>
  </si>
  <si>
    <t>https://rpg.ifi.uzh.ch/docs/CVPR23_mgehrig.pdf</t>
  </si>
  <si>
    <t>https://rpg.ifi.uzh.ch/docs/CVPR24_Cannici.pdf</t>
  </si>
  <si>
    <t>Mitigating Motion Blur in Neural Radiance Fields with Events and Frames</t>
  </si>
  <si>
    <t>https://rpg.ifi.uzh.ch/docs/CVPRW22_Messikommer.pdf</t>
  </si>
  <si>
    <t>https://rpg.ifi.uzh.ch/docs/ECCV22_Sun.pdf</t>
  </si>
  <si>
    <t>https://rpg.ifi.uzh.ch/docs/EventVisionSurvey.pdf</t>
  </si>
  <si>
    <t>https://rpg.ifi.uzh.ch/docs/ICRA23_Forrai.pdf</t>
  </si>
  <si>
    <t>https://rpg.ifi.uzh.ch/docs/IROS16_Kueng.pdf</t>
  </si>
  <si>
    <t>https://rpg.ifi.uzh.ch/docs/IROS21_Dietsche.pdf</t>
  </si>
  <si>
    <t>https://rpg.ifi.uzh.ch/docs/IROS24_Pellerito.pdf</t>
  </si>
  <si>
    <t>Deep Visual Odometry with Events and Frames</t>
  </si>
  <si>
    <t>https://rpg.ifi.uzh.ch/docs/PhD19_Rebecq.pdf</t>
  </si>
  <si>
    <t>https://rpg.ifi.uzh.ch/docs/RAL22_Mahlknecht.pdf</t>
  </si>
  <si>
    <t>https://rpg.ifi.uzh.ch/docs/RAL22_Messikommer.pdf</t>
  </si>
  <si>
    <t>https://rpg.ifi.uzh.ch/docs/scaramuzza/Tutorial_on_Event_Cameras_Scaramuzza.pdf</t>
  </si>
  <si>
    <t>https://rpg.ifi.uzh.ch/ECCV18_stereo_davis.html</t>
  </si>
  <si>
    <t>https://rpg.ifi.uzh.ch/people_scaramuzza.html</t>
  </si>
  <si>
    <t>https://rpg.ifi.uzh.ch/research_dvs.html</t>
  </si>
  <si>
    <t>https://s-space.snu.ac.kr/handle/10371/193115?mode=full</t>
  </si>
  <si>
    <t>Motion and Depth Estimation for Event and Frame Cameras</t>
  </si>
  <si>
    <t>https://scholar.afit.edu/cgi/viewcontent.cgi?article=4155&amp;context=etd</t>
  </si>
  <si>
    <t>https://scholar.afit.edu/cgi/viewcontent.cgi?article=6546&amp;context=etd</t>
  </si>
  <si>
    <t>Orbit Determination with Event-Based Cameras to Improve Space Domain Awareness</t>
  </si>
  <si>
    <t>https://scholar.afit.edu/etd/2276</t>
  </si>
  <si>
    <t>https://scholar.afit.edu/etd/3154</t>
  </si>
  <si>
    <t>https://scholar.afit.edu/etd/3172</t>
  </si>
  <si>
    <t>https://scholar.google.ch/scholar_url?url=https://amostech.com/TechnicalPapers/2023/Poster/McReynolds.pdf&amp;hl=en&amp;sa=X&amp;d=11635286184159606989&amp;ei=vvZhZY_MAYHmmwGUsJKIAg&amp;scisig=AFWwaealrHLLU49HNnjmtmbOMbRX&amp;oi=scholaralrt&amp;hist=v0_XxF0AAAAJ:6484293546035447077:AFWwaebNvcnVgvOCskl7QOOYZqbA&amp;html=&amp;pos=0&amp;folt=art</t>
  </si>
  <si>
    <t>Demystifying Event-based Vision Sensor Biasing to Optimize Signal to Noise for Space Domain Awareness</t>
  </si>
  <si>
    <t>AMOS 2023</t>
  </si>
  <si>
    <t>https://scholar.google.ch/scholar_url?url=https://arc.aiaa.org/doi/abs/10.2514/1.I011192&amp;hl=en&amp;sa=X&amp;d=10673150715927129466&amp;ei=wrQqZYrmEJf4yATevLRQ&amp;scisig=AFWwaeY_rA2SP_ZkX8IWHZs-pHef&amp;oi=scholaralrt&amp;hist=v0_XxF0AAAAJ:17352135249002958105:AFWwaeZp970N8Pd86PB_zmJCcxOU&amp;html=&amp;pos=0&amp;folt=art</t>
  </si>
  <si>
    <t>Radiation-Induced Noise Resilience of Neuromorphic Architectures</t>
  </si>
  <si>
    <t>JAIS 2023</t>
  </si>
  <si>
    <t>https://scholar.google.ch/scholar_url?url=https://arxiv.org/pdf/2507.15444&amp;hl=en&amp;sa=X&amp;d=3694696685259556550&amp;ei=8gOFaITkAu2rieoPwIj14QY&amp;scisig=AAZF9b_9RJrm72TDulEVIhUmtK7e&amp;oi=scholaralrt&amp;hist=v0_XxF0AAAAJ:13402937500258098519:AAZF9b-8IJSaTVEVLTNdUUV6_uYv&amp;html=&amp;pos=0&amp;folt=art</t>
  </si>
  <si>
    <t>Low-Latency Event-Based Velocimetry for Quadrotor Control in a Narrow Pipe</t>
  </si>
  <si>
    <t>https://scholar.google.ch/scholar_url?url=https://ieeexplore.ieee.org/abstract/document/10019443/&amp;hl=en&amp;sa=X&amp;d=6700584164827675120&amp;ei=hh7TY_SPGreSy9YPucOx2Aw&amp;scisig=AAGBfm0MXFZN6YptOVGXBRX_OMp5pL8mfQ&amp;oi=scholaralrt&amp;hist=v0_XxF0AAAAJ:6484293546035447077:AAGBfm1ksbWwXAYzYo37wnBoA_ijlFLNjw&amp;html=&amp;pos=0&amp;folt=art</t>
  </si>
  <si>
    <t>Energy-efficient activity-driven computing architectures for edge intelligence</t>
  </si>
  <si>
    <t>IEDM 2023</t>
  </si>
  <si>
    <t>https://scholar.google.com/citations?view_op=view_citation&amp;hl=en&amp;user=g6qJHUMAAAAJ&amp;citation_for_view=g6qJHUMAAAAJ:2osOgNQ5qMEC</t>
  </si>
  <si>
    <t>Sensing Diversity and Sparsity Models for Event Generation and Video Reconstruction from Events</t>
  </si>
  <si>
    <t>https://scholar.google.com/scholar_url?url=https://arxiv.org/pdf/2403.08928&amp;hl=en&amp;sa=X&amp;d=9259035990197292507&amp;ei=ebX2ZYTqLICb6rQPzNypyAE&amp;scisig=AFWwaeZrvsCtvSKI-8wTzEI8hoha&amp;oi=scholaralrt&amp;hist=v0_XxF0AAAAJ:8917174997265943156:AFWwaeapSw9ueJke5iCq-tjGCnVL&amp;html=&amp;pos=0&amp;folt=art</t>
  </si>
  <si>
    <t>Neuromorphic force-control in an industrial task: validating energy and latency benefits</t>
  </si>
  <si>
    <t>https://scholar.google.com/scholar_url?url=https://dl.acm.org/doi/pdf/10.1145/3589737.3605969&amp;hl=en&amp;sa=X&amp;d=12560069905266168196&amp;ei=BAXzZPiDPJn0yATE_oXICg&amp;scisig=AFWwaebHaVq1caxvzOGHiJKHiYg9&amp;oi=scholaralrt&amp;hist=v0_XxF0AAAAJ:3300864244365501560:AFWwaeZ8WnI60IJj7AVQwnsVrJq3&amp;html=&amp;pos=0&amp;folt=art</t>
  </si>
  <si>
    <t>A High-Throughput Low-Latency Interface Board for SpiNNaker-in-the-loop Real-Time Systems</t>
  </si>
  <si>
    <t>https://scholar.google.com/scholar_url?url=https://essopenarchive.org/doi/pdf/10.22541/au.170869833.38256576&amp;hl=en&amp;sa=X&amp;d=2080029798479582829&amp;ei=w4XdZcqFBoiu6rQPpZ-E4A8&amp;scisig=AFWwaeZes0-cmub6KOdrxO_sDwJk&amp;oi=scholaralrt&amp;hist=v0_XxF0AAAAJ:3569881818602551583:AFWwaebTGGDTyWrYirzCeB13pN8J&amp;html=&amp;pos=0&amp;folt=art</t>
  </si>
  <si>
    <t>Observations of Naturally Occurring Lightning with Event-Based Vision Sensors</t>
  </si>
  <si>
    <t>https://scholar.google.com/scholar_url?url=https://www.frontiersin.org/journals/remote-sensing/articles/10.3389/frsen.2024.1436898/abstract&amp;hl=en&amp;sa=X&amp;d=577010662842510694&amp;ei=HL3BZouwNvHhy9YP7YXOuAI&amp;scisig=AFWwaeYLgcJqU7Be9-Kh2Wu_9VdY&amp;oi=scholaralrt&amp;hist=v0_XxF0AAAAJ:3569881818602551583:AFWwaebTGGDTyWrYirzCeB13pN8J&amp;html=&amp;pos=0&amp;folt=art</t>
  </si>
  <si>
    <t>Falcon Neuro-Space-based observations of lightning using event-based sensors</t>
  </si>
  <si>
    <t>FRSEN 2024</t>
  </si>
  <si>
    <t>https://scholar.google.com/scholar_url?url=https://www.nature.com/articles/s42256-024-00846-2&amp;hl=en&amp;sa=X&amp;d=9044280886710455208&amp;ei=dbmAZpiLL-PTy9YPncyQqAs&amp;scisig=AFWwaea_xN2YlM6olZXFJuNtj3LC&amp;oi=scholaralrt&amp;hist=v0_XxF0AAAAJ:8917174997265943156:AFWwaeapSw9ueJke5iCq-tjGCnVL&amp;html=&amp;pos=0&amp;folt=art</t>
  </si>
  <si>
    <t>Visual odometry with neuromorphic resonator networks</t>
  </si>
  <si>
    <t>NMI 2024</t>
  </si>
  <si>
    <t>https://scholar.google.es/scholar_url?url=http://d-scholarship.pitt.edu/46047/1/Master%2520Thesis_Yi%2520Le.pdf&amp;hl=en&amp;sa=X&amp;d=7291981611974723401&amp;ei=kDFiZufTN_KJ6rQPoaWhkAQ&amp;scisig=AFWwaeb0f735kXUMRO0k-wn-le0s&amp;oi=scholaralrt&amp;hist=v0_XxF0AAAAJ:13742027118377625026:AFWwaebUHLr8wRJ2PrQQIxHyeXqg&amp;html=&amp;pos=3&amp;folt=cit&amp;fols=</t>
  </si>
  <si>
    <t>Dynamic Neural Fields Processing Using Temporal Dynamic Vision Sensing and Adaptive Threshold for Motion Tracking</t>
  </si>
  <si>
    <t>https://scholar.google.es/scholar_url?url=http://d-scholarship.pitt.edu/46596/1/Silbernagel_Master_Thesis.pdf&amp;hl=en&amp;sa=X&amp;d=2957843959637601514&amp;ei=gHzfZpO1AreNy9YPje6XuAo&amp;scisig=AFWwaeaKV_YcbP4iLouRsz6PVTJ-&amp;oi=scholaralrt&amp;hist=v0_XxF0AAAAJ:13742027118377625026:AFWwaebUHLr8wRJ2PrQQIxHyeXqg&amp;html=&amp;pos=2&amp;folt=cit&amp;fols=</t>
  </si>
  <si>
    <t>Flexible FPGA Acceleration Architecture for Real-Time Neuromorphic Optical Flow</t>
  </si>
  <si>
    <t>https://scholar.google.es/scholar_url?url=http://d-scholarship.pitt.edu/46676/1/MS_Thesis.pdf&amp;hl=en&amp;sa=X&amp;d=3713626709304882691&amp;ei=gHzfZpO1AreNy9YPje6XuAo&amp;scisig=AFWwaeZMKsFfwawbuyLMgbV0Kt7l&amp;oi=scholaralrt&amp;hist=v0_XxF0AAAAJ:13742027118377625026:AFWwaebUHLr8wRJ2PrQQIxHyeXqg&amp;html=&amp;pos=3&amp;folt=cit&amp;fols=</t>
  </si>
  <si>
    <t>Fault Mitigation for Spiking-Neural-Network Classification of Neuromorphic Event Streams with Radiation-Induced Noise</t>
  </si>
  <si>
    <t>https://scholar.google.es/scholar_url?url=http://repository.enp.edu.dz/jspui/bitstream/123456789/10546/1/FERHAT.hiba-el-batoul.pdf&amp;hl=en&amp;sa=X&amp;d=15845715701516310900&amp;ei=b5KYY4rLO4OdywTBrYWAAw&amp;scisig=AAGBfm0prDVZ2rmuRLDQiCPMCAclwN3NOg&amp;oi=scholaralrt&amp;hist=v0_XxF0AAAAJ:13742027118377625026:AAGBfm3UjufN_devjhEx0oELtR65UjD64A&amp;html=&amp;pos=0&amp;folt=cit&amp;fols=</t>
  </si>
  <si>
    <t>Spiking neural networks optimization</t>
  </si>
  <si>
    <t>BS Thesis 2022 (National Polytechnic School, Algeria)</t>
  </si>
  <si>
    <t>https://scholar.google.es/scholar_url?url=http://www.iri.upc.edu/files/scidoc/2723-Visual-event-based-egocentric-human-action-recognition.pdf&amp;hl=en&amp;sa=X&amp;d=1184541993855853851&amp;ei=ttgiZNdt-IfqtA-kk6iIBw&amp;scisig=AJ9-iYurcAtf7Ff_75Uul3d9CXXR&amp;oi=scholaralrt&amp;hist=v0_XxF0AAAAJ:13742027118377625026:AJ9-iYul-8LSola92fEXQwk5J1jm&amp;html=&amp;pos=1&amp;folt=cit&amp;fols=</t>
  </si>
  <si>
    <t>Event Vision in Egocentric Human Action Recognition</t>
  </si>
  <si>
    <t>https://scholar.google.es/scholar_url?url=https://amostech.com/TechnicalPapers/2023/Poster/Westerhout.pdf&amp;hl=en&amp;sa=X&amp;d=11729689041423096844&amp;ei=vvZhZZroAurBy9YPtoy_iA8&amp;scisig=AFWwaeY2FTaIfr-VJOWcSFM4oy0J&amp;oi=scholaralrt&amp;hist=v0_XxF0AAAAJ:13742027118377625026:AFWwaebUHLr8wRJ2PrQQIxHyeXqg&amp;html=&amp;pos=2&amp;folt=cit&amp;fols=</t>
  </si>
  <si>
    <t>Analysis of detection limits in event-based cameras for space situational awareness</t>
  </si>
  <si>
    <t>https://scholar.google.es/scholar_url?url=https://apps.ucu.edu.ua/wp-content/uploads/2025/11/phd_proposal_Varenyk.pdf&amp;hl=en&amp;sa=X&amp;d=8101564910872924269&amp;ei=EiYcaffmNubYieoPgtrwgQ0&amp;scisig=ABGrvjJuFjQWA56msi4k_0zHCNrq&amp;oi=scholaralrt&amp;hist=v0_XxF0AAAAJ:13742027118377625026:ABGrvjKBHUi6MFH_DtNclerNeAZe&amp;html=&amp;pos=0&amp;folt=cit&amp;fols=</t>
  </si>
  <si>
    <t>Improving event-based perception for high-speed environments</t>
  </si>
  <si>
    <t>PhD proposal 2025</t>
  </si>
  <si>
    <t>https://scholar.google.es/scholar_url?url=https://arxiv.org/pdf/2212.05236&amp;hl=en&amp;sa=X&amp;d=12765960131860993286&amp;ei=_1uaY5jCJY_mmgHY65XoDA&amp;scisig=AAGBfm3mM03xyccz8hZb-rPojflhJzdwnQ&amp;oi=scholaralrt&amp;hist=v0_XxF0AAAAJ:13742027118377625026:AAGBfm3UjufN_devjhEx0oELtR65UjD64A&amp;html=&amp;pos=0&amp;folt=cit&amp;fols=</t>
  </si>
  <si>
    <t>Neuromorphic Computing and Sensing in Space</t>
  </si>
  <si>
    <t>AI4Space book chapter by CRC press 2023</t>
  </si>
  <si>
    <t>https://scholar.google.es/scholar_url?url=https://arxiv.org/pdf/2212.07350&amp;hl=en&amp;sa=X&amp;d=13620560618383725582&amp;ei=aI6dY7H7L8aSy9YPkY62oAg&amp;scisig=AAGBfm3kQO0HhdTmPvQwnsCcDOk3P39Nig&amp;oi=scholaralrt&amp;hist=v0_XxF0AAAAJ:13742027118377625026:AAGBfm3UjufN_devjhEx0oELtR65UjD64A&amp;html=&amp;pos=4&amp;folt=cit&amp;fols=</t>
  </si>
  <si>
    <t>A Fast Geometric Regularizer to Mitigate Event Collapse in the Contrast Maximization Framework</t>
  </si>
  <si>
    <t>https://scholar.google.es/scholar_url?url=https://arxiv.org/pdf/2302.03860&amp;hl=en&amp;sa=X&amp;d=10553781705945001099&amp;ei=1m_nY7G2FIjQmQHDkoS4BA&amp;scisig=AAGBfm1t81DhCKmTxzBDviBv0OtXBNHRBg&amp;oi=scholaralrt&amp;hist=v0_XxF0AAAAJ:198837818532394236:AAGBfm3qe8R6xgugRn4Ir9dLExqv-Y_cuA&amp;html=&amp;pos=0&amp;folt=rel&amp;fols=</t>
  </si>
  <si>
    <t>EVEN: An Event-Based Framework for Monocular Depth Estimation at Adverse Night Conditions</t>
  </si>
  <si>
    <t>https://scholar.google.es/scholar_url?url=https://arxiv.org/pdf/2302.04177&amp;hl=en&amp;sa=X&amp;d=9444219803646863477&amp;ei=1m_nY7G2FIjQmQHDkoS4BA&amp;scisig=AAGBfm2Q3cO_J1XHJdaT0dIXbjQnEdGC4Q&amp;oi=scholaralrt&amp;hist=v0_XxF0AAAAJ:198837818532394236:AAGBfm3qe8R6xgugRn4Ir9dLExqv-Y_cuA&amp;html=&amp;pos=1&amp;folt=rel&amp;fols=</t>
  </si>
  <si>
    <t>A Dynamic Graph CNN with Cross-Representation Distillation for Event-Based Recognition</t>
  </si>
  <si>
    <t>https://scholar.google.es/scholar_url?url=https://arxiv.org/pdf/2302.06301&amp;hl=en&amp;sa=X&amp;d=17683179611099070306&amp;ei=GznuY4bPGtCAmAGF-oL4CA&amp;scisig=AAGBfm1dzqJAG8XoETy8dynrAZnLB4bM8w&amp;oi=scholaralrt&amp;hist=v0_XxF0AAAAJ:13742027118377625026:AAGBfm3UjufN_devjhEx0oELtR65UjD64A&amp;html=&amp;pos=4&amp;folt=cit&amp;fols=</t>
  </si>
  <si>
    <t>A Neuromorphic Dataset for Object Segmentation in Indoor Cluttered Environment</t>
  </si>
  <si>
    <t>https://scholar.google.es/scholar_url?url=https://arxiv.org/pdf/2303.02608&amp;hl=en&amp;sa=X&amp;d=13609885754996284356&amp;ei=_vEJZOXuBo7gygSPuIegDA&amp;scisig=AAGBfm3cJY4z6aY_Ukbw8kF4CFWmErwjAg&amp;oi=scholaralrt&amp;hist=v0_XxF0AAAAJ:13742027118377625026:AAGBfm3UjufN_devjhEx0oELtR65UjD64A&amp;html=&amp;pos=2&amp;folt=cit&amp;fols=</t>
  </si>
  <si>
    <t>Event-based Camera Simulation using Monte Carlo Path Tracing with Adaptive Denoising</t>
  </si>
  <si>
    <t>https://scholar.google.es/scholar_url?url=https://arxiv.org/pdf/2303.13077&amp;hl=en&amp;sa=X&amp;d=14332126100463783016&amp;ei=ttgiZNdt-IfqtA-kk6iIBw&amp;scisig=AJ9-iYun5bR7Wcby_zd2S4f1kQ5j&amp;oi=scholaralrt&amp;hist=v0_XxF0AAAAJ:13742027118377625026:AJ9-iYul-8LSola92fEXQwk5J1jm&amp;html=&amp;pos=2&amp;folt=cit&amp;fols=</t>
  </si>
  <si>
    <t>Improving the Performance of Spiking Neural Networks on Event-based Datasets with Knowledge Transfer</t>
  </si>
  <si>
    <t>https://scholar.google.es/scholar_url?url=https://arxiv.org/pdf/2303.14176&amp;hl=en&amp;sa=X&amp;d=15169261428740003897&amp;ei=AnslZKOhOYTgmgH8tIrQBA&amp;scisig=AJ9-iYtlbskCjjpp2Ex8QSTkMnk-&amp;oi=scholaralrt&amp;hist=v0_XxF0AAAAJ:13742027118377625026:AJ9-iYul-8LSola92fEXQwk5J1jm&amp;html=&amp;pos=3&amp;folt=cit&amp;fols=</t>
  </si>
  <si>
    <t>A Hybrid ANN-SNN Architecture for Low-Power and Low-Latency Visual Perception</t>
  </si>
  <si>
    <t>https://scholar.google.es/scholar_url?url=https://arxiv.org/pdf/2307.01694&amp;hl=en&amp;sa=X&amp;d=6183854208515620494&amp;ei=eo-oZOnZMKSK6rQPhqKGiAE&amp;scisig=ABFrs3xCevgAU9md3oEmNx1_C5s-&amp;oi=scholaralrt&amp;hist=v0_XxF0AAAAJ:13742027118377625026:ABFrs3wmzmYwkdiX_1n7Cp8GQyah&amp;html=&amp;pos=4&amp;folt=cit&amp;fols=</t>
  </si>
  <si>
    <t>Spike-driven Transformer</t>
  </si>
  <si>
    <t>https://scholar.google.es/scholar_url?url=https://arxiv.org/pdf/2307.14177&amp;hl=en&amp;sa=X&amp;d=2889575562278389874&amp;ei=XkjFZIXzCpCMy9YPsKOeoA4&amp;scisig=ABFrs3znLF3uvP8Wnb0V_6hXX_o5&amp;oi=scholaralrt&amp;hist=v0_XxF0AAAAJ:13742027118377625026:ABFrs3wmzmYwkdiX_1n7Cp8GQyah&amp;html=&amp;pos=6&amp;folt=cit&amp;fols=</t>
  </si>
  <si>
    <t>High-definition event frame generation using SoC FPGA devices</t>
  </si>
  <si>
    <t>https://scholar.google.es/scholar_url?url=https://arxiv.org/pdf/2307.14332&amp;hl=en&amp;sa=X&amp;d=2220306890413996716&amp;ei=XkjFZNzPBpaAy9YPoJCYsAk&amp;scisig=ABFrs3xuVpzjRgEz2EezHcDXh_7g&amp;oi=scholaralrt&amp;hist=v0_XxF0AAAAJ:198837818532394236:ABFrs3xMKCIfhEZJbbWSRf0pgf1p&amp;html=&amp;pos=2&amp;folt=rel&amp;fols=</t>
  </si>
  <si>
    <t>Event-based Vision for Early Prediction of Manipulation Actions</t>
  </si>
  <si>
    <t>https://scholar.google.es/scholar_url?url=https://arxiv.org/pdf/2309.01361&amp;hl=en&amp;sa=X&amp;d=6723752098354544883&amp;ei=NmT8ZMXTN42GmwG-qrGIDg&amp;scisig=AFWwaeagpDGydPHyOMEsmBF1o3X7&amp;oi=scholaralrt&amp;hist=v0_XxF0AAAAJ:13742027118377625026:AFWwaebUHLr8wRJ2PrQQIxHyeXqg&amp;html=&amp;pos=3&amp;folt=cit&amp;fols=</t>
  </si>
  <si>
    <t>High Frequency, High Accuracy Pointing onboard Nanosats using Neuromorphic Event Sensing and Piezoelectric Actuation</t>
  </si>
  <si>
    <t>https://scholar.google.es/scholar_url?url=https://arxiv.org/pdf/2310.00564&amp;hl=en&amp;sa=X&amp;d=7291598028499797625&amp;ei=NI4hZYHFBvq8y9YPofu3kAc&amp;scisig=AFWwaebW4_gjnUobh1F5UYr0gBsY&amp;oi=scholaralrt&amp;hist=v0_XxF0AAAAJ:13742027118377625026:AFWwaebUHLr8wRJ2PrQQIxHyeXqg&amp;html=&amp;pos=1&amp;folt=cit&amp;fols=</t>
  </si>
  <si>
    <t>DYNAP-SE2: a scalable multi-core dynamic neuromorphic asynchronous spiking neural network processor</t>
  </si>
  <si>
    <t>Neuromorphic Computing And Engineering 2024</t>
  </si>
  <si>
    <t>https://scholar.google.es/scholar_url?url=https://arxiv.org/pdf/2311.03422&amp;hl=en&amp;sa=X&amp;d=2314270030073796748&amp;ei=J-ZPZfS4Gov0mgHazZuwDA&amp;scisig=AFWwaeaZOtSTcY5PUyadAEWf8mN-&amp;oi=scholaralrt&amp;hist=v0_XxF0AAAAJ:13742027118377625026:AFWwaebUHLr8wRJ2PrQQIxHyeXqg&amp;html=&amp;pos=3&amp;folt=cit&amp;fols=</t>
  </si>
  <si>
    <t>Efficient and Low-Footprint Object Classification using Spatial Contrast</t>
  </si>
  <si>
    <t>https://scholar.google.es/scholar_url?url=https://arxiv.org/pdf/2312.11128&amp;hl=en&amp;sa=X&amp;d=16048149660374993673&amp;ei=BJSEZaeaLJesy9YPuLmWmAo&amp;scisig=AFWwaebh6YwAe7mu5gkEwnu42AMQ&amp;oi=scholaralrt&amp;hist=v0_XxF0AAAAJ:13742027118377625026:AFWwaebUHLr8wRJ2PrQQIxHyeXqg&amp;html=&amp;pos=3&amp;folt=cit&amp;fols=</t>
  </si>
  <si>
    <t>Unleashing the Power of CNN and Transformer for Balanced RGB-Event Video Recognition</t>
  </si>
  <si>
    <t>https://scholar.google.es/scholar_url?url=https://arxiv.org/pdf/2312.14157&amp;hl=en&amp;sa=X&amp;d=16544554491880445944&amp;ei=QNmKZaueIKGJ6rQP9_y8yAg&amp;scisig=AFWwaeam-oahYEeZYW_CqynzCuhP&amp;oi=scholaralrt&amp;hist=v0_XxF0AAAAJ:13742027118377625026:AFWwaebUHLr8wRJ2PrQQIxHyeXqg&amp;html=&amp;pos=1&amp;folt=cit&amp;fols=</t>
  </si>
  <si>
    <t>3D Pose Estimation of Two Interacting Hands from a Monocular Event Camera</t>
  </si>
  <si>
    <t>https://scholar.google.es/scholar_url?url=https://arxiv.org/pdf/2402.11662&amp;hl=en&amp;sa=X&amp;d=17306407933195566137&amp;ei=gyPXZbuMFYHOy9YPxPy7gAg&amp;scisig=AFWwaebBcBj6Na9IsnQeaXQyAUxY&amp;oi=scholaralrt&amp;hist=v0_XxF0AAAAJ:13742027118377625026:AFWwaebUHLr8wRJ2PrQQIxHyeXqg&amp;html=&amp;pos=0&amp;folt=cit&amp;fols=</t>
  </si>
  <si>
    <t>TDE-3: An improved prior for optical flow computation in spiking neural networks</t>
  </si>
  <si>
    <t>https://scholar.google.es/scholar_url?url=https://arxiv.org/pdf/2404.07656&amp;hl=en&amp;sa=X&amp;d=16906991659074764058&amp;ei=5HocZg-jisvWD-GQmvAK&amp;scisig=AFWwaebG92BNwhJ8b4V7pErnZgA0&amp;oi=scholaralrt&amp;hist=v0_XxF0AAAAJ:13742027118377625026:AFWwaebUHLr8wRJ2PrQQIxHyeXqg&amp;html=&amp;pos=1&amp;folt=cit&amp;fols=</t>
  </si>
  <si>
    <t>Re-Interpreting the Step-Response Probability Curve to Extract Fundamental Physical Parameters of Event-based Vision Sensors</t>
  </si>
  <si>
    <t>https://scholar.google.es/scholar_url?url=https://arxiv.org/pdf/2405.04867&amp;hl=en&amp;sa=X&amp;d=17022434904411876938&amp;ei=hOw_ZoaEIorSy9YPnN2NoAw&amp;scisig=AFWwaeb-zJ9odyYI9idj64BFuD0V&amp;oi=scholaralrt&amp;hist=v0_XxF0AAAAJ:13742027118377625026:AFWwaebUHLr8wRJ2PrQQIxHyeXqg&amp;html=&amp;pos=1&amp;folt=cit&amp;fols=</t>
  </si>
  <si>
    <t>MIPI 2024 Challenge on Demosaic for HybridEVS Camera: Methods and Results</t>
  </si>
  <si>
    <t>https://scholar.google.es/scholar_url?url=https://arxiv.org/pdf/2405.12179&amp;hl=en&amp;sa=X&amp;d=2712965322226754319&amp;ei=SbpPZvqIL8OJ6rQPyua5mAQ&amp;scisig=AFWwaeaLdAdydHiO3FuqzjM3NWOG&amp;oi=scholaralrt&amp;hist=v0_XxF0AAAAJ:13742027118377625026:AFWwaebUHLr8wRJ2PrQQIxHyeXqg&amp;html=&amp;pos=3&amp;folt=cit&amp;fols=</t>
  </si>
  <si>
    <t>Building Temporal Kernels with Orthogonal Polynomials</t>
  </si>
  <si>
    <t>https://scholar.google.es/scholar_url?url=https://arxiv.org/pdf/2405.18880&amp;hl=en&amp;sa=X&amp;d=4676989160129631805&amp;ei=SoJbZq-jFqOZy9YPhZ6Y8A0&amp;scisig=AFWwaebl-4Cr5zvcFlNrPanr1sJ3&amp;oi=scholaralrt&amp;hist=v0_XxF0AAAAJ:198837818532394236:AFWwaeZmMyKvHQIW44XNBFyAPl1L&amp;html=&amp;pos=2&amp;folt=rel&amp;fols=</t>
  </si>
  <si>
    <t>EventZoom: A Progressive Approach to Event-Based Data Augmentation for Enhanced Neuromorphic Vision</t>
  </si>
  <si>
    <t>https://scholar.google.es/scholar_url?url=https://arxiv.org/pdf/2407.19566&amp;hl=en&amp;sa=X&amp;d=624382221016099179&amp;ei=D4KsZtenH-O86rQP0ZmP8QY&amp;scisig=AFWwaeYCgvEgrSR6rfwl8F8ryRr6&amp;oi=scholaralrt&amp;hist=v0_XxF0AAAAJ:13742027118377625026:AFWwaebUHLr8wRJ2PrQQIxHyeXqg&amp;html=&amp;pos=0&amp;folt=cit&amp;fols=</t>
  </si>
  <si>
    <t>Rouser: Robust SNN training using adaptive threshold learning</t>
  </si>
  <si>
    <t>https://scholar.google.es/scholar_url?url=https://arxiv.org/pdf/2409.16554&amp;hl=en&amp;sa=X&amp;d=7408604708328230604&amp;ei=T7r4ZvDiFKyCy9YPseaHkQg&amp;scisig=AFWwaebdX1zoHPnhGjYdcvex4Wk-&amp;oi=scholaralrt&amp;hist=v0_XxF0AAAAJ:198837818532394236:AFWwaeZmMyKvHQIW44XNBFyAPl1L&amp;html=&amp;pos=4&amp;folt=rel&amp;fols=</t>
  </si>
  <si>
    <t>EMIT-Event-Based Masked Auto Encoding for Irregular Time Series</t>
  </si>
  <si>
    <t>https://scholar.google.es/scholar_url?url=https://arxiv.org/pdf/2409.16953&amp;hl=en&amp;sa=X&amp;d=10455732522275957752&amp;ei=T7r4Ztq0F4uDy9YP5e7h-QY&amp;scisig=AFWwaeaODdxpdE1QuJvvYUbdQePy&amp;oi=scholaralrt&amp;hist=v0_XxF0AAAAJ:13742027118377625026:AFWwaebUHLr8wRJ2PrQQIxHyeXqg&amp;html=&amp;pos=0&amp;folt=cit&amp;fols=</t>
  </si>
  <si>
    <t>Path-adaptive Spatio-Temporal State Space Model for Event-based Recognition with Arbitrary Duration</t>
  </si>
  <si>
    <t>https://scholar.google.es/scholar_url?url=https://arxiv.org/pdf/2506.21324&amp;hl=en&amp;sa=X&amp;d=3388516431708129550&amp;ei=UrtkaO6lNIOuieoPqtaP6Ag&amp;scisig=AAZF9b9Ez_DJzkMbS_C63yAycAEc&amp;oi=scholaralrt&amp;hist=v0_XxF0AAAAJ:13742027118377625026:AAZF9b802AK2JmjOJ6sFwAbOS06D&amp;html=&amp;pos=2&amp;folt=cit&amp;fols=</t>
  </si>
  <si>
    <t>Stochastic Quantum Spiking Neural Networks with Quantum Memory and Local Learning</t>
  </si>
  <si>
    <t>https://scholar.google.es/scholar_url?url=https://arxiv.org/pdf/2507.02200&amp;hl=en&amp;sa=X&amp;d=15263749680233374321&amp;ei=dOJqaPa6D66l6rQP7MCumQ8&amp;scisig=AAZF9b_6lbPwAPZSUvOZQRMGL6vN&amp;oi=scholaralrt&amp;hist=v0_XxF0AAAAJ:13742027118377625026:AAZF9b802AK2JmjOJ6sFwAbOS06D&amp;html=&amp;pos=1&amp;folt=cit&amp;fols=</t>
  </si>
  <si>
    <t>ESTR-CoT: Towards Explainable and Accurate Event Stream based Scene Text Recognition with Chain-of-Thought Reasoning</t>
  </si>
  <si>
    <t>https://scholar.google.es/scholar_url?url=https://bileboul.github.io/portfolio/ressources/semester%2520project/semster_project%2520(2).pdf&amp;hl=en&amp;sa=X&amp;d=6352664903026054408&amp;ei=4cJCZ9HkD-G86rQP-4Db8Qo&amp;scisig=AFWwaeZfHO4QQTefnp3fCn-dV0x0&amp;oi=scholaralrt&amp;hist=v0_XxF0AAAAJ:13742027118377625026:AFWwaebUHLr8wRJ2PrQQIxHyeXqg&amp;html=&amp;pos=3&amp;folt=cit&amp;fols=</t>
  </si>
  <si>
    <t>Beyond the Smile: Capturing Micro Expressions with Event-based Vision</t>
  </si>
  <si>
    <t>semester project 2024</t>
  </si>
  <si>
    <t>https://scholar.google.es/scholar_url?url=https://books.google.es/books%3Fhl%3Den%26lr%3Dlang_en%26id%3DDaQUEQAAQBAJ%26oi%3Dfnd%26pg%3DPR7%26ots%3Dfmlwb067w4%26sig%3DKlN8xpjy7nQ8jxX02a7GQq30dbY&amp;hl=en&amp;sa=X&amp;d=1792064482138189870&amp;ei=P6GdZp_0M66G6rQPtIXh6QU&amp;scisig=AFWwaeYFtNMv6M_huKISLxRda_DO&amp;oi=scholaralrt&amp;hist=v0_XxF0AAAAJ:198837818532394236:AFWwaeZmMyKvHQIW44XNBFyAPl1L&amp;html=&amp;pos=3&amp;folt=rel&amp;fols=</t>
  </si>
  <si>
    <t>Neuromorphic Solutions for Sensor Fusion and Continual Learning Systems: Applications in Drone Navigation and Radar Sensing</t>
  </si>
  <si>
    <t>book 2024</t>
  </si>
  <si>
    <t>https://scholar.google.es/scholar_url?url=https://books.google.es/books%3Fhl%3Den%26lr%3Dlang_en%26id%3De8yeEQAAQBAJ%26oi%3Dfnd%26pg%3DPA138%26ots%3DqsjQLzHeZK%26sig%3DkWtH77XzRt0utTw5y315Ct39ouA&amp;hl=en&amp;sa=X&amp;d=11383179042696922972&amp;ei=JmJAaaqbEP3D6rQP75fFuQs&amp;scisig=ALhkC2TV-0Q8yf-M6iW1KJy4nyfr&amp;oi=scholaralrt&amp;hist=v0_XxF0AAAAJ:13742027118377625026:ALhkC2RovGTtfNVMcZ_lgjoSmJ9_&amp;html=&amp;pos=2&amp;folt=cit&amp;fols=</t>
  </si>
  <si>
    <t>Effective Structural Health Monitoring of Rotating Propellers using Asynchronous Neuromorphic Tracking</t>
  </si>
  <si>
    <t>IMAC 2025</t>
  </si>
  <si>
    <t>https://scholar.google.es/scholar_url?url=https://books.google.es/books%3Fhl%3Den%26lr%3Dlang_en%26id%3DGiU0EQAAQBAJ%26oi%3Dfnd%26pg%3DPA99%26ots%3DVCXorzfTJ0%26sig%3DsOpPvFdu9Gdw7KQWTgko9nXOpNs&amp;hl=en&amp;sa=X&amp;d=3769507745678105208&amp;ei=jfZLZ7HkG6Ox6rQPwdys2AM&amp;scisig=AFWwaebH2C29tBWzCSIEfaIcw0wR&amp;oi=scholaralrt&amp;hist=v0_XxF0AAAAJ:13742027118377625026:AFWwaebUHLr8wRJ2PrQQIxHyeXqg&amp;html=&amp;pos=1&amp;folt=cit&amp;fols=</t>
  </si>
  <si>
    <t>Performance comparison of area-scan and event-based cameras</t>
  </si>
  <si>
    <t>Image processing forum 2024</t>
  </si>
  <si>
    <t>https://scholar.google.es/scholar_url?url=https://books.google.es/books%3Fhl%3Den%26lr%3Dlang_en%26id%3DnMwuEQAAQBAJ%26oi%3Dfnd%26pg%3DPA111%26ots%3DBrfGmhPKwz%26sig%3DLe-GuVajl_O8tLC4l67iaT7vLvg&amp;hl=en&amp;sa=X&amp;d=4398952978955179108&amp;ei=yRwtZ8fmIqS-y9YPv4yW6QM&amp;scisig=AFWwaebi8ItbFYLdyR7KaDbxNkSS&amp;oi=scholaralrt&amp;hist=v0_XxF0AAAAJ:13742027118377625026:AFWwaebUHLr8wRJ2PrQQIxHyeXqg&amp;html=&amp;pos=4&amp;folt=cit&amp;fols=</t>
  </si>
  <si>
    <t>DSTF: Dual-Stream Spatio-Temporal</t>
  </si>
  <si>
    <t>PRCV 2024</t>
  </si>
  <si>
    <t>https://scholar.google.es/scholar_url?url=https://books.google.es/books%3Fhl%3Den%26lr%3Dlang_en%26id%3DvYaUEQAAQBAJ%26oi%3Dfnd%26pg%3DPA424%26ots%3DdApJiPOXTU%26sig%3DmOdODXKA5TU5RnIZ_eV3AZgtbp8&amp;hl=en&amp;sa=X&amp;d=9216424808757698616&amp;ei=HpUQaf3BNebYieoPqJPpuA4&amp;scisig=ABGrvjLnyOyLIndTkhhkx6bF3Oed&amp;oi=scholaralrt&amp;hist=v0_XxF0AAAAJ:13742027118377625026:ABGrvjKBHUi6MFH_DtNclerNeAZe&amp;html=&amp;pos=2&amp;folt=cit&amp;fols=</t>
  </si>
  <si>
    <t>EVE-SIM: Evaluation of Vision-Based Event Simulators for Autonomous Driving</t>
  </si>
  <si>
    <t>https://scholar.google.es/scholar_url?url=https://books.google.es/books%3Fhl%3Den%26lr%3Dlang_en%26id%3DxC9NEQAAQBAJ%26oi%3Dfnd%26pg%3DPA280%26ots%3Dslf6RP53EO%26sig%3DPXUMYm7uWUD_5pervTQsnETJiiE&amp;hl=en&amp;sa=X&amp;d=16746810852786108444&amp;ei=LWPSZ7rZNuehieoPw9e4wQE&amp;scisig=AFWwaeY1yXo_MId8CkPvdZ1MJqKI&amp;oi=scholaralrt&amp;hist=v0_XxF0AAAAJ:13742027118377625026:AFWwaebUHLr8wRJ2PrQQIxHyeXqg&amp;html=&amp;pos=4&amp;folt=cit&amp;fols=</t>
  </si>
  <si>
    <t>Event-Based Object Detection in Dynamic Scenes</t>
  </si>
  <si>
    <t>ICGNG 2024</t>
  </si>
  <si>
    <t>https://scholar.google.es/scholar_url?url=https://books.google.es/books%3Fhl%3Den%26lr%3Dlang_en%26id%3DZuoLEQAAQBAJ%26oi%3Dfnd%26pg%3DPA107%26ots%3DLRcNljzJ4s%26sig%3DtM3l7gRqUByauFq1mjs4F_01wTY&amp;hl=en&amp;sa=X&amp;d=14624064518517474733&amp;ei=kDFiZufTN_KJ6rQPoaWhkAQ&amp;scisig=AFWwaeYlNrO7huJXBQsweBIi1YBQ&amp;oi=scholaralrt&amp;hist=v0_XxF0AAAAJ:13742027118377625026:AFWwaebUHLr8wRJ2PrQQIxHyeXqg&amp;html=&amp;pos=4&amp;folt=cit&amp;fols=</t>
  </si>
  <si>
    <t>Event Cameras for Parkinson's Disease Diagnosis: A Preliminary Study</t>
  </si>
  <si>
    <t>ICDTCCS 2024</t>
  </si>
  <si>
    <t>https://scholar.google.es/scholar_url?url=https://construction-robots.github.io/papers/48.pdf&amp;hl=en&amp;sa=X&amp;d=17808347897924298753&amp;ei=SbpPZvqIL8OJ6rQPyua5mAQ&amp;scisig=AFWwaeYZRapH9-0dbPkTrFesJ8yd&amp;oi=scholaralrt&amp;hist=v0_XxF0AAAAJ:13742027118377625026:AFWwaebUHLr8wRJ2PrQQIxHyeXqg&amp;html=&amp;pos=4&amp;folt=cit&amp;fols=</t>
  </si>
  <si>
    <t>Assessment of deep learning-based detection algorithms using event cameras for construction applications</t>
  </si>
  <si>
    <t>https://scholar.google.es/scholar_url?url=https://cs.gmu.edu/~xiao/papers/m2p2.pdf&amp;hl=en&amp;sa=X&amp;d=3569879239849187756&amp;ei=SlL7ZvTbKdKAy9YPm-_p6Ao&amp;scisig=AFWwaeZhtWH81MbafLpV7869VrJW&amp;oi=scholaralrt&amp;hist=v0_XxF0AAAAJ:198837818532394236:AFWwaeZmMyKvHQIW44XNBFyAPl1L&amp;html=&amp;pos=3&amp;folt=rel&amp;fols=</t>
  </si>
  <si>
    <t>M2P2: A Multi-Modal Passive Perception Dataset for Off-Road Mobility in Extreme Low-Light Conditions</t>
  </si>
  <si>
    <t>https://scholar.google.es/scholar_url?url=https://d-nb.info/1326501380/34%23page%3D90&amp;hl=en&amp;sa=X&amp;d=8930305832693434811&amp;ei=AdxnZqa7GZ3Iy9YP-N-YsAI&amp;scisig=AFWwaea8L5hy9VdiUa2_MLaDfC9H&amp;oi=scholaralrt&amp;hist=v0_XxF0AAAAJ:13742027118377625026:AFWwaebUHLr8wRJ2PrQQIxHyeXqg&amp;html=&amp;pos=0&amp;folt=cit&amp;fols=</t>
  </si>
  <si>
    <t>Fusion between Event-Based and Line-Scan Camera for Sensor Based Sorting</t>
  </si>
  <si>
    <t>SBSC 2024</t>
  </si>
  <si>
    <t>https://scholar.google.es/scholar_url?url=https://dl.acm.org/doi/abs/10.1145/3570361.3613269&amp;hl=en&amp;sa=X&amp;d=6324717334131225303&amp;ei=NI4hZYHFBvq8y9YPofu3kAc&amp;scisig=AFWwaeYTIZREqUJfYbnefjgxScYk&amp;oi=scholaralrt&amp;hist=v0_XxF0AAAAJ:13742027118377625026:AFWwaebUHLr8wRJ2PrQQIxHyeXqg&amp;html=&amp;pos=0&amp;folt=cit&amp;fols=</t>
  </si>
  <si>
    <t>Taming Event Cameras with Bio-Inspired Architecture and Algorithm: A Case for Drone Obstacle Avoidance</t>
  </si>
  <si>
    <t>MobiCom 2023</t>
  </si>
  <si>
    <t>https://scholar.google.es/scholar_url?url=https://dl.acm.org/doi/abs/10.1145/3589737.3605981&amp;hl=en&amp;sa=X&amp;d=1060260585772844923&amp;ei=BQXzZJ7uAcOP6rQPtv2JoAg&amp;scisig=AFWwaeY_9k9m4OAmW0ZahwZbpEV5&amp;oi=scholaralrt&amp;hist=v0_XxF0AAAAJ:13742027118377625026:AFWwaebUHLr8wRJ2PrQQIxHyeXqg&amp;html=&amp;pos=5&amp;folt=cit&amp;fols=</t>
  </si>
  <si>
    <t>High-resolution Extreme-throughput Event-based Cameras using GALS Data-scanning Architecture</t>
  </si>
  <si>
    <t>https://scholar.google.es/scholar_url?url=https://dl.acm.org/doi/abs/10.1145/3589737.3605984&amp;hl=en&amp;sa=X&amp;d=4232743969650335196&amp;ei=BQXzZJ7uAcOP6rQPtv2JoAg&amp;scisig=AFWwaeYf3rzzo5sNG7H8Wms3_Njz&amp;oi=scholaralrt&amp;hist=v0_XxF0AAAAJ:13742027118377625026:AFWwaebUHLr8wRJ2PrQQIxHyeXqg&amp;html=&amp;pos=2&amp;folt=cit&amp;fols=</t>
  </si>
  <si>
    <t>Generating Event-Based Datasets for Robotic Applications using MuJoCo-ESIM</t>
  </si>
  <si>
    <t>https://scholar.google.es/scholar_url?url=https://dl.acm.org/doi/abs/10.1145/3641234.3671028&amp;hl=en&amp;sa=X&amp;d=3788981096693347841&amp;ei=RFioZrjzBZiCy9YP6MORyQk&amp;scisig=AFWwaeb_gLPKz5kUoxfFpzLNJcHT&amp;oi=scholaralrt&amp;hist=v0_XxF0AAAAJ:13742027118377625026:AFWwaebUHLr8wRJ2PrQQIxHyeXqg&amp;html=&amp;pos=7&amp;folt=cit&amp;fols=</t>
  </si>
  <si>
    <t>Adaptive Sampling for Monte-Carlo Event Imagery Rendering</t>
  </si>
  <si>
    <t>ACM SIGGRAPH posters 2024</t>
  </si>
  <si>
    <t>https://scholar.google.es/scholar_url?url=https://dl.acm.org/doi/pdf/10.1145/3656469&amp;hl=en&amp;sa=X&amp;d=5926327325008307505&amp;ei=9poYZqPmIczLy9YPsPiM0As&amp;scisig=AFWwaeaj3XiUadxEo4ZW7WvktRwJ&amp;oi=scholaralrt&amp;hist=v0_XxF0AAAAJ:13742027118377625026:AFWwaebUHLr8wRJ2PrQQIxHyeXqg&amp;html=&amp;pos=1&amp;folt=cit&amp;fols=</t>
  </si>
  <si>
    <t>Neuromorphic Perception and Navigation for Mobile Robots: A Review</t>
  </si>
  <si>
    <t>ACM C Surveys 2024</t>
  </si>
  <si>
    <t>https://scholar.google.es/scholar_url?url=https://etd.ohiolink.edu/acprod/odb_etd/ws/send_file/send%3Faccession%3Ddayton1762855347193007%26disposition%3Dinline&amp;hl=en&amp;sa=X&amp;d=571056397484301117&amp;ei=70MZabCSGKG7ieoPlLSCwA8&amp;scisig=ABGrvjJdluA9N-j9VcKGenmXLEYM&amp;oi=scholaralrt&amp;hist=v0_XxF0AAAAJ:13742027118377625026:ABGrvjKBHUi6MFH_DtNclerNeAZe&amp;html=&amp;pos=3&amp;folt=cit&amp;fols=</t>
  </si>
  <si>
    <t>Event-Based Cameras as One-Bit Compressed Sensors: Modeling and Applications</t>
  </si>
  <si>
    <t>PhD Thesis 2025</t>
  </si>
  <si>
    <t>https://scholar.google.es/scholar_url?url=https://etd.ohiolink.edu/apexprod/rws_etd/send_file/send%3Faccession%3Ddayton1671201967170428%26disposition%3Dinline&amp;hl=en&amp;sa=X&amp;d=13420492060606571413&amp;ei=L6ymYxXOk8sEjYeZqA4&amp;scisig=AAGBfm0vwWFgDqcY4VEIsJDFT_URtNYiEw&amp;oi=scholaralrt&amp;hist=v0_XxF0AAAAJ:13742027118377625026:AAGBfm3UjufN_devjhEx0oELtR65UjD64A&amp;html=&amp;pos=6&amp;folt=cit&amp;fols=</t>
  </si>
  <si>
    <t>Event Camera Applications for Driver-Assistive Technology</t>
  </si>
  <si>
    <t>https://scholar.google.es/scholar_url?url=https://etda.libraries.psu.edu/files/final_submissions/27553&amp;hl=en&amp;sa=X&amp;d=5662711439735159009&amp;ei=6zwTZYikIo-8ywTkxoa4Dg&amp;scisig=AFWwaeb9QKoGOJjO868Q3i-gDaqs&amp;oi=scholaralrt&amp;hist=v0_XxF0AAAAJ:13742027118377625026:AFWwaebUHLr8wRJ2PrQQIxHyeXqg&amp;html=&amp;pos=3&amp;folt=cit&amp;fols=</t>
  </si>
  <si>
    <t>Co-Architecting Brain-Inspired Algorithms and Hardware for Performance and Energy Efficiency</t>
  </si>
  <si>
    <t>https://scholar.google.es/scholar_url?url=https://hal.science/hal-04355661/document&amp;hl=en&amp;sa=X&amp;d=12200131694084369139&amp;ei=V9yPZaCvIqGJ6rQP9_y8yAg&amp;scisig=AFWwaeakvRce5JPd3uHWnukWy5sL&amp;oi=scholaralrt&amp;hist=v0_XxF0AAAAJ:13742027118377625026:AFWwaebUHLr8wRJ2PrQQIxHyeXqg&amp;html=&amp;pos=1&amp;folt=cit&amp;fols=</t>
  </si>
  <si>
    <t>Event-based Semantic-aided Motion Segmentation</t>
  </si>
  <si>
    <t>VISAPP 2024</t>
  </si>
  <si>
    <t>https://scholar.google.es/scholar_url?url=https://hal.science/hal-04497648/file/Simulating_Aerial_Event_based_Environment.pdf&amp;hl=en&amp;sa=X&amp;d=8975785228747339349&amp;ei=FXUQZvsC7ZHqtA_E0Yv4Dg&amp;scisig=AFWwaeYJvaVypTId72pV9BpLmeig&amp;oi=scholaralrt&amp;hist=v0_XxF0AAAAJ:13742027118377625026:AFWwaebUHLr8wRJ2PrQQIxHyeXqg&amp;html=&amp;pos=6&amp;folt=cit&amp;fols=</t>
  </si>
  <si>
    <t>https://scholar.google.es/scholar_url?url=https://hal.science/hal-04705444/&amp;hl=en&amp;sa=X&amp;d=14503124410587749857&amp;ei=_ST2ZoSeC5W06rQPvdSDiQw&amp;scisig=AFWwaeb9x2iiXJ2h2fTI1cVqPSzV&amp;oi=scholaralrt&amp;hist=v0_XxF0AAAAJ:198837818532394236:AFWwaeZmMyKvHQIW44XNBFyAPl1L&amp;html=&amp;pos=2&amp;folt=rel&amp;fols=</t>
  </si>
  <si>
    <t>Spiking monocular event based 6D pose estimation for space application</t>
  </si>
  <si>
    <t>ESA SPAICE 2024</t>
  </si>
  <si>
    <t>https://scholar.google.es/scholar_url?url=https://hal.science/hal-05192745/document&amp;hl=en&amp;sa=X&amp;d=18396426821581951900&amp;ei=v1mRaLr5Gc6s6rQPg-WysAI&amp;scisig=AAZF9b8oIZYVirQjbv_1QWZCsTDD&amp;oi=scholaralrt&amp;hist=v0_XxF0AAAAJ:13742027118377625026:AAZF9b802AK2JmjOJ6sFwAbOS06D&amp;html=&amp;pos=2&amp;folt=cit&amp;fols=</t>
  </si>
  <si>
    <t>Cross-Modal Neuromorphic Semantic Segmentation based on Knowledge Distillation</t>
  </si>
  <si>
    <t>https://scholar.google.es/scholar_url?url=https://ieeexplore.ieee.org/abstract/document/10042054/&amp;hl=en&amp;sa=X&amp;d=772094577146816855&amp;ei=cn7rY4OZGojMyQSShKDgCg&amp;scisig=AAGBfm3PBZ2RDeZ8fuZp0pWDZWFmX1Lj_A&amp;oi=scholaralrt&amp;hist=v0_XxF0AAAAJ:198837818532394236:AAGBfm3qe8R6xgugRn4Ir9dLExqv-Y_cuA&amp;html=&amp;pos=0&amp;folt=rel&amp;fols=</t>
  </si>
  <si>
    <t>Improving the classification accuracy in label-free flow cytometry using event-based vision and simple logistic regression</t>
  </si>
  <si>
    <t>IEEE JSTQE 2023</t>
  </si>
  <si>
    <t>https://scholar.google.es/scholar_url?url=https://ieeexplore.ieee.org/abstract/document/10254055/&amp;hl=en&amp;sa=X&amp;d=16025048964295382918&amp;ei=6zwTZYikIo-8ywTkxoa4Dg&amp;scisig=AFWwaeZnIlIKJRBgk-hkTH1PpDzF&amp;oi=scholaralrt&amp;hist=v0_XxF0AAAAJ:13742027118377625026:AFWwaebUHLr8wRJ2PrQQIxHyeXqg&amp;html=&amp;pos=0&amp;folt=cit&amp;fols=</t>
  </si>
  <si>
    <t>Grayscale and Event-Based Sensor Fusion for Robust Steering Prediction for Self-Driving Cars</t>
  </si>
  <si>
    <t>IEEE SAS 2023</t>
  </si>
  <si>
    <t>https://scholar.google.es/scholar_url?url=https://ieeexplore.ieee.org/abstract/document/10373055/&amp;hl=en&amp;sa=X&amp;d=7157176258086797523&amp;ei=V9yPZaCvIqGJ6rQP9_y8yAg&amp;scisig=AFWwaeYcmaWnm02aKHCh3BfOeuEH&amp;oi=scholaralrt&amp;hist=v0_XxF0AAAAJ:13742027118377625026:AFWwaebUHLr8wRJ2PrQQIxHyeXqg&amp;html=&amp;pos=4&amp;folt=cit&amp;fols=</t>
  </si>
  <si>
    <t>https://scholar.google.es/scholar_url?url=https://ieeexplore.ieee.org/abstract/document/10416130/&amp;hl=en&amp;sa=X&amp;d=127738270474584385&amp;ei=tJPCZc-WJtLFy9YPoL6q0AE&amp;scisig=AFWwaebBWFAWvSwNZC2_U7_Mxd10&amp;oi=scholaralrt&amp;hist=v0_XxF0AAAAJ:13742027118377625026:AFWwaebUHLr8wRJ2PrQQIxHyeXqg&amp;html=&amp;pos=4&amp;folt=cit&amp;fols=</t>
  </si>
  <si>
    <t>Towards Asynchronously Triggered Spiking Neural Network on FPGA for Event-based Vision</t>
  </si>
  <si>
    <t>ICFPT 2023</t>
  </si>
  <si>
    <t>https://scholar.google.es/scholar_url?url=https://ieeexplore.ieee.org/abstract/document/10458287/&amp;hl=en&amp;sa=X&amp;d=17683632345679871811&amp;ei=bNfsZeLSBb-46rQP7ZK8qAg&amp;scisig=AFWwaebKS4C90RQs9bKTzBFu2iIl&amp;oi=scholaralrt&amp;hist=v0_XxF0AAAAJ:13742027118377625026:AFWwaebUHLr8wRJ2PrQQIxHyeXqg&amp;html=&amp;pos=0&amp;folt=cit&amp;fols=</t>
  </si>
  <si>
    <t>EventMASK: A Frame-Free Rapid Human Instance Segmentation with Event Camera Through Constrained Mask Propagation</t>
  </si>
  <si>
    <t>https://scholar.google.es/scholar_url?url=https://ieeexplore.ieee.org/abstract/document/10538454/&amp;hl=en&amp;sa=X&amp;d=10701630105545135927&amp;ei=CItXZpLMOevJy9YP-oDKsA8&amp;scisig=AFWwaeYG-cHa2UM3HLzvOdT_E-D0&amp;oi=scholaralrt&amp;hist=v0_XxF0AAAAJ:13742027118377625026:AFWwaebUHLr8wRJ2PrQQIxHyeXqg&amp;html=&amp;pos=0&amp;folt=cit&amp;fols=</t>
  </si>
  <si>
    <t>A Biomimetic Visual Detection Model: Event-driven LGMDs Implemented with Fractional Spiking Neuron Circuits</t>
  </si>
  <si>
    <t>TBME 2024</t>
  </si>
  <si>
    <t>https://scholar.google.es/scholar_url?url=https://ieeexplore.ieee.org/abstract/document/10558375/&amp;hl=en&amp;sa=X&amp;d=1075749708704458675&amp;ei=DIWMZvGjBLqJ6rQPzbG4gAw&amp;scisig=AFWwaeYJ1BTqxcZvD8-6yX6Uxbii&amp;oi=scholaralrt&amp;hist=v0_XxF0AAAAJ:13742027118377625026:AFWwaebUHLr8wRJ2PrQQIxHyeXqg&amp;html=&amp;pos=3&amp;folt=cit&amp;fols=</t>
  </si>
  <si>
    <t>A Lossless Compression Algorithm with Hardware Implementation for Dynamic Vision Sensor</t>
  </si>
  <si>
    <t>ISCAS 2024</t>
  </si>
  <si>
    <t>https://scholar.google.es/scholar_url?url=https://ieeexplore.ieee.org/abstract/document/10558416/&amp;hl=en&amp;sa=X&amp;d=3134638234169741268&amp;ei=DIWMZvGjBLqJ6rQPzbG4gAw&amp;scisig=AFWwaeaFNlxau1Hn9ULrYeHXnRLw&amp;oi=scholaralrt&amp;hist=v0_XxF0AAAAJ:13742027118377625026:AFWwaebUHLr8wRJ2PrQQIxHyeXqg&amp;html=&amp;pos=2&amp;folt=cit&amp;fols=</t>
  </si>
  <si>
    <t>A 1024-Neuron 1M-Synapse Event-Driven SNN Accelerator for DVS Applications</t>
  </si>
  <si>
    <t>https://scholar.google.es/scholar_url?url=https://ieeexplore.ieee.org/abstract/document/10558601/&amp;hl=en&amp;sa=X&amp;d=13450347502612420591&amp;ei=DIWMZvGjBLqJ6rQPzbG4gAw&amp;scisig=AFWwaeb3HG0vHc3GzFMIy5iJrb5q&amp;oi=scholaralrt&amp;hist=v0_XxF0AAAAJ:13742027118377625026:AFWwaebUHLr8wRJ2PrQQIxHyeXqg&amp;html=&amp;pos=5&amp;folt=cit&amp;fols=</t>
  </si>
  <si>
    <t>A Dual-Mode CMOS Image Sensor Based on in-Pixel Frame Differencing</t>
  </si>
  <si>
    <t>https://scholar.google.es/scholar_url?url=https://ieeexplore.ieee.org/abstract/document/10558673/&amp;hl=en&amp;sa=X&amp;d=7418824184326865955&amp;ei=DIWMZvGjBLqJ6rQPzbG4gAw&amp;scisig=AFWwaeZFN8TLi0NfSmnYc6ZsWwS1&amp;oi=scholaralrt&amp;hist=v0_XxF0AAAAJ:13742027118377625026:AFWwaebUHLr8wRJ2PrQQIxHyeXqg&amp;html=&amp;pos=4&amp;folt=cit&amp;fols=</t>
  </si>
  <si>
    <t>An Event-Driven High-Speed Imaging and Trace Detection ROIC for Cryogenic Infrared FPAs</t>
  </si>
  <si>
    <t>https://scholar.google.es/scholar_url?url=https://ieeexplore.ieee.org/abstract/document/10563992/&amp;hl=en&amp;sa=X&amp;d=8918962935008422903&amp;ei=dbmAZpDfLbbKy9YPsbqkkAU&amp;scisig=AFWwaeaXmT32IlFoQ_dIDe-kfIIs&amp;oi=scholaralrt&amp;hist=v0_XxF0AAAAJ:198837818532394236:AFWwaeZmMyKvHQIW44XNBFyAPl1L&amp;html=&amp;pos=1&amp;folt=rel&amp;fols=</t>
  </si>
  <si>
    <t>EventASEG: An Event-Based Asynchronous Segmentation of Road with Likelihood Attention</t>
  </si>
  <si>
    <t>https://scholar.google.es/scholar_url?url=https://ieeexplore.ieee.org/abstract/document/10577332/&amp;hl=en&amp;sa=X&amp;d=11721812918121947161&amp;ei=iiaLZtrAJbGCy9YPjYql6Ac&amp;scisig=AFWwaeYHt3ihB3pd0gbeKclH-FJJ&amp;oi=scholaralrt&amp;hist=v0_XxF0AAAAJ:13742027118377625026:AFWwaebUHLr8wRJ2PrQQIxHyeXqg&amp;html=&amp;pos=0&amp;folt=cit&amp;fols=</t>
  </si>
  <si>
    <t>Joint Optical Wireless Communication and Sensing using Neuromorphic Cameras</t>
  </si>
  <si>
    <t>IPSN 2024</t>
  </si>
  <si>
    <t>https://scholar.google.es/scholar_url?url=https://ieeexplore.ieee.org/abstract/document/10597458/&amp;hl=en&amp;sa=X&amp;d=4524513164126173847&amp;ei=kqOpZrf6JP-Xy9YP-YSfsAs&amp;scisig=AFWwaebgl1MXpJRC-KuFBgfpwqYl&amp;oi=scholaralrt&amp;hist=v0_XxF0AAAAJ:13742027118377625026:AFWwaebUHLr8wRJ2PrQQIxHyeXqg&amp;html=&amp;pos=2&amp;folt=cit&amp;fols=</t>
  </si>
  <si>
    <t>Labelling a Stereo Event Dataset in Indoor Scenes for Segmentation Tasks</t>
  </si>
  <si>
    <t>UR 2024</t>
  </si>
  <si>
    <t>https://scholar.google.es/scholar_url?url=https://ieeexplore.ieee.org/abstract/document/10597672/&amp;hl=en&amp;sa=X&amp;d=7568454958649134424&amp;ei=7yqbZpLKMd2v6rQPzfSEuAI&amp;scisig=AFWwaeYLBXJaXjvypBcBSdRmWN9l&amp;oi=scholaralrt&amp;hist=v0_XxF0AAAAJ:13742027118377625026:AFWwaebUHLr8wRJ2PrQQIxHyeXqg&amp;html=&amp;pos=3&amp;folt=cit&amp;fols=</t>
  </si>
  <si>
    <t>Improved Event-based Image De-occlusion</t>
  </si>
  <si>
    <t>https://scholar.google.es/scholar_url?url=https://ieeexplore.ieee.org/abstract/document/10647373/&amp;hl=en&amp;sa=X&amp;d=2325849051911667725&amp;ei=z8b8ZuOCNPbYy9YPrPDH6Aw&amp;scisig=AFWwaeYsmrk6tuFXUmFWVa4m8Gsn&amp;oi=scholaralrt&amp;hist=v0_XxF0AAAAJ:13742027118377625026:AFWwaebUHLr8wRJ2PrQQIxHyeXqg&amp;html=&amp;pos=2&amp;folt=cit&amp;fols=</t>
  </si>
  <si>
    <t>Counting Repetitive Actions in Event Stream</t>
  </si>
  <si>
    <t>https://scholar.google.es/scholar_url?url=https://ieeexplore.ieee.org/abstract/document/10647465/&amp;hl=en&amp;sa=X&amp;d=11480137496747587028&amp;ei=z8b8ZuOCNPbYy9YPrPDH6Aw&amp;scisig=AFWwaeYMpuF5DYsMnMcv9HggYfgf&amp;oi=scholaralrt&amp;hist=v0_XxF0AAAAJ:13742027118377625026:AFWwaebUHLr8wRJ2PrQQIxHyeXqg&amp;html=&amp;pos=3&amp;folt=cit&amp;fols=</t>
  </si>
  <si>
    <t>E2SIFT: Neuromorphic SIFT via Direct Feature Pyramid Recovery from Events</t>
  </si>
  <si>
    <t>https://scholar.google.es/scholar_url?url=https://ieeexplore.ieee.org/abstract/document/10647468/&amp;hl=en&amp;sa=X&amp;d=6016047451462537950&amp;ei=z8b8ZuOCNPbYy9YPrPDH6Aw&amp;scisig=AFWwaeYyK10JngQ_GcpBNgDpQUrd&amp;oi=scholaralrt&amp;hist=v0_XxF0AAAAJ:13742027118377625026:AFWwaebUHLr8wRJ2PrQQIxHyeXqg&amp;html=&amp;pos=1&amp;folt=cit&amp;fols=</t>
  </si>
  <si>
    <t>Controllable Unsupervised Event-Based Video Generation</t>
  </si>
  <si>
    <t>https://scholar.google.es/scholar_url?url=https://ieeexplore.ieee.org/abstract/document/10680635/&amp;hl=en&amp;sa=X&amp;d=18271325871256952201&amp;ei=b_ntZruTA7--6rQPmcTLuQc&amp;scisig=AFWwaebAXqBvLtp1OHKsqLU-p7P1&amp;oi=scholaralrt&amp;hist=v0_XxF0AAAAJ:13742027118377625026:AFWwaebUHLr8wRJ2PrQQIxHyeXqg&amp;html=&amp;pos=4&amp;folt=cit&amp;fols=</t>
  </si>
  <si>
    <t>EvLSD-IED: Event-Based Line Segment Detection with Image-to-Event Distillation</t>
  </si>
  <si>
    <t>https://scholar.google.es/scholar_url?url=https://ieeexplore.ieee.org/abstract/document/10682067/&amp;hl=en&amp;sa=X&amp;d=874292048581140662&amp;ei=l-7xZvm5KqSs6rQPppqOiAU&amp;scisig=AFWwaeaHEmpr74KB0U1cp2SnxCAU&amp;oi=scholaralrt&amp;hist=v0_XxF0AAAAJ:13742027118377625026:AFWwaebUHLr8wRJ2PrQQIxHyeXqg&amp;html=&amp;pos=0&amp;folt=cit&amp;fols=</t>
  </si>
  <si>
    <t>Tackling Event-Based Lip-Reading by Exploring Multigrained Spatiotemporal Clues</t>
  </si>
  <si>
    <t>TNNLS 2024</t>
  </si>
  <si>
    <t>https://scholar.google.es/scholar_url?url=https://ieeexplore.ieee.org/abstract/document/10684042/&amp;hl=en&amp;sa=X&amp;d=13861445238659138715&amp;ei=l-7xZvm5KqSs6rQPppqOiAU&amp;scisig=AFWwaeadw-6yuIHNW095Alz3vmbT&amp;oi=scholaralrt&amp;hist=v0_XxF0AAAAJ:13742027118377625026:AFWwaebUHLr8wRJ2PrQQIxHyeXqg&amp;html=&amp;pos=1&amp;folt=cit&amp;fols=</t>
  </si>
  <si>
    <t>Spatio-temporal Focus and Lightweight Memory Network for Continuous Object Detection with Event Camera</t>
  </si>
  <si>
    <t>https://scholar.google.es/scholar_url?url=https://ieeexplore.ieee.org/abstract/document/10697100/&amp;hl=en&amp;sa=X&amp;d=2921933554194452147&amp;ei=z8b8ZqzaMqSMy9YPoKv0mAY&amp;scisig=AFWwaeYNX8RLv4YnN43aIjmH3Neh&amp;oi=scholaralrt&amp;hist=v0_XxF0AAAAJ:198837818532394236:AFWwaeZmMyKvHQIW44XNBFyAPl1L&amp;html=&amp;pos=2&amp;folt=rel&amp;fols=</t>
  </si>
  <si>
    <t>VT-SGN: Spiking Graph Neural Network for Neuromorphic Visual-Tactile Fusion</t>
  </si>
  <si>
    <t>TOH 2024</t>
  </si>
  <si>
    <t>https://scholar.google.es/scholar_url?url=https://ieeexplore.ieee.org/abstract/document/10713438/&amp;hl=en&amp;sa=X&amp;d=9894236138227535215&amp;ei=UaQNZ63CMNmDy9YPyoyWgAM&amp;scisig=AFWwaeZ-m57ikEAsCCjMyI_UjQP8&amp;oi=scholaralrt&amp;hist=v0_XxF0AAAAJ:13742027118377625026:AFWwaebUHLr8wRJ2PrQQIxHyeXqg&amp;html=&amp;pos=0&amp;folt=cit&amp;fols=</t>
  </si>
  <si>
    <t>Flexible event camera calibration with blinking binary stripes</t>
  </si>
  <si>
    <t>LPT 2024</t>
  </si>
  <si>
    <t>https://scholar.google.es/scholar_url?url=https://ieeexplore.ieee.org/abstract/document/10747109/&amp;hl=en&amp;sa=X&amp;d=7891488826394699099&amp;ei=l2IzZ_L7Cf7Ey9YP0ILI2Qo&amp;scisig=AFWwaeb1KUGi93MYb34P2uQA78uC&amp;oi=scholaralrt&amp;hist=v0_XxF0AAAAJ:13742027118377625026:AFWwaebUHLr8wRJ2PrQQIxHyeXqg&amp;html=&amp;pos=0&amp;folt=cit&amp;fols=</t>
  </si>
  <si>
    <t>CADeTT: Context-Adaptive Deep-Trinary-Tree Lossless Compression of Event Camera Frames</t>
  </si>
  <si>
    <t>https://scholar.google.es/scholar_url?url=https://ieeexplore.ieee.org/abstract/document/10757318/&amp;hl=en&amp;sa=X&amp;d=2858789211699424366&amp;ei=En1BZ6eqFZPIy9YPpdOaiAc&amp;scisig=AFWwaeYlCAlPqGArpLqWttxVUYp1&amp;oi=scholaralrt&amp;hist=v0_XxF0AAAAJ:13742027118377625026:AFWwaebUHLr8wRJ2PrQQIxHyeXqg&amp;html=&amp;pos=2&amp;folt=cit&amp;fols=</t>
  </si>
  <si>
    <t>Learning Depth from Focus with Event Focal Stack</t>
  </si>
  <si>
    <t>https://scholar.google.es/scholar_url?url=https://ieeexplore.ieee.org/abstract/document/10776574/&amp;hl=en&amp;sa=X&amp;d=13097932606250272068&amp;ei=3-hVZ9co-6HqtA-Rhb-wBw&amp;scisig=AFWwaeapeU4Krrlcu2JFWa19jwxl&amp;oi=scholaralrt&amp;hist=v0_XxF0AAAAJ:13742027118377625026:AFWwaebUHLr8wRJ2PrQQIxHyeXqg&amp;html=&amp;pos=1&amp;folt=cit&amp;fols=</t>
  </si>
  <si>
    <t>CrossEI: Boosting Motion-oriented Object Tracking with An Event Camera</t>
  </si>
  <si>
    <t>https://scholar.google.es/scholar_url?url=https://ieeexplore.ieee.org/abstract/document/10784654/&amp;hl=en&amp;sa=X&amp;d=6754965896028290506&amp;ei=RFZmZ66uGMq8y9YPrOqMwQw&amp;scisig=AFWwaeb2d1QVLbyokVI_HcNg0Oe1&amp;oi=scholaralrt&amp;hist=v0_XxF0AAAAJ:13742027118377625026:AFWwaebUHLr8wRJ2PrQQIxHyeXqg&amp;html=&amp;pos=4&amp;folt=cit&amp;fols=</t>
  </si>
  <si>
    <t>Event Intensity Decay with Event Cameras for Efficient Object Detection</t>
  </si>
  <si>
    <t>https://scholar.google.es/scholar_url?url=https://ieeexplore.ieee.org/abstract/document/10889295/&amp;hl=en&amp;sa=X&amp;d=17239268859364066162&amp;ei=LWPSZ7rZNuehieoPw9e4wQE&amp;scisig=AFWwaeYiAnhK7_AXU3cSuGKbtVdZ&amp;oi=scholaralrt&amp;hist=v0_XxF0AAAAJ:13742027118377625026:AFWwaebUHLr8wRJ2PrQQIxHyeXqg&amp;html=&amp;pos=5&amp;folt=cit&amp;fols=</t>
  </si>
  <si>
    <t>Neuromorphic Unlimited Sampling for High-Dynamic-Range Video Acquisition</t>
  </si>
  <si>
    <t>https://scholar.google.es/scholar_url?url=https://ieeexplore.ieee.org/abstract/document/10947097/&amp;hl=en&amp;sa=X&amp;d=6730909547747183642&amp;ei=FUXxZ8mCI4WlieoPxarRgAo&amp;scisig=AFWwaeaVeCH8M8PQHAR5sNT324kp&amp;oi=scholaralrt&amp;hist=v0_XxF0AAAAJ:13742027118377625026:AFWwaebUHLr8wRJ2PrQQIxHyeXqg&amp;html=&amp;pos=1&amp;folt=cit&amp;fols=</t>
  </si>
  <si>
    <t>Toward Efficient Eye Tracking in AR/VR Devices: A Near-Eye DVS-Based Processor for Real-Time Gaze Estimation</t>
  </si>
  <si>
    <t>https://scholar.google.es/scholar_url?url=https://ieeexplore.ieee.org/abstract/document/11203234/&amp;hl=en&amp;sa=X&amp;d=7825933721358169615&amp;ei=RJr2aJr-EoePieoPtcvwuAc&amp;scisig=AAZF9b-QS-V4LfG-_T32rPw2CZ3O&amp;oi=scholaralrt&amp;hist=v0_XxF0AAAAJ:13742027118377625026:AAZF9b802AK2JmjOJ6sFwAbOS06D&amp;html=&amp;pos=2&amp;folt=cit&amp;fols=</t>
  </si>
  <si>
    <t>MESA: A Dynamical Attention-based Pre-processing Pipeline for High-throughput Event-based Computer Vision Tasks</t>
  </si>
  <si>
    <t>TCAS-II 2025</t>
  </si>
  <si>
    <t>https://scholar.google.es/scholar_url?url=https://ieeexplore.ieee.org/abstract/document/11253979/&amp;hl=en&amp;sa=X&amp;d=16197405181355679697&amp;ei=1fFXadmVE7ux6rQPi5qW2AE&amp;scisig=ALhkC2TQY8P4HuAqOZlGp-TF3V89&amp;oi=scholaralrt&amp;hist=v0_XxF0AAAAJ:13742027118377625026:ALhkC2RovGTtfNVMcZ_lgjoSmJ9_&amp;html=&amp;pos=3&amp;folt=cit&amp;fols=</t>
  </si>
  <si>
    <t>Spatial Features-Based Slip Detection in Neuromorphic Vision Tactile Sensors</t>
  </si>
  <si>
    <t>EMBC 2025</t>
  </si>
  <si>
    <t>https://scholar.google.es/scholar_url?url=https://ieeexplore.ieee.org/abstract/document/9985998/&amp;hl=en&amp;sa=X&amp;d=13476190099860032863&amp;ei=aI6dY7H7L8aSy9YPkY62oAg&amp;scisig=AAGBfm2RNW8kOo3U65oULSRpC4V6wtcTyA&amp;oi=scholaralrt&amp;hist=v0_XxF0AAAAJ:13742027118377625026:AAGBfm3UjufN_devjhEx0oELtR65UjD64A&amp;html=&amp;pos=0&amp;folt=cit&amp;fols=</t>
  </si>
  <si>
    <t>Spike-based Motion Estimation for Object Tracking through Bio-inspired Unsupervised Learning</t>
  </si>
  <si>
    <t>https://scholar.google.es/scholar_url?url=https://ieeexplore.ieee.org/iel7/6287639/10005208/10360108.pdf&amp;hl=en&amp;sa=X&amp;d=13920113434544325275&amp;ei=QNmKZaueIKGJ6rQP9_y8yAg&amp;scisig=AFWwaeYt-NaJq9AyBL3h_X3AjB8_&amp;oi=scholaralrt&amp;hist=v0_XxF0AAAAJ:13742027118377625026:AFWwaebUHLr8wRJ2PrQQIxHyeXqg&amp;html=&amp;pos=0&amp;folt=cit&amp;fols=</t>
  </si>
  <si>
    <t>Event Camera-Based Pupil Localization: Facilitating Training with Event-Style Translation of RGB Faces</t>
  </si>
  <si>
    <t>https://scholar.google.es/scholar_url?url=https://ieeexplore.ieee.org/iel7/6287639/6514899/10494342.pdf&amp;hl=en&amp;sa=X&amp;d=6423471535167166753&amp;ei=9poYZqPmIczLy9YPsPiM0As&amp;scisig=AFWwaeawb4SkjAI1dHLK2ik2EPWr&amp;oi=scholaralrt&amp;hist=v0_XxF0AAAAJ:13742027118377625026:AFWwaebUHLr8wRJ2PrQQIxHyeXqg&amp;html=&amp;pos=2&amp;folt=cit&amp;fols=</t>
  </si>
  <si>
    <t>Event Cameras in Automotive Sensing: A Review</t>
  </si>
  <si>
    <t>https://scholar.google.es/scholar_url?url=https://ieeexplore.ieee.org/iel7/6287639/6514899/10528297.pdf&amp;hl=en&amp;sa=X&amp;d=3831506894168576335&amp;ei=2QNFZujVOdS-6rQPjNCm6AM&amp;scisig=AFWwaebcbIwNXsO4NXxa9_0WFukT&amp;oi=scholaralrt&amp;hist=v0_XxF0AAAAJ:13742027118377625026:AFWwaebUHLr8wRJ2PrQQIxHyeXqg&amp;html=&amp;pos=0&amp;folt=cit&amp;fols=</t>
  </si>
  <si>
    <t>Event Anonymization: Privacy-preserving Person Re-Identification and Pose Estimation in Event-based Vision</t>
  </si>
  <si>
    <t>https://scholar.google.es/scholar_url?url=https://ieeexplore.ieee.org/iel7/7083369/7339444/10403942.pdf&amp;hl=en&amp;sa=X&amp;d=2686224825589961838&amp;ei=ZuWvZZbYD_W56rQPwoCegAM&amp;scisig=AFWwaeaHvIh6fYtGKO-Psicv0Vry&amp;oi=scholaralrt&amp;hist=v0_XxF0AAAAJ:198837818532394236:AFWwaeZmMyKvHQIW44XNBFyAPl1L&amp;html=&amp;pos=0&amp;folt=rel&amp;fols=</t>
  </si>
  <si>
    <t>Cross-modal Learning for Event-based Semantic Segmentation via Attention Soft Alignment</t>
  </si>
  <si>
    <t>https://scholar.google.es/scholar_url?url=https://ieeexplore.ieee.org/iel7/7361/4427201/10197344.pdf&amp;hl=en&amp;sa=X&amp;d=4362161005493498666&amp;ei=x9LIZKqPBpaAy9YPoJCYsAk&amp;scisig=AFWwaeZbEmikKLh8O63hMh-n6e24&amp;oi=scholaralrt&amp;hist=v0_XxF0AAAAJ:13742027118377625026:AFWwaebUHLr8wRJ2PrQQIxHyeXqg&amp;html=&amp;pos=3&amp;folt=cit&amp;fols=</t>
  </si>
  <si>
    <t>Ev-ReconNet: Visual Place Recognition using Event Camera with Spiking Neural Networks</t>
  </si>
  <si>
    <t>https://scholar.google.es/scholar_url?url=https://ieeexplore.ieee.org/iel8/10347229/10787061/10795229.pdf&amp;hl=en&amp;sa=X&amp;d=13590416158401031386&amp;ei=JpRfZ4y3PKaay9YP2PjHoQ8&amp;scisig=AFWwaeaz7SlK-fwFjGpfQ_AYdQQ9&amp;oi=scholaralrt&amp;hist=v0_XxF0AAAAJ:13742027118377625026:AFWwaebUHLr8wRJ2PrQQIxHyeXqg&amp;html=&amp;pos=6&amp;folt=cit&amp;fols=</t>
  </si>
  <si>
    <t>Emerging Trends and Applications of Neuromorphic Dynamic Vision Sensors: A Survey</t>
  </si>
  <si>
    <t>IEEE Sensors Reviews 2024</t>
  </si>
  <si>
    <t>https://scholar.google.es/scholar_url?url=https://ieeexplore.ieee.org/iel8/10347231/10677474/10967557.pdf&amp;hl=en&amp;sa=X&amp;d=16086485519293299731&amp;ei=AZgGaOLSA_Oy6rQP1tr_uA8&amp;scisig=AFWwaeaA_EmQM7x6dI1-tegxrUUP&amp;oi=scholaralrt&amp;hist=v0_XxF0AAAAJ:13742027118377625026:AFWwaebUHLr8wRJ2PrQQIxHyeXqg&amp;html=&amp;pos=0&amp;folt=cit&amp;fols=</t>
  </si>
  <si>
    <t>Descriptor: Event-Based Crossing Dataset (EBCD)</t>
  </si>
  <si>
    <t>IEEE Data Desc 2025</t>
  </si>
  <si>
    <t>https://scholar.google.es/scholar_url?url=https://ieeexplore.ieee.org/iel8/19/4407674/10680346.pdf&amp;hl=en&amp;sa=X&amp;d=11700582891416889561&amp;ei=q7TpZpahNfSC6rQP863juAs&amp;scisig=AFWwaeY24zoGzh69-T2g-pQJl_Rh&amp;oi=scholaralrt&amp;hist=v0_XxF0AAAAJ:198837818532394236:AFWwaeZmMyKvHQIW44XNBFyAPl1L&amp;html=&amp;pos=0&amp;folt=rel&amp;fols=</t>
  </si>
  <si>
    <t>NeuTac: Zero-Shot Sim2Real Measurement for Neuromorphic Vision-Based Tactile Sensors</t>
  </si>
  <si>
    <t>https://scholar.google.es/scholar_url?url=https://ieeexplore.ieee.org/iel8/6287639/6514899/10772100.pdf&amp;hl=en&amp;sa=X&amp;d=14533886729054576433&amp;ei=ZxpTZ5nnPI6_y9YPncPB6Q8&amp;scisig=AFWwaeawzmY2kGECQnyibm4iKHu2&amp;oi=scholaralrt&amp;hist=v0_XxF0AAAAJ:198837818532394236:AFWwaeZmMyKvHQIW44XNBFyAPl1L&amp;html=&amp;pos=6&amp;folt=rel&amp;fols=</t>
  </si>
  <si>
    <t>Temporal-Polar Dynamics: Elevating Event-based Micro-Expression Recognition</t>
  </si>
  <si>
    <t>https://scholar.google.es/scholar_url?url=https://ieeexplore.ieee.org/iel8/6287639/6514899/10804122.pdf&amp;hl=en&amp;sa=X&amp;d=3720348586362875619&amp;ei=Wx5lZ8KjLJOW6rQP3-rzuQM&amp;scisig=AFWwaebJ7maln9nNel1UJkoQ9EBm&amp;oi=scholaralrt&amp;hist=v0_XxF0AAAAJ:16412562894006425212:AFWwaeb1fDL4iO02GpXBXeIDVjnx&amp;html=&amp;pos=0&amp;folt=art</t>
  </si>
  <si>
    <t>A 128× 128 Electronically Multi-Foveated Dynamic Vision Sensor with Real-Time Resolution Reconfiguration</t>
  </si>
  <si>
    <t>https://scholar.google.es/scholar_url?url=https://ieeexplore.ieee.org/iel8/6287639/6514899/10838560.pdf&amp;hl=en&amp;sa=X&amp;d=9110651420671839159&amp;ei=7_GRZ6iMEKHfy9YPl8KFuQc&amp;scisig=AFWwaebk0l2hNGfPYzkCRCcHQbkb&amp;oi=scholaralrt&amp;hist=v0_XxF0AAAAJ:13742027118377625026:AFWwaebUHLr8wRJ2PrQQIxHyeXqg&amp;html=&amp;pos=0&amp;folt=cit&amp;fols=</t>
  </si>
  <si>
    <t>Neuromorphic Vision Data Coding: Classifying and Reviewing the Literature</t>
  </si>
  <si>
    <t>https://scholar.google.es/scholar_url?url=https://ieeexplore.ieee.org/iel8/7361/4427201/11074301.pdf&amp;hl=en&amp;sa=X&amp;d=6848966207508478572&amp;ei=4gl2aO2XCPuvieoP47eI4A8&amp;scisig=AAZF9b_mYP-5v1NxKt7yPViWnXlE&amp;oi=scholaralrt&amp;hist=v0_XxF0AAAAJ:198837818532394236:AAZF9b-3jVPI_G2C1ZFisyDADLOa&amp;html=&amp;pos=2&amp;folt=rel&amp;fols=</t>
  </si>
  <si>
    <t>Evaluating Event-based Vision Sensing in Rain and Fog</t>
  </si>
  <si>
    <t>https://scholar.google.es/scholar_url?url=https://ietresearch.onlinelibrary.wiley.com/doi/pdfdirect/10.1049/ipr2.13131&amp;hl=en&amp;sa=X&amp;d=16565758763008336463&amp;ei=g65jZpu8FLqY6rQP7_eJmAo&amp;scisig=AFWwaeaIVG_6qXxuxRqNjIkfbQiH&amp;oi=scholaralrt&amp;hist=v0_XxF0AAAAJ:13742027118377625026:AFWwaebUHLr8wRJ2PrQQIxHyeXqg&amp;html=&amp;pos=0&amp;folt=cit&amp;fols=</t>
  </si>
  <si>
    <t>RRER: A refined registration method based on contrast minimum for event and RGB cameras</t>
  </si>
  <si>
    <t>IET IP 2024</t>
  </si>
  <si>
    <t>https://scholar.google.es/scholar_url?url=https://ijcai-preprints.s3.us-west-1.amazonaws.com/2025/1781.pdf&amp;hl=en&amp;sa=X&amp;d=14078260437875768482&amp;ei=BLuoaO_TFb-t6rQPy4KQuAw&amp;scisig=AAZF9b_rC8z5oCVxw9NjCnf9bdHT&amp;oi=scholaralrt&amp;hist=v0_XxF0AAAAJ:13742027118377625026:AAZF9b802AK2JmjOJ6sFwAbOS06D&amp;html=&amp;pos=2&amp;folt=cit&amp;fols=</t>
  </si>
  <si>
    <t>EDyGS: Event Enhanced Dynamic 3D Radiance Fields from Blurry Monocular Video</t>
  </si>
  <si>
    <t>IJCAI 2025</t>
  </si>
  <si>
    <t>https://scholar.google.es/scholar_url?url=https://imt-atlantique.hal.science/hal-05209003/file/Souissi-ACMMM25-UAVM25.pdf&amp;hl=en&amp;sa=X&amp;d=11417631920779606753&amp;ei=jtGzaPvBLYDXieoPk73huQQ&amp;scisig=AAZF9b9TCpeAkFUIivShCPQky_6F&amp;oi=scholaralrt&amp;hist=v0_XxF0AAAAJ:13742027118377625026:AAZF9b802AK2JmjOJ6sFwAbOS06D&amp;html=&amp;pos=7&amp;folt=cit&amp;fols=</t>
  </si>
  <si>
    <t>Towards Event-Driven, End-to-End UAV Tracking Using Deep Reinforcement Learning</t>
  </si>
  <si>
    <t>UAVM 2025</t>
  </si>
  <si>
    <t>https://scholar.google.es/scholar_url?url=https://infoscience.epfl.ch/record/306784/files/EPFL_TH10637.pdf&amp;hl=en&amp;sa=X&amp;d=16627610206724472894&amp;ei=sKmNZebbDqaAy9YP9tm6uAo&amp;scisig=AFWwaebRO7Uz-uLisiMHRsLmTy-4&amp;oi=scholaralrt&amp;hist=v0_XxF0AAAAJ:13742027118377625026:AFWwaebUHLr8wRJ2PrQQIxHyeXqg&amp;html=&amp;pos=1&amp;folt=cit&amp;fols=</t>
  </si>
  <si>
    <t>Supervised learning and inference of spiking neural networks with temporal coding</t>
  </si>
  <si>
    <t>https://scholar.google.es/scholar_url?url=https://iopscience.iop.org/article/10.1088/1742-6596/2774/1/012013/pdf&amp;hl=en&amp;sa=X&amp;d=9018103114590551602&amp;ei=qm6cZuTIPKzFy9YPt-64wAE&amp;scisig=AFWwaeZxCgLMSKsFu8I8YaQlJVxb&amp;oi=scholaralrt&amp;hist=v0_XxF0AAAAJ:13742027118377625026:AFWwaebUHLr8wRJ2PrQQIxHyeXqg&amp;html=&amp;pos=1&amp;folt=cit&amp;fols=</t>
  </si>
  <si>
    <t>EAPTON: Event-based Antinoise Powerlines Tracking with ON/OFF Enhancement</t>
  </si>
  <si>
    <t>JPCS 2024</t>
  </si>
  <si>
    <t>https://scholar.google.es/scholar_url?url=https://iopscience.iop.org/article/10.1088/2634-4386/ae3cb7/pdf&amp;hl=en&amp;sa=X&amp;d=9761242901512337975&amp;ei=PYF7aYjoBcSN6rQPspSaoA4&amp;scisig=AHkA5jQ2XC8ACWYUBPer8DeKsK6H&amp;oi=scholaralrt&amp;hist=v0_XxF0AAAAJ:13742027118377625026:AHkA5jSu_a2AqNQOCdacK8g1OnlB&amp;html=&amp;pos=1&amp;folt=cit&amp;fols=</t>
  </si>
  <si>
    <t>Memristor-based spiking neuron circuit design for address-event representation edge motion tracking</t>
  </si>
  <si>
    <t>NCE 2026</t>
  </si>
  <si>
    <t>https://scholar.google.es/scholar_url?url=https://iopscience.iop.org/article/10.35848/1347-4065/acad88/meta&amp;hl=en&amp;sa=X&amp;d=7989346829917177326&amp;ei=L6ymYxXOk8sEjYeZqA4&amp;scisig=AAGBfm0sHWJBoTyaM-gohPnITsQuvfwLQw&amp;oi=scholaralrt&amp;hist=v0_XxF0AAAAJ:13742027118377625026:AAGBfm3UjufN_devjhEx0oELtR65UjD64A&amp;html=&amp;pos=3&amp;folt=cit&amp;fols=</t>
  </si>
  <si>
    <r>
      <rPr>
        <rFont val="Arial"/>
        <color theme="1"/>
        <sz val="10.0"/>
      </rPr>
      <t>Tiny and error tolerant ConvLSTM for event-based vision sensor with optimized event representation and ReRAM computation-in-memo</t>
    </r>
    <r>
      <rPr>
        <rFont val="Arial"/>
        <color theme="1"/>
        <sz val="10.0"/>
      </rPr>
      <t>ry</t>
    </r>
  </si>
  <si>
    <t>Japanese Journal of Applied Physics 2022</t>
  </si>
  <si>
    <t>https://scholar.google.es/scholar_url?url=https://ippc-iros23.github.io/papers/zhu.pdf&amp;hl=en&amp;sa=X&amp;d=6336797374760945123&amp;ei=wrQqZbWUBq6ty9YPsP2JqA8&amp;scisig=AFWwaeacffqYSMC5dzZu4vvHG-lh&amp;oi=scholaralrt&amp;hist=v0_XxF0AAAAJ:13742027118377625026:AFWwaebUHLr8wRJ2PrQQIxHyeXqg&amp;html=&amp;pos=7&amp;folt=cit&amp;fols=</t>
  </si>
  <si>
    <t>Dynamic Object Avoidance using Event-Data for a Quadruped Robot</t>
  </si>
  <si>
    <t>https://scholar.google.es/scholar_url?url=https://isprs-archives.copernicus.org/articles/XLVIII-4-2024/651/2024/isprs-archives-XLVIII-4-2024-651-2024.pdf&amp;hl=en&amp;sa=X&amp;d=8356316285809898041&amp;ei=EL8aZ86HNf7Ey9YP_MqIcQ&amp;scisig=AFWwaeZ42OXAtAqFoWprmAwg4D4Y&amp;oi=scholaralrt&amp;hist=v0_XxF0AAAAJ:198837818532394236:AFWwaeZmMyKvHQIW44XNBFyAPl1L&amp;html=&amp;pos=1&amp;folt=rel&amp;fols=</t>
  </si>
  <si>
    <t>Asynchronous Visual-Inertial Odometry for Event Cameras</t>
  </si>
  <si>
    <t>https://scholar.google.es/scholar_url?url=https://iwfcv2023.github.io/assets/Oral/O6-3.%2520Event-Based%2520Reflectance%2520Separation.pdf&amp;hl=en&amp;sa=X&amp;d=6654598605327136182&amp;ei=ragAZMj8NfOBy9YPzPOF0Aw&amp;scisig=AAGBfm1E7JXJknh-aowS5c7ucOB5ulYb9A&amp;oi=scholaralrt&amp;hist=v0_XxF0AAAAJ:13742027118377625026:AAGBfm3UjufN_devjhEx0oELtR65UjD64A&amp;html=&amp;pos=3&amp;folt=cit&amp;fols=</t>
  </si>
  <si>
    <t>Event-Based Reflectance Separation</t>
  </si>
  <si>
    <t>https://scholar.google.es/scholar_url?url=https://jit.ndhu.edu.tw/article/viewFile/3187/3212&amp;hl=en&amp;sa=X&amp;d=6458349846811851636&amp;ei=GYSIaOCIPNmN6rQPnsa-EQ&amp;scisig=AAZF9b8F6EQOdudQbahKVdGM0fAT&amp;oi=scholaralrt&amp;hist=v0_XxF0AAAAJ:13742027118377625026:AAZF9b802AK2JmjOJ6sFwAbOS06D&amp;html=&amp;pos=7&amp;folt=cit&amp;fols=</t>
  </si>
  <si>
    <t>Review of the Development and Application of Visual Sensors based on Event Streaming</t>
  </si>
  <si>
    <t>JIT 2025</t>
  </si>
  <si>
    <t>https://scholar.google.es/scholar_url?url=https://keep.lib.asu.edu/system/files/c7/Verma_asu_0010N_23965.pdf&amp;hl=en&amp;sa=X&amp;d=14767130929252122412&amp;ei=nzZeZoPfOtWF6rQPybyB8Ac&amp;scisig=AFWwaebBAIeetpRIUXq-mNvwXQbx&amp;oi=scholaralrt&amp;hist=v0_XxF0AAAAJ:198837818532394236:AFWwaeZmMyKvHQIW44XNBFyAPl1L&amp;html=&amp;pos=2&amp;folt=rel&amp;fols=</t>
  </si>
  <si>
    <t>eTraM: Event-based Traffic Monitoring for Resource-Efficient Detection and Tracking Across Varied Lighting Conditions</t>
  </si>
  <si>
    <t>https://scholar.google.es/scholar_url?url=https://library.imaging.org/admin/apis/public/api/ist/website/downloadArticle/ei/37/15/AVM-108&amp;hl=en&amp;sa=X&amp;d=16177614836034790882&amp;ei=9lk1aOr0Mam7ieoP1JuLsA8&amp;scisig=AAZF9b8aNSDppvyFli26BBu712Hy&amp;oi=scholaralrt&amp;hist=v0_XxF0AAAAJ:13742027118377625026:AAZF9b802AK2JmjOJ6sFwAbOS06D&amp;html=&amp;pos=0&amp;folt=cit&amp;fols=</t>
  </si>
  <si>
    <t>Automotive Vision using Hybrid Event Sensors</t>
  </si>
  <si>
    <t>EIAVM 2025</t>
  </si>
  <si>
    <t>https://scholar.google.es/scholar_url?url=https://link.springer.com/article/10.1007/s11263-023-01754-5&amp;hl=en&amp;sa=X&amp;d=14836577585452098067&amp;ei=cM7kY5uNEM2kmAGDjItg&amp;scisig=AAGBfm2w_hVBAhjN8s08ui7s5L1Vi_eofw&amp;oi=scholaralrt&amp;hist=v0_XxF0AAAAJ:13742027118377625026:AAGBfm3UjufN_devjhEx0oELtR65UjD64A&amp;html=&amp;pos=2&amp;folt=cit&amp;fols=</t>
  </si>
  <si>
    <t>Deblurring Low-Light Images with Events</t>
  </si>
  <si>
    <t>https://scholar.google.es/scholar_url?url=https://link.springer.com/article/10.1007/s11263-024-02148-x&amp;hl=en&amp;sa=X&amp;d=10829459950354797881&amp;ei=akSHZsmUCcPOy9YPoN-ggAk&amp;scisig=AFWwaeYQoYMnUaUjuK9QZhLQvQ_U&amp;oi=scholaralrt&amp;hist=v0_XxF0AAAAJ:13742027118377625026:AFWwaebUHLr8wRJ2PrQQIxHyeXqg&amp;html=&amp;pos=0&amp;folt=cit&amp;fols=</t>
  </si>
  <si>
    <t>Event-Driven Heterogeneous Network for Video Deraining</t>
  </si>
  <si>
    <t>https://scholar.google.es/scholar_url?url=https://link.springer.com/chapter/10.1007/978-3-031-20503-3_32&amp;hl=en&amp;sa=X&amp;d=14793258867288900269&amp;ei=U4-hY_vAIuiD6rQPitaN2AE&amp;scisig=AAGBfm3ZTMi1oW9d_8lDc2Mcz6W29ssywA&amp;oi=scholaralrt&amp;hist=v0_XxF0AAAAJ:13742027118377625026:AAGBfm3UjufN_devjhEx0oELtR65UjD64A&amp;html=&amp;pos=1&amp;folt=cit&amp;fols=</t>
  </si>
  <si>
    <t>Event-Based Obstacle Sensing and Avoidance for an UAV Through Deep Reinforcement Learning</t>
  </si>
  <si>
    <t>CICAI 2022</t>
  </si>
  <si>
    <t>https://scholar.google.es/scholar_url?url=https://link.springer.com/chapter/10.1007/978-3-031-43148-7_19&amp;hl=en&amp;sa=X&amp;d=4471264251919556617&amp;ei=PRH6ZODyFsKK6rQP3uq74Ak&amp;scisig=AFWwaea-bNPJ3mgtVXalMS_w9utT&amp;oi=scholaralrt&amp;hist=v0_XxF0AAAAJ:198837818532394236:AFWwaeZmMyKvHQIW44XNBFyAPl1L&amp;html=&amp;pos=0&amp;folt=rel&amp;fols=</t>
  </si>
  <si>
    <t>Improved Bilinear Pooling for Real-Time Pose Event Camera Relocalisation</t>
  </si>
  <si>
    <t>ICIAP 2023</t>
  </si>
  <si>
    <t>https://scholar.google.es/scholar_url?url=https://link.springer.com/chapter/10.1007/978-3-031-43763-2_10&amp;hl=en&amp;sa=X&amp;d=2439593110662389142&amp;ei=NI4hZYHFBvq8y9YPofu3kAc&amp;scisig=AFWwaeYiNivH39Q7k--wKGMAcDEw&amp;oi=scholaralrt&amp;hist=v0_XxF0AAAAJ:13742027118377625026:AFWwaebUHLr8wRJ2PrQQIxHyeXqg&amp;html=&amp;pos=5&amp;folt=cit&amp;fols=</t>
  </si>
  <si>
    <t>Semantic Segmentation Using Events and Combination of Events and Frames</t>
  </si>
  <si>
    <t>AISV 2023</t>
  </si>
  <si>
    <t>https://scholar.google.es/scholar_url?url=https://link.springer.com/chapter/10.1007/978-3-031-44198-1_17&amp;hl=en&amp;sa=X&amp;d=17224430119430157730&amp;ei=6zwTZYikIo-8ywTkxoa4Dg&amp;scisig=AFWwaea5PUSAsLz6LsCcGsoVQNVV&amp;oi=scholaralrt&amp;hist=v0_XxF0AAAAJ:13742027118377625026:AFWwaebUHLr8wRJ2PrQQIxHyeXqg&amp;html=&amp;pos=2&amp;folt=cit&amp;fols=</t>
  </si>
  <si>
    <t>Exploring the Role of Feedback Inhibition for the Robustness Against Corruptions on Event-Based Data</t>
  </si>
  <si>
    <t>https://scholar.google.es/scholar_url?url=https://link.springer.com/chapter/10.1007/978-3-031-72359-9_26&amp;hl=en&amp;sa=X&amp;d=11847006701299522974&amp;ei=noL_ZpD2HNWM6rQPr4KVmQI&amp;scisig=AFWwaeZdYvEyyx3wZRWUVV5920A4&amp;oi=scholaralrt&amp;hist=v0_XxF0AAAAJ:13742027118377625026:AFWwaebUHLr8wRJ2PrQQIxHyeXqg&amp;html=&amp;pos=0&amp;folt=cit&amp;fols=</t>
  </si>
  <si>
    <t>Event-Based Hand Detection on Neuromorphic Hardware Using a Sigma Delta Neural Network</t>
  </si>
  <si>
    <t>ICANN 2024</t>
  </si>
  <si>
    <t>https://scholar.google.es/scholar_url?url=https://link.springer.com/chapter/10.1007/978-3-031-78186-5_21&amp;hl=en&amp;sa=X&amp;d=13469813335367503821&amp;ei=skleZ5yWHbiC6rQP9vaF2Q4&amp;scisig=AFWwaebQQIYfBG7_BhUxaS-Yn_0w&amp;oi=scholaralrt&amp;hist=v0_XxF0AAAAJ:198837818532394236:AFWwaeZmMyKvHQIW44XNBFyAPl1L&amp;html=&amp;pos=5&amp;folt=rel&amp;fols=</t>
  </si>
  <si>
    <t>EB-SNN: An Ensemble Binary Spiking Neural Network for Visual Recognition</t>
  </si>
  <si>
    <t>https://scholar.google.es/scholar_url?url=https://link.springer.com/chapter/10.1007/978-981-99-1645-0_35&amp;hl=en&amp;sa=X&amp;d=12324153648358369380&amp;ei=iJk-ZO35HPiH6rQP4JmliAc&amp;scisig=AJ9-iYt3CdbwEAXZ65LLRjqKeJQM&amp;oi=scholaralrt&amp;hist=v0_XxF0AAAAJ:13742027118377625026:AJ9-iYul-8LSola92fEXQwk5J1jm&amp;html=&amp;pos=2&amp;folt=cit&amp;fols=</t>
  </si>
  <si>
    <t>A Spatio-Temporal Event Data Augmentation Method for Dynamic Vision Sensor</t>
  </si>
  <si>
    <t>https://scholar.google.es/scholar_url?url=https://link.springer.com/chapter/10.1007/978-981-99-8126-7_37&amp;hl=en&amp;sa=X&amp;d=8122559147813634527&amp;ei=pEtmZZjjK4nemQGh_JTgCA&amp;scisig=AFWwaeaedAFzProDe-hyHAOVPkXQ&amp;oi=scholaralrt&amp;hist=v0_XxF0AAAAJ:198837818532394236:AFWwaeZmMyKvHQIW44XNBFyAPl1L&amp;html=&amp;pos=0&amp;folt=rel&amp;fols=</t>
  </si>
  <si>
    <t>Event-Based Object Recognition Using Feature Fusion and Spiking Neural Networks</t>
  </si>
  <si>
    <t>ICONIP 2023</t>
  </si>
  <si>
    <t>https://scholar.google.es/scholar_url?url=https://link.springer.com/content/pdf/10.1007/978-3-031-73383-3_12.pdf&amp;hl=en&amp;sa=X&amp;d=10640695710823895168&amp;ei=xz45Z7SUJZ236rQP4eisoAY&amp;scisig=AFWwaebqpSW0vtC1SOdK8HvUJGca&amp;oi=scholaralrt&amp;hist=v0_XxF0AAAAJ:13742027118377625026:AFWwaebUHLr8wRJ2PrQQIxHyeXqg&amp;html=&amp;pos=2&amp;folt=cit&amp;fols=</t>
  </si>
  <si>
    <t>EDformer: Transformer-Based Event Denoising Across Varied Noise Levels</t>
  </si>
  <si>
    <t>https://scholar.google.es/scholar_url?url=https://lup.lub.lu.se/student-papers/record/9142302/file/9142457.pdf&amp;hl=en&amp;sa=X&amp;d=17652495590458610392&amp;ei=sKmNZebbDqaAy9YP9tm6uAo&amp;scisig=AFWwaebksIiDWX7EyhSeuhgVEAn5&amp;oi=scholaralrt&amp;hist=v0_XxF0AAAAJ:13742027118377625026:AFWwaebUHLr8wRJ2PrQQIxHyeXqg&amp;html=&amp;pos=2&amp;folt=cit&amp;fols=</t>
  </si>
  <si>
    <t>Trainable Region of Interest Prediction: Hard Attention Framework for Hardware-Efficient Event-Based Computer Vision Neural Networks on Neuromorphic Processors</t>
  </si>
  <si>
    <t>https://scholar.google.es/scholar_url?url=https://mediatum.ub.tum.de/doc/1730953/fvdhuqavp1zqafmjp3cy753kh.pdf&amp;hl=en&amp;sa=X&amp;d=9990182032531987384&amp;ei=5fGfZeTzN8KAy9YP4bqs-Ac&amp;scisig=AFWwaeYp5wYdcJGIpKZqiRl7Nmap&amp;oi=scholaralrt&amp;hist=v0_XxF0AAAAJ:198837818532394236:AFWwaeZmMyKvHQIW44XNBFyAPl1L&amp;html=&amp;pos=1&amp;folt=rel&amp;fols=</t>
  </si>
  <si>
    <t>TUMTraf Event: Calibration and Fusion Resulting in a Dataset for Roadside Event-Based and RGB Cameras</t>
  </si>
  <si>
    <t>https://scholar.google.es/scholar_url?url=https://mediatum.ub.tum.de/doc/1759594/8fnm9kkemo6hh647zn14vu5sq.IAC-24,A6,IP,54,x84856.pdf&amp;hl=en&amp;sa=X&amp;d=7801277880542109946&amp;ei=q6AoZ7vRNv7Ey9YP05vQ6Aw&amp;scisig=AFWwaebTOeuHkCFAfPV-a73JhtVg&amp;oi=scholaralrt&amp;hist=v0_XxF0AAAAJ:13742027118377625026:AFWwaebUHLr8wRJ2PrQQIxHyeXqg&amp;html=&amp;pos=0&amp;folt=cit&amp;fols=</t>
  </si>
  <si>
    <t>LEVERAGING EVENT-BASED CAMERAS FOR ENHANCED SPACE SITUATIONAL AWARENESS: A NANOSATELLITE MISSION ARCHITECTURE STUDY</t>
  </si>
  <si>
    <t>IAC 2024</t>
  </si>
  <si>
    <t>https://scholar.google.es/scholar_url?url=https://mediatum.ub.tum.de/doc/1759640/j6je2yoap73rgpqu5ioycnjls.IAC%25202024%2520Manuscript%2520B5,IP,4.pdf&amp;hl=en&amp;sa=X&amp;d=3508171834960799856&amp;ei=q6AoZ7vRNv7Ey9YP05vQ6Aw&amp;scisig=AFWwaeaIE6kZvuaqCuupjJ4JUyPj&amp;oi=scholaralrt&amp;hist=v0_XxF0AAAAJ:13742027118377625026:AFWwaebUHLr8wRJ2PrQQIxHyeXqg&amp;html=&amp;pos=1&amp;folt=cit&amp;fols=</t>
  </si>
  <si>
    <t>ADVANCING DIGITAL TWIN IMPLEMENTATION FOR CUBESATS: INTEGRATING THEORETICAL INSIGHTS WITH REAL-WORLD APPLICATIONS</t>
  </si>
  <si>
    <t>https://scholar.google.es/scholar_url?url=https://ndia-mich.org/images/events/gvsets/2025/papers/aair/10%252050%2520AM%2520Uncrewed%2520Aerial%2520System%2520Detection%2520and%2520Tracking%2520with%2520Event%2520Cameras.pdf&amp;hl=en&amp;sa=X&amp;d=14348872115250406722&amp;ei=BLuoaNvrEszM6rQPr-ns-Q8&amp;scisig=AAZF9b9mCjy8GnC1dXyAwrb9kisv&amp;oi=scholaralrt&amp;hist=v0_XxF0AAAAJ:198837818532394236:AAZF9b-3jVPI_G2C1ZFisyDADLOa&amp;html=&amp;pos=3&amp;folt=rel&amp;fols=</t>
  </si>
  <si>
    <t>Uncrewed Aerial System Detection and Tracking with Event Cameras</t>
  </si>
  <si>
    <t>GVSETS 2025</t>
  </si>
  <si>
    <t>https://scholar.google.es/scholar_url?url=https://oa.upm.es/89413/3/TFM_TOMAS_SANCHEZ.pdf&amp;hl=en&amp;sa=X&amp;d=17312036177990810563&amp;ei=UaOGaIehINSWieoPqqr2sQc&amp;scisig=AAZF9b83T3ATjcVR8m7rkBck91El&amp;oi=scholaralrt&amp;hist=v0_XxF0AAAAJ:13742027118377625026:AAZF9b802AK2JmjOJ6sFwAbOS06D&amp;html=&amp;pos=4&amp;folt=cit&amp;fols=</t>
  </si>
  <si>
    <t>Enhancing Event-Based Vision for Logistics</t>
  </si>
  <si>
    <t>https://scholar.google.es/scholar_url?url=https://ojs.aaai.org/index.php/AAAI/article/download/25298/25070&amp;hl=en&amp;sa=X&amp;d=17399265523337303767&amp;ei=ArigZO3aM_qDy9YPpOa_kAI&amp;scisig=ABFrs3wG8PJMwajNiA27YneLMpgO&amp;oi=scholaralrt&amp;hist=v0_XxF0AAAAJ:13742027118377625026:ABFrs3wmzmYwkdiX_1n7Cp8GQyah&amp;html=&amp;pos=2&amp;folt=cit&amp;fols=</t>
  </si>
  <si>
    <t>Better and Faster: Adaptive Event Conversion for Event-Based Object Detection</t>
  </si>
  <si>
    <t>AAAI 2023</t>
  </si>
  <si>
    <t>https://scholar.google.es/scholar_url?url=https://ojs.aaai.org/index.php/AAAI/article/download/25336/25108&amp;hl=en&amp;sa=X&amp;d=10063449484267627351&amp;ei=ArigZO3aM_qDy9YPpOa_kAI&amp;scisig=ABFrs3whqOm_tMVyNiyer1alIxOx&amp;oi=scholaralrt&amp;hist=v0_XxF0AAAAJ:13742027118377625026:ABFrs3wmzmYwkdiX_1n7Cp8GQyah&amp;html=&amp;pos=9&amp;folt=cit&amp;fols=</t>
  </si>
  <si>
    <t>Asynchronous Event Processing with Local-Shift Graph Convolutional Network</t>
  </si>
  <si>
    <t>https://scholar.google.es/scholar_url?url=https://ojs.aaai.org/index.php/AAAI/article/download/34013/36168&amp;hl=en&amp;sa=X&amp;d=13929318101782230017&amp;ei=Bo79Z8a8Npuw6rQPjdfcmQQ&amp;scisig=AFWwaeaUOdpKvoZLOh_0_ybhhWyV&amp;oi=scholaralrt&amp;hist=v0_XxF0AAAAJ:198837818532394236:AFWwaeZmMyKvHQIW44XNBFyAPl1L&amp;html=&amp;pos=1&amp;folt=rel&amp;fols=</t>
  </si>
  <si>
    <t>https://scholar.google.es/scholar_url?url=https://ojs.aaai.org/index.php/AAAI/article/view/27957/27934&amp;hl=en&amp;sa=X&amp;d=7697907798243578822&amp;ei=HYoFZordD9PAy9YPwNS90Aw&amp;scisig=AFWwaebx3dBPL5ZS47Mu649QHwjD&amp;oi=scholaralrt&amp;hist=v0_XxF0AAAAJ:13742027118377625026:AFWwaebUHLr8wRJ2PrQQIxHyeXqg&amp;html=&amp;pos=1&amp;folt=cit&amp;fols=</t>
  </si>
  <si>
    <t>Neuromorphic Event Signal-Driven Network for Video De-raining</t>
  </si>
  <si>
    <t>https://scholar.google.es/scholar_url?url=https://onlinelibrary.wiley.com/doi/pdf/10.1002/aisy.202300027&amp;hl=en&amp;sa=X&amp;d=14796060149684492216&amp;ei=EdivZK_uL-TBsQK9nqGIBQ&amp;scisig=ABFrs3yWGMJ9R8DVLG-0cjDqRGH9&amp;oi=scholaralrt&amp;hist=v0_XxF0AAAAJ:13742027118377625026:ABFrs3wmzmYwkdiX_1n7Cp8GQyah&amp;html=&amp;pos=0&amp;folt=cit&amp;fols=</t>
  </si>
  <si>
    <t>T-ESVO: Improved Event‐Based Stereo Visual Odometry via Adaptive Time‐Surface and Truncated Signed Distance Function</t>
  </si>
  <si>
    <t>AISY 2023</t>
  </si>
  <si>
    <t>https://scholar.google.es/scholar_url?url=https://open.library.ubc.ca/media/download/pdf/24/1.0445355/4&amp;hl=en&amp;sa=X&amp;d=11408457206639378932&amp;ei=qP_jZoLLPPGF6rQP9tiDkQE&amp;scisig=AFWwaebY31qLQyeQhhqbgt-22zNB&amp;oi=scholaralrt&amp;hist=v0_XxF0AAAAJ:13742027118377625026:AFWwaebUHLr8wRJ2PrQQIxHyeXqg&amp;html=&amp;pos=5&amp;folt=cit&amp;fols=</t>
  </si>
  <si>
    <t>Deblurring neural radiance fields by modeling camera imperfections and using RGB-event stereo</t>
  </si>
  <si>
    <t>https://scholar.google.es/scholar_url?url=https://open.metu.edu.tr/bitstream/handle/11511/116041/index.pdf&amp;hl=en&amp;sa=X&amp;d=8476213109613994786&amp;ei=oGnfaKWYCfiu6rQPlOqwiQY&amp;scisig=AAZF9b_Ntak2SIaGXMRD_PGer7bx&amp;oi=scholaralrt&amp;hist=v0_XxF0AAAAJ:13742027118377625026:AAZF9b802AK2JmjOJ6sFwAbOS06D&amp;html=&amp;pos=6&amp;folt=cit&amp;fols=</t>
  </si>
  <si>
    <t>Event camera based pose estimation in stereo visual-inertial odometry with multi-state constraint Kalman filter</t>
  </si>
  <si>
    <t>https://scholar.google.es/scholar_url?url=https://openaccess.thecvf.com/content/ACCV2024/papers/Weng_Event-based_Image_Enhancement_Under_High_Dynamic_Range_Scenarios_ACCV_2024_paper.pdf&amp;hl=en&amp;sa=X&amp;d=12016548439939029552&amp;ei=ZxpTZ5nnPI6_y9YPncPB6Q8&amp;scisig=AFWwaeYhK9Xc7aB88a-snFQgksxi&amp;oi=scholaralrt&amp;hist=v0_XxF0AAAAJ:198837818532394236:AFWwaeZmMyKvHQIW44XNBFyAPl1L&amp;html=&amp;pos=2&amp;folt=rel&amp;fols=</t>
  </si>
  <si>
    <t>Event-based Image Enhancement Under High Dynamic Range Scenarios</t>
  </si>
  <si>
    <t>ACCV 2024</t>
  </si>
  <si>
    <t>https://scholar.google.es/scholar_url?url=https://openaccess.thecvf.com/content/CVPR2024/papers/Cho_TTA-EVF_Test-Time_Adaptation_for_Event-based_Video_Frame_Interpolation_via_Reliable_CVPR_2024_paper.pdf&amp;hl=en&amp;sa=X&amp;d=11134673632235246397&amp;ei=GDJsZq2XK7qDy9YP4v2F6Aw&amp;scisig=AFWwaeYLTvpUc9IQELYp712QcCmK&amp;oi=scholaralrt&amp;hist=v0_XxF0AAAAJ:198837818532394236:AFWwaeZmMyKvHQIW44XNBFyAPl1L&amp;html=&amp;pos=7&amp;folt=rel&amp;fols=</t>
  </si>
  <si>
    <t>TTA-EVF: Test-Time Adaptation for Event-based Video Frame Interpolation via Reliable Pixel and Sample Estimation</t>
  </si>
  <si>
    <t>https://scholar.google.es/scholar_url?url=https://openaccess.thecvf.com/content/CVPR2024/papers/Kim_Frequency-aware_Event-based_Video_Deblurring_for_Real-World_Motion_Blur_CVPR_2024_paper.pdf&amp;hl=en&amp;sa=X&amp;d=4955948708753522443&amp;ei=GuFuZqLjC4aM6rQPpe-zqAs&amp;scisig=AFWwaeaC5zrUOvMKyFInIH0Xcxpr&amp;oi=scholaralrt&amp;hist=v0_XxF0AAAAJ:198837818532394236:AFWwaeZmMyKvHQIW44XNBFyAPl1L&amp;html=&amp;pos=0&amp;folt=rel&amp;fols=</t>
  </si>
  <si>
    <t>Frequency-aware Event-based Video Deblurring for Real-World Motion Blur</t>
  </si>
  <si>
    <t>https://scholar.google.es/scholar_url?url=https://openaccess.thecvf.com/content/CVPR2024/papers/Xu_DMR_Decomposed_Multi-Modality_Representations_for_Frames_and_Events_Fusion_in_CVPR_2024_paper.pdf&amp;hl=en&amp;sa=X&amp;d=2147306273852386243&amp;ei=GDJsZq-yL66p6rQPit2GkAE&amp;scisig=AFWwaeafD-EQib3o28qq6Z2rKiz5&amp;oi=scholaralrt&amp;hist=v0_XxF0AAAAJ:13742027118377625026:AFWwaebUHLr8wRJ2PrQQIxHyeXqg&amp;html=&amp;pos=2&amp;folt=cit&amp;fols=</t>
  </si>
  <si>
    <t>DMR: Decomposed Multi-Modality Representations for Frames and Events Fusion in Visual Reinforcement Learning</t>
  </si>
  <si>
    <t>https://scholar.google.es/scholar_url?url=https://openaccess.thecvf.com/content/CVPR2024W/CVsports/papers/Nakabayashi_Event-based_Ball_Spin_Estimation_in_Sports_CVPRW_2024_paper.pdf&amp;hl=en&amp;sa=X&amp;d=1422890995618978220&amp;ei=GDJsZq-yL66p6rQPit2GkAE&amp;scisig=AFWwaeY4V5iOk4ANxwKSSUADYvEp&amp;oi=scholaralrt&amp;hist=v0_XxF0AAAAJ:13742027118377625026:AFWwaebUHLr8wRJ2PrQQIxHyeXqg&amp;html=&amp;pos=5&amp;folt=cit&amp;fols=</t>
  </si>
  <si>
    <t>Event-based Ball Spin Estimation in Sports</t>
  </si>
  <si>
    <t>https://scholar.google.es/scholar_url?url=https://openaccess.thecvf.com/content/CVPR2024W/MULA/papers/Devulapally_Multi-Modal_Fusion_of_Event_and_RGB_for_Monocular_Depth_Estimation_CVPRW_2024_paper.pdf&amp;hl=en&amp;sa=X&amp;d=7526396297183071175&amp;ei=GDJsZq-yL66p6rQPit2GkAE&amp;scisig=AFWwaebIGTriZPD5lnmfqU3WFFwy&amp;oi=scholaralrt&amp;hist=v0_XxF0AAAAJ:13742027118377625026:AFWwaebUHLr8wRJ2PrQQIxHyeXqg&amp;html=&amp;pos=8&amp;folt=cit&amp;fols=</t>
  </si>
  <si>
    <t>Multi-Modal Fusion of Event and RGB for Monocular Depth Estimation Using a Unified Transformer-based Architecture</t>
  </si>
  <si>
    <t>https://scholar.google.es/scholar_url?url=https://openaccess.thecvf.com/content/WACV2025W/EVGEN/papers/Pawar_Blurring_for_Clarity_Passive_Computation_for_Defocus-Driven_Parsimonious_Navigation_using_WACVW_2025_paper.pdf&amp;hl=en&amp;sa=X&amp;d=3115859506550462726&amp;ei=y3fLZ9n9IsCSieoP8qaZ-Aw&amp;scisig=AFWwaeYPrRNCxafj2hasyRz6RzHD&amp;oi=scholaralrt&amp;hist=v0_XxF0AAAAJ:13742027118377625026:AFWwaebUHLr8wRJ2PrQQIxHyeXqg&amp;html=&amp;pos=8&amp;folt=cit&amp;fols=</t>
  </si>
  <si>
    <t>Blurring for Clarity: Passive Computation for Defocus-Driven Parsimonious Navigation using a Monocular Event Camera</t>
  </si>
  <si>
    <t>https://scholar.google.es/scholar_url?url=https://openreview.net/pdf%3Fid%3D11fe8wKkmk&amp;hl=en&amp;sa=X&amp;d=10331423634770936032&amp;ei=iQQKac3ZGtrZzwL1oN24Aw&amp;scisig=ABGrvjI0L3wc0eS5nLNFyG46wLCT&amp;oi=scholaralrt&amp;hist=v0_XxF0AAAAJ:13742027118377625026:ABGrvjKBHUi6MFH_DtNclerNeAZe&amp;html=&amp;pos=0&amp;folt=cit&amp;fols=</t>
  </si>
  <si>
    <t>Fully Autonomous Neuromorphic Navigation and Dynamic Obstacle Avoidance</t>
  </si>
  <si>
    <t>https://scholar.google.es/scholar_url?url=https://openreview.net/pdf%3Fid%3DAV1JQKAGkF&amp;hl=en&amp;sa=X&amp;d=9994102144599269380&amp;ei=heWqZuDHKr2Uy9YP74XdwAw&amp;scisig=AFWwaebnxiSyPprKUjWB41HS5JRh&amp;oi=scholaralrt&amp;hist=v0_XxF0AAAAJ:198837818532394236:AFWwaeZmMyKvHQIW44XNBFyAPl1L&amp;html=&amp;pos=0&amp;folt=rel&amp;fols=</t>
  </si>
  <si>
    <t>Event-ID: Intrinsic Decomposition Using an Event Camera</t>
  </si>
  <si>
    <t>https://scholar.google.es/scholar_url?url=https://openreview.net/pdf%3Fid%3DBWpMTkRrEO&amp;hl=en&amp;sa=X&amp;d=13455723693106125339&amp;ei=iQQKac3ZGtrZzwL1oN24Aw&amp;scisig=ABGrvjL_x9vMAelnL0_dNKMXv85o&amp;oi=scholaralrt&amp;hist=v0_XxF0AAAAJ:13742027118377625026:ABGrvjKBHUi6MFH_DtNclerNeAZe&amp;html=&amp;pos=1&amp;folt=cit&amp;fols=</t>
  </si>
  <si>
    <t>Event-Guided Consistent Video Enhancement with Modality-Adaptive Diffusion Pipeline</t>
  </si>
  <si>
    <t>https://scholar.google.es/scholar_url?url=https://openreview.net/pdf%3Fid%3DcJCROTFMEM&amp;hl=en&amp;sa=X&amp;d=6271454462776569769&amp;ei=UrtkaO6lNIOuieoPqtaP6Ag&amp;scisig=AAZF9b8uHFZj3VA_tPHBO5MqsEb1&amp;oi=scholaralrt&amp;hist=v0_XxF0AAAAJ:13742027118377625026:AAZF9b802AK2JmjOJ6sFwAbOS06D&amp;html=&amp;pos=1&amp;folt=cit&amp;fols=</t>
  </si>
  <si>
    <t>EvFocus: Learning to Reconstruct Sharp Images from Out-of-Focus Event Streams</t>
  </si>
  <si>
    <t>ICML 2025</t>
  </si>
  <si>
    <t>https://scholar.google.es/scholar_url?url=https://openreview.net/pdf%3Fid%3DDNopfn4hZf&amp;hl=en&amp;sa=X&amp;d=4755463110115989043&amp;ei=QVoMZ7C5PKG26rQPxZz7oAs&amp;scisig=AFWwaeZ7w8hQrB0WBsNR99w7GAtM&amp;oi=scholaralrt&amp;hist=v0_XxF0AAAAJ:13742027118377625026:AFWwaebUHLr8wRJ2PrQQIxHyeXqg&amp;html=&amp;pos=4&amp;folt=cit&amp;fols=</t>
  </si>
  <si>
    <t>Self-Supervised Pre-training of Spiking Neural Networks by Contrasting Events and Frames</t>
  </si>
  <si>
    <t>https://scholar.google.es/scholar_url?url=https://openreview.net/pdf%3Fid%3DEJZfcKXdiT&amp;hl=en&amp;sa=X&amp;d=801222703979423209&amp;ei=xz45Z7SUJZ236rQP4eisoAY&amp;scisig=AFWwaeZiAhwIK-q4U6mi-CQBPhq8&amp;oi=scholaralrt&amp;hist=v0_XxF0AAAAJ:13742027118377625026:AFWwaebUHLr8wRJ2PrQQIxHyeXqg&amp;html=&amp;pos=1&amp;folt=cit&amp;fols=</t>
  </si>
  <si>
    <t>Event-3DGS: Event-based 3D Reconstruction Using 3D Gaussian Splatting</t>
  </si>
  <si>
    <t>https://scholar.google.es/scholar_url?url=https://openreview.net/pdf%3Fid%3DHs2lECzJi9&amp;hl=en&amp;sa=X&amp;d=407760028309942344&amp;ei=heWqZuDHKr2Uy9YP74XdwAw&amp;scisig=AFWwaeZlrIz_rHpJ3kxohX9iAEwn&amp;oi=scholaralrt&amp;hist=v0_XxF0AAAAJ:198837818532394236:AFWwaeZmMyKvHQIW44XNBFyAPl1L&amp;html=&amp;pos=3&amp;folt=rel&amp;fols=</t>
  </si>
  <si>
    <t>Towards Low-latency Event-based Visual Recognition with Hybrid Step-wise Distillation Spiking Neural Networks</t>
  </si>
  <si>
    <t>https://scholar.google.es/scholar_url?url=https://openreview.net/pdf%3Fid%3Dp4MdxsQVXu&amp;hl=en&amp;sa=X&amp;d=4070840866762493309&amp;ei=RFioZrjzBZiCy9YP6MORyQk&amp;scisig=AFWwaebomNYL6CpD_p8a_3VJlY2p&amp;oi=scholaralrt&amp;hist=v0_XxF0AAAAJ:13742027118377625026:AFWwaebUHLr8wRJ2PrQQIxHyeXqg&amp;html=&amp;pos=9&amp;folt=cit&amp;fols=</t>
  </si>
  <si>
    <t>Adaptive Vision Transformer for Event-Based Human Pose Estimation</t>
  </si>
  <si>
    <t>https://scholar.google.es/scholar_url?url=https://openreview.net/pdf%3Fid%3DQp0d7CfKq8&amp;hl=en&amp;sa=X&amp;d=7408317532788023318&amp;ei=RFioZrjzBZiCy9YP6MORyQk&amp;scisig=AFWwaeaaJf_DT4bAuDxqcr-iYqpF&amp;oi=scholaralrt&amp;hist=v0_XxF0AAAAJ:13742027118377625026:AFWwaebUHLr8wRJ2PrQQIxHyeXqg&amp;html=&amp;pos=5&amp;folt=cit&amp;fols=</t>
  </si>
  <si>
    <t>Event-Guided Rolling Shutter Correction with Time-Aware Cross-Attentions</t>
  </si>
  <si>
    <t>https://scholar.google.es/scholar_url?url=https://openreview.net/pdf%3Fid%3DvCtyqomphj&amp;hl=en&amp;sa=X&amp;d=16809701747073471804&amp;ei=qjdbaM-xM9SWieoPzP3EKA&amp;scisig=AAZF9b9Pr_uFFsgSmPPggt2ZGLSa&amp;oi=scholaralrt&amp;hist=v0_XxF0AAAAJ:13742027118377625026:AAZF9b802AK2JmjOJ6sFwAbOS06D&amp;html=&amp;pos=2&amp;folt=cit&amp;fols=</t>
  </si>
  <si>
    <t>A Chaotic Dynamics Framework Inspired by Dorsal Stream for Event Signal Processing</t>
  </si>
  <si>
    <t>https://scholar.google.es/scholar_url?url=https://openreview.net/pdf%3Fid%3DYxuuzyplFZ&amp;hl=en&amp;sa=X&amp;d=585981152820006746&amp;ei=78E7Z4rQFKKXy9YPy9PvsQU&amp;scisig=AFWwaeZhaoN7D-sMKlnmqh7c_TVw&amp;oi=scholaralrt&amp;hist=v0_XxF0AAAAJ:13742027118377625026:AFWwaebUHLr8wRJ2PrQQIxHyeXqg&amp;html=&amp;pos=1&amp;folt=cit&amp;fols=</t>
  </si>
  <si>
    <t>EyeGraph: Modularity-aware Spatio Temporal Graph Clustering for Continuous Event-based Eye Tracking</t>
  </si>
  <si>
    <t>https://scholar.google.es/scholar_url?url=https://openreview.net/pdf%3Fid%3Dzctvc3QQr2&amp;hl=en&amp;sa=X&amp;d=3702128430468885111&amp;ei=heWqZuDHKr2Uy9YP74XdwAw&amp;scisig=AFWwaeay6r3cCfDtPY_sXfBzsdaa&amp;oi=scholaralrt&amp;hist=v0_XxF0AAAAJ:198837818532394236:AFWwaeZmMyKvHQIW44XNBFyAPl1L&amp;html=&amp;pos=2&amp;folt=rel&amp;fols=</t>
  </si>
  <si>
    <t>Color4E: Event Demosaicing for Full-color Event Guided Image Deblurring</t>
  </si>
  <si>
    <t>https://scholar.google.es/scholar_url?url=https://opg.optica.org/abstract.cfm%3Furi%3Dol-48-5-1304&amp;hl=en&amp;sa=X&amp;d=17350773817789626571&amp;ei=pxYDZMGZJ4WL6rQPsvqk4AE&amp;scisig=AAGBfm38UbigZa-dnp8jbpb60VlgOjXENw&amp;oi=scholaralrt&amp;hist=v0_XxF0AAAAJ:198837818532394236:AAGBfm3qe8R6xgugRn4Ir9dLExqv-Y_cuA&amp;html=&amp;pos=0&amp;folt=rel&amp;fols=</t>
  </si>
  <si>
    <t>Event-based dual photography for transparent scene reconstruction</t>
  </si>
  <si>
    <t>Optics Letters 2023</t>
  </si>
  <si>
    <t>https://scholar.google.es/scholar_url?url=https://opg.optica.org/abstract.cfm%3Furi%3Dol-49-12-3376&amp;hl=en&amp;sa=X&amp;d=1371432551203869905&amp;ei=HNxkZtjRJ_KJ6rQPq6GJ4QY&amp;scisig=AFWwaeaFjD-VFB809hPz3jUMipd6&amp;oi=scholaralrt&amp;hist=v0_XxF0AAAAJ:13742027118377625026:AFWwaebUHLr8wRJ2PrQQIxHyeXqg&amp;html=&amp;pos=1&amp;folt=cit&amp;fols=</t>
  </si>
  <si>
    <t>Event-based depth estimation with dense occlusion</t>
  </si>
  <si>
    <t>Optics Letters 2024</t>
  </si>
  <si>
    <t>https://scholar.google.es/scholar_url?url=https://opg.optica.org/oe/fulltext.cfm%3Furi%3Doe-31-8-13328&amp;hl=en&amp;sa=X&amp;d=7600452505558308138&amp;ei=1k01ZNLdGoKJy9YPlKyU8Ac&amp;scisig=AJ9-iYut6DK1_nT0Pf-p1EXabsA1&amp;oi=scholaralrt&amp;hist=v0_XxF0AAAAJ:13742027118377625026:AJ9-iYul-8LSola92fEXQwk5J1jm&amp;html=&amp;pos=2&amp;folt=cit&amp;fols=</t>
  </si>
  <si>
    <t>SEpi-3D: soft epipolar 3D shape measurement with an event camera for multipath elimination</t>
  </si>
  <si>
    <t>https://scholar.google.es/scholar_url?url=https://opg.optica.org/viewmedia.cfm%3Furi%3Dao-63-35-8936%26seq%3D0%26html%3Dtrue&amp;hl=en&amp;sa=X&amp;d=16691449170918000431&amp;ei=aBpTZ7yJBYWJy9YPl--DuQU&amp;scisig=AFWwaeZtOS-yvKvjwS3WB5iXFwWr&amp;oi=scholaralrt&amp;hist=v0_XxF0AAAAJ:13742027118377625026:AFWwaebUHLr8wRJ2PrQQIxHyeXqg&amp;html=&amp;pos=6&amp;folt=cit&amp;fols=</t>
  </si>
  <si>
    <t>Asynchronous event stream noise filtering for high-frequency structure deformation measurement</t>
  </si>
  <si>
    <t>https://scholar.google.es/scholar_url?url=https://opus.uleth.ca/bitstreams/ec0619d1-2c59-4e9d-bb16-07c22cc962c1/download&amp;hl=en&amp;sa=X&amp;d=3563231083860399869&amp;ei=xUwHZIDNIoLYmgG3koOAAQ&amp;scisig=AAGBfm07O-k_fGMoEC8nNfneN_8Xb-BfDA&amp;oi=scholaralrt&amp;hist=v0_XxF0AAAAJ:13742027118377625026:AAGBfm3UjufN_devjhEx0oELtR65UjD64A&amp;html=&amp;pos=4&amp;folt=cit&amp;fols=</t>
  </si>
  <si>
    <t>Motion compensated compression for event-based cameras</t>
  </si>
  <si>
    <t>https://scholar.google.es/scholar_url?url=https://papers.bmvc2023.org/0660.pdf&amp;hl=en&amp;sa=X&amp;d=7893140292852995961&amp;ei=pEtmZc6fLbKey9YP2K6pmAU&amp;scisig=AFWwaebuH3ojvROsdWLEVIJy51SD&amp;oi=scholaralrt&amp;hist=v0_XxF0AAAAJ:13742027118377625026:AFWwaebUHLr8wRJ2PrQQIxHyeXqg&amp;html=&amp;pos=2&amp;folt=cit&amp;fols=</t>
  </si>
  <si>
    <t>G2N2: Lightweight Event Stream Classification with GRU Graph Neural Networks</t>
  </si>
  <si>
    <t>https://scholar.google.es/scholar_url?url=https://pure.ulster.ac.uk/files/126749219/IAS.pdf&amp;hl=en&amp;sa=X&amp;d=15286117270794767894&amp;ei=CItXZpLMOevJy9YP-oDKsA8&amp;scisig=AFWwaeY8Ttpujp0F7lLwcQdS3jnD&amp;oi=scholaralrt&amp;hist=v0_XxF0AAAAJ:13742027118377625026:AFWwaebUHLr8wRJ2PrQQIxHyeXqg&amp;html=&amp;pos=1&amp;folt=cit&amp;fols=</t>
  </si>
  <si>
    <t>Modernised Reduction: Adapting the ROT tree</t>
  </si>
  <si>
    <t>IAS 2023</t>
  </si>
  <si>
    <t>https://scholar.google.es/scholar_url?url=https://raw.githubusercontent.com/mlresearch/v278/main/assets/zhang25c/zhang25c.pdf&amp;hl=en&amp;sa=X&amp;d=9109142023373450570&amp;ei=-mMIaa65KOSv6rQP5unnwAs&amp;scisig=ABGrvjL0H9At5PzEzeZktzbGFv2o&amp;oi=scholaralrt&amp;hist=v0_XxF0AAAAJ:198837818532394236:ABGrvjKnZpEfMdl4uRMBXNBmd2F5&amp;html=&amp;pos=3&amp;folt=rel&amp;fols=</t>
  </si>
  <si>
    <t>Event-Based Binary Neural Networks for Efficient and Accurate Lip Reading</t>
  </si>
  <si>
    <t>ICMLIC 2025</t>
  </si>
  <si>
    <t>https://scholar.google.es/scholar_url?url=https://repository.rit.edu/cgi/viewcontent.cgi%3Farticle%3D12869%26context%3Dtheses&amp;hl=en&amp;sa=X&amp;d=11485032791231708323&amp;ei=SbpPZvqIL8OJ6rQPyua5mAQ&amp;scisig=AFWwaeZ1AZcgNR1d4e8o5TNjsGJ6&amp;oi=scholaralrt&amp;hist=v0_XxF0AAAAJ:13742027118377625026:AFWwaebUHLr8wRJ2PrQQIxHyeXqg&amp;html=&amp;pos=5&amp;folt=cit&amp;fols=</t>
  </si>
  <si>
    <t>Spatiotemporal Alignment of Event Stream with Images and Active Illumination</t>
  </si>
  <si>
    <t>https://scholar.google.es/scholar_url?url=https://research.birmingham.ac.uk/files/255483301/Statistical_Distribution_Study_of_Dynamic_Vision_Sensor_Data.pdf&amp;hl=en&amp;sa=X&amp;d=7618613153074005708&amp;ei=Y2opaJDaKOG86rQP8bDQeA&amp;scisig=AAZF9b-KBqUghusyWk2VyGS3dPlN&amp;oi=scholaralrt&amp;hist=v0_XxF0AAAAJ:13742027118377625026:AAZF9b802AK2JmjOJ6sFwAbOS06D&amp;html=&amp;pos=4&amp;folt=cit&amp;fols=</t>
  </si>
  <si>
    <t>Statistical Distribution Study of Dynamic Vision Sensor Data</t>
  </si>
  <si>
    <t>ICONI 2024</t>
  </si>
  <si>
    <t>https://scholar.google.es/scholar_url?url=https://research.tue.nl/files/321079828/Wang_S.pdf&amp;hl=en&amp;sa=X&amp;d=2144608987145049839&amp;ei=ZxzkaMTWDMSz6rQPyKGw-Ag&amp;scisig=AAZF9b-p_G1fAFiC9YYPkUaYZwY9&amp;oi=scholaralrt&amp;hist=v0_XxF0AAAAJ:13742027118377625026:AAZF9b802AK2JmjOJ6sFwAbOS06D&amp;html=&amp;pos=4&amp;folt=cit&amp;fols=</t>
  </si>
  <si>
    <t>Hardware Efficient Object Detection for High Spatial Resolution Event Camera</t>
  </si>
  <si>
    <t>https://scholar.google.es/scholar_url?url=https://research.tue.nl/files/329695432/2304.04640v3.pdf&amp;hl=en&amp;sa=X&amp;d=12651208264455342111&amp;ei=GuFuZsveDo3A6rQPjqSPmAY&amp;scisig=AFWwaeZTzanoL7LJgWhPvSzy1But&amp;oi=scholaralrt&amp;hist=v0_XxF0AAAAJ:13742027118377625026:AFWwaebUHLr8wRJ2PrQQIxHyeXqg&amp;html=&amp;pos=0&amp;folt=cit&amp;fols=</t>
  </si>
  <si>
    <t>NeuroBench: A Framework for Benchmarking Neuromorphic Computing Algorithms and Systems</t>
  </si>
  <si>
    <t>https://scholar.google.es/scholar_url?url=https://research.tue.nl/files/347045213/Asilomar_draft-2.pdf&amp;hl=en&amp;sa=X&amp;d=1589764922129837787&amp;ei=mRRdZ83LK-i96rQPgvP5mAI&amp;scisig=AFWwaeaQgI6LQ2Ur7f7P3a87Rdvu&amp;oi=scholaralrt&amp;hist=v0_XxF0AAAAJ:198837818532394236:AFWwaeZmMyKvHQIW44XNBFyAPl1L&amp;html=&amp;pos=4&amp;folt=rel&amp;fols=</t>
  </si>
  <si>
    <t>SpikeVision: A Fully Spiking Neural Network Transformer-Inspired Model for Dynamic Vision Sensors</t>
  </si>
  <si>
    <t>Asilomar Conf 2024</t>
  </si>
  <si>
    <t>https://scholar.google.es/scholar_url?url=https://researchdirect.westernsydney.edu.au/islandora/object/uws:67799/datastream/PDF/view&amp;hl=en&amp;sa=X&amp;d=14838555793157647984&amp;ei=U4-hY_vAIuiD6rQPitaN2AE&amp;scisig=AAGBfm1F85vTlAxFOA-JmFW4lpUTUCR7XQ&amp;oi=scholaralrt&amp;hist=v0_XxF0AAAAJ:13742027118377625026:AAGBfm3UjufN_devjhEx0oELtR65UjD64A&amp;html=&amp;pos=2&amp;folt=cit&amp;fols=</t>
  </si>
  <si>
    <t>Neuromorphic perception for greenhouse technology using event-based sensors</t>
  </si>
  <si>
    <t>MS thesis</t>
  </si>
  <si>
    <t>https://scholar.google.es/scholar_url?url=https://researchdirect.westernsydney.edu.au/islandora/object/uws:71908/datastream/PDF/view&amp;hl=en&amp;sa=X&amp;d=15810106674528203921&amp;ei=PRH6ZKLPGbeAy9YPzI686As&amp;scisig=AFWwaebHmE5FygbJozEgrK2CEZW2&amp;oi=scholaralrt&amp;hist=v0_XxF0AAAAJ:13742027118377625026:AFWwaebUHLr8wRJ2PrQQIxHyeXqg&amp;html=&amp;pos=3&amp;folt=cit&amp;fols=</t>
  </si>
  <si>
    <t>Exploring space situational awareness using neuromorphic event-based cameras</t>
  </si>
  <si>
    <t>PhD Thesis</t>
  </si>
  <si>
    <t>https://scholar.google.es/scholar_url?url=https://researchrepository.universityofgalway.ie/bitstreams/4108a3ce-5274-4f30-bb87-cf5f6b3471e7/download&amp;hl=en&amp;sa=X&amp;d=7230436368027883429&amp;ei=GYSIaOCIPNmN6rQPnsa-EQ&amp;scisig=AAZF9b_rC4aUqHteTGPzfvmGj0px&amp;oi=scholaralrt&amp;hist=v0_XxF0AAAAJ:13742027118377625026:AAZF9b802AK2JmjOJ6sFwAbOS06D&amp;html=&amp;pos=6&amp;folt=cit&amp;fols=</t>
  </si>
  <si>
    <t>Neuromorphic event-based vision: Sparse and spiking networks for efficient vision systems</t>
  </si>
  <si>
    <t>https://scholar.google.es/scholar_url?url=https://researchrepository.universityofgalway.ie/bitstreams/db7b6c58-366d-477a-ae55-48f445c268a8/download&amp;hl=en&amp;sa=X&amp;d=12870044750424041892&amp;ei=XR6waLHyIvnSieoPxKLpgQ0&amp;scisig=AAZF9b8plc3v5Dsd_ichhlrR1jvn&amp;oi=scholaralrt&amp;hist=v0_XxF0AAAAJ:13742027118377625026:AAZF9b802AK2JmjOJ6sFwAbOS06D&amp;html=&amp;pos=0&amp;folt=cit&amp;fols=</t>
  </si>
  <si>
    <t>Bias tuning of an event camera for in-cabin automotive environments</t>
  </si>
  <si>
    <t>https://scholar.google.es/scholar_url?url=https://roboticimaging.org/Papers/munasinghe2024towards.pdf&amp;hl=en&amp;sa=X&amp;d=16909100827535553075&amp;ei=LVVWZoieFbaA6rQP-K6ksAQ&amp;scisig=AFWwaeYqnfTD29UqWdZGko-HFogF&amp;oi=scholaralrt&amp;hist=v0_XxF0AAAAJ:13742027118377625026:AFWwaebUHLr8wRJ2PrQQIxHyeXqg&amp;html=&amp;pos=1&amp;folt=cit&amp;fols=</t>
  </si>
  <si>
    <t>Towards Event-Based Satellite Docking: A Photometrically Accurate Low-Earth Orbit Hardware Simulation</t>
  </si>
  <si>
    <t>https://scholar.google.es/scholar_url?url=https://scholarspace.manoa.hawaii.edu/bitstreams/035813d8-a40d-44dd-a86d-be72c6ccc8d5/download&amp;hl=en&amp;sa=X&amp;d=7374605873387123712&amp;ei=VPpxZ8DCJ4qay9YP7vuXyQg&amp;scisig=AFWwaeal6G51XPI_gQ_mwclwdJj2&amp;oi=scholaralrt&amp;hist=v0_XxF0AAAAJ:13742027118377625026:AFWwaebUHLr8wRJ2PrQQIxHyeXqg&amp;html=&amp;pos=1&amp;folt=cit&amp;fols=</t>
  </si>
  <si>
    <t>Development of a Neuromorphic-Friendly Spiking Neural Network for RF Event-based Classification</t>
  </si>
  <si>
    <t>https://scholar.google.es/scholar_url?url=https://scholarspace.manoa.hawaii.edu/bitstreams/1396a358-fdae-4b71-a42a-d5727009d591/download&amp;hl=en&amp;sa=X&amp;d=17253831856092747174&amp;ei=VPpxZ6r5Jfuh6rQPosHk8Ag&amp;scisig=AFWwaeYqIEPLuXTrgQjV7BAsK-7h&amp;oi=scholaralrt&amp;hist=v0_XxF0AAAAJ:198837818532394236:AFWwaeZmMyKvHQIW44XNBFyAPl1L&amp;html=&amp;pos=1&amp;folt=rel&amp;fols=</t>
  </si>
  <si>
    <t>Generative Data for Neuromorphic Computing</t>
  </si>
  <si>
    <t>HICSS 2025</t>
  </si>
  <si>
    <t>https://scholar.google.es/scholar_url?url=https://search.proquest.com/openview/36da65c3945a59cbe36f443ebc288570/1%3Fpq-origsite%3Dgscholar%26cbl%3D18750%26diss%3Dy&amp;hl=en&amp;sa=X&amp;d=15679757250237065085&amp;ei=n-0JZb3aA432yASH8YjICw&amp;scisig=AFWwaeYGjyT9iS8ON8LArkvLpX9O&amp;oi=scholaralrt&amp;hist=v0_XxF0AAAAJ:13742027118377625026:AFWwaebUHLr8wRJ2PrQQIxHyeXqg&amp;html=&amp;pos=1&amp;folt=cit&amp;fols=</t>
  </si>
  <si>
    <t>Research on the Static Response Mechanism of Event Cameras and Their Applications in Static Scenes</t>
  </si>
  <si>
    <t>https://scholar.google.es/scholar_url?url=https://search.proquest.com/openview/9a9cff0847516d81fc1ff87be2002d7f/1%3Fpq-origsite%3Dgscholar%26cbl%3D18750%26diss%3Dy&amp;hl=en&amp;sa=X&amp;d=10611965600464538467&amp;ei=K_RoZ7qWD57Iy9YP1bSDiQY&amp;scisig=AFWwaeY9RibmMAPaKDevK-ikqSA0&amp;oi=scholaralrt&amp;hist=v0_XxF0AAAAJ:13742027118377625026:AFWwaebUHLr8wRJ2PrQQIxHyeXqg&amp;html=&amp;pos=2&amp;folt=cit&amp;fols=</t>
  </si>
  <si>
    <t>Event-Based Vision Systems: Bridging Biological Inspiration and Robotic Perception</t>
  </si>
  <si>
    <t>https://scholar.google.es/scholar_url?url=https://search.proquest.com/openview/acb3c1300508e69aff1548db2b3bc0d6/1%3Fpq-origsite%3Dgscholar%26cbl%3D18750%26diss%3Dy&amp;hl=en&amp;sa=X&amp;d=15280253908275366653&amp;ei=1DhoaL6MIs2l6rQPh4i_0AE&amp;scisig=AAZF9b_e_cvOiKkYYZQP-Toog3Ld&amp;oi=scholaralrt&amp;hist=v0_XxF0AAAAJ:13742027118377625026:AAZF9b802AK2JmjOJ6sFwAbOS06D&amp;html=&amp;pos=1&amp;folt=cit&amp;fols=</t>
  </si>
  <si>
    <t>Vector Kernel Representation Theory: Applications in Point Clouds and Event Cameras</t>
  </si>
  <si>
    <t>https://scholar.google.es/scholar_url?url=https://search.proquest.com/openview/b2a0175d2a22000f71c3569a5e6f1ed5/1%3Fpq-origsite%3Dgscholar%26cbl%3D18750%26diss%3Dy&amp;hl=en&amp;sa=X&amp;d=687836345068351585&amp;ei=RFioZrjzBZiCy9YP6MORyQk&amp;scisig=AFWwaeb46AodhvMtrdx6zRc2CrnW&amp;oi=scholaralrt&amp;hist=v0_XxF0AAAAJ:13742027118377625026:AFWwaebUHLr8wRJ2PrQQIxHyeXqg&amp;html=&amp;pos=8&amp;folt=cit&amp;fols=</t>
  </si>
  <si>
    <t>Optimal Point-Spread-Function Engineering With Dynamic Optics and Event Cameras</t>
  </si>
  <si>
    <t>https://scholar.google.es/scholar_url?url=https://skemman.is/bitstream/1946/48710/1/msc-thesis-unnar-2024-10-14.pdf&amp;hl=en&amp;sa=X&amp;d=17992077493637334506&amp;ei=yRwtZ8fmIqS-y9YPv4yW6QM&amp;scisig=AFWwaeYTA5y4qVs3D0PigvTHt9Ic&amp;oi=scholaralrt&amp;hist=v0_XxF0AAAAJ:13742027118377625026:AFWwaebUHLr8wRJ2PrQQIxHyeXqg&amp;html=&amp;pos=3&amp;folt=cit&amp;fols=</t>
  </si>
  <si>
    <t>Behavioral measurement of zebrafish larvae using event-based vision</t>
  </si>
  <si>
    <t>https://scholar.google.es/scholar_url?url=https://tesidottorato.depositolegale.it/bitstream/20.500.14242/170935/1/PhD_Thesis_Chiara_conv_final.pdf&amp;hl=en&amp;sa=X&amp;d=18096321354983157089&amp;ei=2IFJZ6GPBaWs6rQP9YDGsAY&amp;scisig=AFWwaeZmAGd95PSGUVEqs8bm0L2M&amp;oi=scholaralrt&amp;hist=v0_XxF0AAAAJ:13742027118377625026:AFWwaebUHLr8wRJ2PrQQIxHyeXqg&amp;html=&amp;pos=6&amp;folt=cit&amp;fols=</t>
  </si>
  <si>
    <t>Egocentric video understanding across modalities and domains</t>
  </si>
  <si>
    <t>https://scholar.google.es/scholar_url?url=https://theses.fr/api/v1/document/2025GRALT022&amp;hl=en&amp;sa=X&amp;d=7357503802210610234&amp;ei=b3_aaIaBEsnXieoPvqrN8Qs&amp;scisig=AAZF9b-Vkog7GPTU3e5lXziq3sIY&amp;oi=scholaralrt&amp;hist=v0_XxF0AAAAJ:13742027118377625026:AAZF9b802AK2JmjOJ6sFwAbOS06D&amp;html=&amp;pos=1&amp;folt=cit&amp;fols=</t>
  </si>
  <si>
    <t>Asynchronous Circuits for the Processing of Data From Event-Based Image …</t>
  </si>
  <si>
    <t>https://scholar.google.es/scholar_url?url=https://unire.unige.it/bitstream/handle/123456789/11855/tesi32440764.pdf%3Fsequence%3D1&amp;hl=en&amp;sa=X&amp;d=2669022791836274172&amp;ei=a1oFaNviPMCSieoP_drdwAU&amp;scisig=AFWwaebjKZOB0zWC7awnS2S2E28D&amp;oi=scholaralrt&amp;hist=v0_XxF0AAAAJ:13742027118377625026:AFWwaebUHLr8wRJ2PrQQIxHyeXqg&amp;html=&amp;pos=4&amp;folt=cit&amp;fols=</t>
  </si>
  <si>
    <t>Keypoints Extraction and Description with Event Cameras</t>
  </si>
  <si>
    <t>https://scholar.google.es/scholar_url?url=https://unire.unige.it/bitstream/handle/123456789/6818/tesi26259486.pdf%3Fsequence%3D1&amp;hl=en&amp;sa=X&amp;d=3910650277582944328&amp;ei=YSlNZZi4M_Ol6rQP1-mo2AE&amp;scisig=AFWwaebP8c58fxDCLTgfGGetdZs1&amp;oi=scholaralrt&amp;hist=v0_XxF0AAAAJ:13742027118377625026:AFWwaebUHLr8wRJ2PrQQIxHyeXqg&amp;html=&amp;pos=5&amp;folt=cit&amp;fols=</t>
  </si>
  <si>
    <t>Eye Tracking Con Camera Neuromorfica</t>
  </si>
  <si>
    <t>https://scholar.google.es/scholar_url?url=https://upcommons.upc.edu/bitstream/handle/2117/389914/NimbleAI_Towards_Neuromorphic_Sensing-Processing_3D-integrated_Chips.pdf%3Fsequence%3D1&amp;hl=en&amp;sa=X&amp;d=1831651404105315245&amp;ei=mjK8ZKDzPPmBy9YPyrqH4Ag&amp;scisig=ABFrs3xhkAepXM9tFAl3_aDwri3l&amp;oi=scholaralrt&amp;hist=v0_XxF0AAAAJ:198837818532394236:ABFrs3xMKCIfhEZJbbWSRf0pgf1p&amp;html=&amp;pos=1&amp;folt=rel&amp;fols=</t>
  </si>
  <si>
    <t>NimbleAI: towards neuromorphic sensing-processing 3D-integrated chips</t>
  </si>
  <si>
    <t>https://scholar.google.es/scholar_url?url=https://upcommons.upc.edu/handle/2117/422527&amp;hl=en&amp;sa=X&amp;d=17052527695997715633&amp;ei=DDmZZ8-vNYC96rQP1ZPosA8&amp;scisig=AFWwaeaTqi1fx2eT30zVIoBPWNuE&amp;oi=scholaralrt&amp;hist=v0_XxF0AAAAJ:16412562894006425212:AFWwaeb1fDL4iO02GpXBXeIDVjnx&amp;html=&amp;pos=0&amp;folt=art</t>
  </si>
  <si>
    <t>Neuromorphic technology insights in Spain</t>
  </si>
  <si>
    <t>NANO 2025</t>
  </si>
  <si>
    <t>https://scholar.google.es/scholar_url?url=https://webthesis.biblio.polito.it/34062/1/tesi.pdf&amp;hl=en&amp;sa=X&amp;d=3216273692853236879&amp;ei=A7SAZ-T3Hdmy6rQP44y56Ac&amp;scisig=AFWwaeaPraixJCiKdVBsPgjsgjip&amp;oi=scholaralrt&amp;hist=v0_XxF0AAAAJ:13742027118377625026:AFWwaebUHLr8wRJ2PrQQIxHyeXqg&amp;html=&amp;pos=2&amp;folt=cit&amp;fols=</t>
  </si>
  <si>
    <t>Creation of a neuromorphic dataset for low-power and privacy-aware gesture recognition</t>
  </si>
  <si>
    <t>https://scholar.google.es/scholar_url?url=https://webthesis.biblio.polito.it/secure/38651/1/tesi.pdf&amp;hl=en&amp;sa=X&amp;d=3970037596405292975&amp;ei=qEhjad30LMelieoP1s_TgA8&amp;scisig=AHkA5jSUtcZuDLQnbh36aY6Kb01h&amp;oi=scholaralrt&amp;hist=v0_XxF0AAAAJ:13742027118377625026:AHkA5jSu_a2AqNQOCdacK8g1OnlB&amp;html=&amp;pos=1&amp;folt=cit&amp;fols=</t>
  </si>
  <si>
    <t>AMOS: Adaptive Motion Segmentation using Spiking Neural Networks with Short-Term Synaptic Plasticity</t>
  </si>
  <si>
    <t>https://scholar.google.es/scholar_url?url=https://www.ams.giti.waseda.ac.jp/data/pdf-files/2024AIC_koizumi.pdf&amp;hl=en&amp;sa=X&amp;d=1347539043074318268&amp;ei=lJjiZomoCYeXy9YPyoXVgAk&amp;scisig=AFWwaebZ5nUYTdYz02zmot2MKI-B&amp;oi=scholaralrt&amp;hist=v0_XxF0AAAAJ:13742027118377625026:AFWwaebUHLr8wRJ2PrQQIxHyeXqg&amp;html=&amp;pos=2&amp;folt=cit&amp;fols=</t>
  </si>
  <si>
    <t>Event-based Robust 3D Pose Estimation Using Time Series Data</t>
  </si>
  <si>
    <t>AIC 2024</t>
  </si>
  <si>
    <t>https://scholar.google.es/scholar_url?url=https://www.authorea.com/doi/pdf/10.22541/au.175373191.11504859&amp;hl=en&amp;sa=X&amp;d=4475624974984087480&amp;ei=Y8GTaKLKAZKD6rQP6ujd4Qk&amp;scisig=AAZF9b-aaY6NJDnJRby0kaRmyHN9&amp;oi=scholaralrt&amp;hist=v0_XxF0AAAAJ:13742027118377625026:AAZF9b802AK2JmjOJ6sFwAbOS06D&amp;html=&amp;pos=2&amp;folt=cit&amp;fols=</t>
  </si>
  <si>
    <t>Hybrid-EVIO: Event-Based Visual-Inertial Odometry with Hybrid Visual Front-End</t>
  </si>
  <si>
    <t>https://scholar.google.es/scholar_url?url=https://www.china-simulation.com/EN/article/downloadArticleFile.do%3FattachType%3DPDF%26id%3D3337&amp;hl=en&amp;sa=X&amp;d=16956563130076262030&amp;ei=ebX2ZbuLLsHEy9YP9tSmkAQ&amp;scisig=AFWwaea8QlDRCrbeuAWbPr6iL9JE&amp;oi=scholaralrt&amp;hist=v0_XxF0AAAAJ:13742027118377625026:AFWwaebUHLr8wRJ2PrQQIxHyeXqg&amp;html=&amp;pos=6&amp;folt=cit&amp;fols=</t>
  </si>
  <si>
    <t>Gesture Recognition for Dynamic Vision Sensor Based on Multi-dimensional Projection Spatiotemporal Event Frame</t>
  </si>
  <si>
    <t>JSSim 2024</t>
  </si>
  <si>
    <t>https://scholar.google.es/scholar_url?url=https://www.computer.org/csdl/journal/tg/5555/01/10683888/20lmezrqD9S&amp;hl=en&amp;sa=X&amp;d=4978684959368980349&amp;ei=wqXwZpXACfbYy9YPrPDH6Aw&amp;scisig=AFWwaeaq5YKDUWqLEIVr-G5GpmUv&amp;oi=scholaralrt&amp;hist=v0_XxF0AAAAJ:13742027118377625026:AFWwaebUHLr8wRJ2PrQQIxHyeXqg&amp;html=&amp;pos=3&amp;folt=cit&amp;fols=</t>
  </si>
  <si>
    <t>EventPointMesh: Human Mesh Recovery Solely From Event Point Clouds</t>
  </si>
  <si>
    <t>https://scholar.google.es/scholar_url?url=https://www.computer.org/csdl/journal/tp/5555/01/10794600/22AQphtgqFW&amp;hl=en&amp;sa=X&amp;d=3277061997753625005&amp;ei=skleZ4rnHpXMy9YP6O_2mQw&amp;scisig=AFWwaeb_h0dLTdoj3ZcIHHPg9ZlU&amp;oi=scholaralrt&amp;hist=v0_XxF0AAAAJ:13742027118377625026:AFWwaebUHLr8wRJ2PrQQIxHyeXqg&amp;html=&amp;pos=0&amp;folt=cit&amp;fols=</t>
  </si>
  <si>
    <t>A Unified Framework for Event-based Frame Interpolation with Ad-hoc Deblurring in the Wild</t>
  </si>
  <si>
    <t>https://scholar.google.es/scholar_url?url=https://www.computer.org/csdl/proceedings-article/ismar-adjunct/2023/289100a335/1SBHRkHb8Gs&amp;hl=en&amp;sa=X&amp;d=8429629795709941976&amp;ei=u4Z0ZZ65KIKwmwGl35bwDg&amp;scisig=AFWwaeazZBs9s06SEtQGSo3yT6na&amp;oi=scholaralrt&amp;hist=v0_XxF0AAAAJ:13742027118377625026:AFWwaebUHLr8wRJ2PrQQIxHyeXqg&amp;html=&amp;pos=0&amp;folt=cit&amp;fols=</t>
  </si>
  <si>
    <t>High Frequency Event-based Eye Tracking Towards Mental Health Diagnosis</t>
  </si>
  <si>
    <t>ISMAR 2023</t>
  </si>
  <si>
    <t>https://scholar.google.es/scholar_url?url=https://www.degruyterbrill.com/document/doi/10.1515/teme-2025-0018/html&amp;hl=en&amp;sa=X&amp;d=17274454684862963905&amp;ei=Y2opaJDaKOG86rQP8bDQeA&amp;scisig=AAZF9b9KBTZJTvXUAq9ZDekpuG72&amp;oi=scholaralrt&amp;hist=v0_XxF0AAAAJ:13742027118377625026:AAZF9b802AK2JmjOJ6sFwAbOS06D&amp;html=&amp;pos=3&amp;folt=cit&amp;fols=</t>
  </si>
  <si>
    <t>Characterisation metrics for performance comparison of area scan and event-based sensors</t>
  </si>
  <si>
    <t>TM 2025</t>
  </si>
  <si>
    <t>https://scholar.google.es/scholar_url?url=https://www.diva-portal.org/smash/get/diva2:1858787/FULLTEXT01.pdf&amp;hl=en&amp;sa=X&amp;d=3137505804655725557&amp;ei=JQ5RZvaRBNS-6rQPwtGe4AU&amp;scisig=AFWwaebdBzppKiMqSfo0jHAhfprL&amp;oi=scholaralrt&amp;hist=v0_XxF0AAAAJ:13742027118377625026:AFWwaebUHLr8wRJ2PrQQIxHyeXqg&amp;html=&amp;pos=2&amp;folt=cit&amp;fols=</t>
  </si>
  <si>
    <t>Asynchronous Event-Feature Detection and Tracking for SLAM Initialization</t>
  </si>
  <si>
    <t>https://scholar.google.es/scholar_url?url=https://www.diva-portal.org/smash/get/diva2:1859128/FULLTEXT01.pdf&amp;hl=en&amp;sa=X&amp;d=4301709749097683433&amp;ei=SFVSZsLcHoHHy9YP8_iImAc&amp;scisig=AFWwaeaOeIMgW8-gPZOgXGiZ6l7G&amp;oi=scholaralrt&amp;hist=v0_XxF0AAAAJ:13742027118377625026:AFWwaebUHLr8wRJ2PrQQIxHyeXqg&amp;html=&amp;pos=1&amp;folt=cit&amp;fols=</t>
  </si>
  <si>
    <t>Event-based Visual Odometry using Asynchronous CornerFeature Detection and Tracking</t>
  </si>
  <si>
    <t>https://scholar.google.es/scholar_url?url=https://www.diva-portal.org/smash/get/diva2:1878318/FULLTEXT01.pdf&amp;hl=en&amp;sa=X&amp;d=11508019364012681733&amp;ei=akSHZsmUCcPOy9YPoN-ggAk&amp;scisig=AFWwaebTeUlJO0vHh7_aVmuGJEqC&amp;oi=scholaralrt&amp;hist=v0_XxF0AAAAJ:13742027118377625026:AFWwaebUHLr8wRJ2PrQQIxHyeXqg&amp;html=&amp;pos=1&amp;folt=cit&amp;fols=</t>
  </si>
  <si>
    <t>Knowledge Transfer for Person Detection in Event-Based Vision</t>
  </si>
  <si>
    <t>https://scholar.google.es/scholar_url?url=https://www.diva-portal.org/smash/get/diva2:1939109/FULLTEXT02&amp;hl=en&amp;sa=X&amp;d=2447361910950739174&amp;ei=68LCZ6-CHIC96rQPkZbxiA0&amp;scisig=AFWwaealz7Qou9E3uQhphNyiFei0&amp;oi=scholaralrt&amp;hist=v0_XxF0AAAAJ:13742027118377625026:AFWwaebUHLr8wRJ2PrQQIxHyeXqg&amp;html=&amp;pos=0&amp;folt=cit&amp;fols=</t>
  </si>
  <si>
    <t>Real-time object tracking using spiking neural networks on neuromorphic hardware</t>
  </si>
  <si>
    <t>https://scholar.google.es/scholar_url?url=https://www.diva-portal.org/smash/get/diva2:1969211/FULLTEXT01.pdf&amp;hl=en&amp;sa=X&amp;d=9815313282053204977&amp;ei=hORcaKTcCPfWieoPnL2FoA4&amp;scisig=AAZF9b-2obmqyjFnxal5NRoYSfAA&amp;oi=scholaralrt&amp;hist=v0_XxF0AAAAJ:13742027118377625026:AAZF9b802AK2JmjOJ6sFwAbOS06D&amp;html=&amp;pos=0&amp;folt=cit&amp;fols=</t>
  </si>
  <si>
    <t>Self-Supervised Learning on Event Camera Data Using Masked Autoencoders</t>
  </si>
  <si>
    <t>https://scholar.google.es/scholar_url?url=https://www.diva-portal.org/smash/get/diva2:1985748/FULLTEXT01.pdf&amp;hl=en&amp;sa=X&amp;d=9559152831823874772&amp;ei=k8qYaOKSFs2EywSKufygBg&amp;scisig=AAZF9b_pIrtS8YcfgHGAKP0p7G0c&amp;oi=scholaralrt&amp;hist=v0_XxF0AAAAJ:13742027118377625026:AAZF9b802AK2JmjOJ6sFwAbOS06D&amp;html=&amp;pos=4&amp;folt=cit&amp;fols=</t>
  </si>
  <si>
    <t>Comparison of Akida Neuromorphic Processor and NVIDIA Graphics Processor Unit for Spiking Neural Networks</t>
  </si>
  <si>
    <t>degree project 2025</t>
  </si>
  <si>
    <t>https://scholar.google.es/scholar_url?url=https://www.diva-portal.org/smash/get/diva2:1985751/FULLTEXT01.pdf&amp;hl=en&amp;sa=X&amp;d=12251373517861382371&amp;ei=9jeXaJvwBebTieoP6vy7uAY&amp;scisig=AAZF9b_jgWchZF3wzu8L8G1ZpO_2&amp;oi=scholaralrt&amp;hist=v0_XxF0AAAAJ:13742027118377625026:AAZF9b802AK2JmjOJ6sFwAbOS06D&amp;html=&amp;pos=4&amp;folt=cit&amp;fols=</t>
  </si>
  <si>
    <t>Balancing Accuracy and Latency in Event-Based Tracking: A Chaotic Pendulum Case Study</t>
  </si>
  <si>
    <t>https://scholar.google.es/scholar_url?url=https://www.diva-portal.org/smash/get/diva2:1985753/FULLTEXT01.pdf&amp;hl=en&amp;sa=X&amp;d=13156737989777581188&amp;ei=k8qYaOKSFs2EywSKufygBg&amp;scisig=AAZF9b9VG_fwxQhp_wmiC2_WxvyK&amp;oi=scholaralrt&amp;hist=v0_XxF0AAAAJ:13742027118377625026:AAZF9b802AK2JmjOJ6sFwAbOS06D&amp;html=&amp;pos=5&amp;folt=cit&amp;fols=</t>
  </si>
  <si>
    <t>Impact of Exponentially Reduced Ordinal Surface Kernel and Decay Parameters on YOLO11 Performance for Event-Based Vehicle Detection</t>
  </si>
  <si>
    <t>https://scholar.google.es/scholar_url?url=https://www.diva-portal.org/smash/get/diva2:1986465/FULLTEXT01.pdf&amp;hl=en&amp;sa=X&amp;d=10434653146140667619&amp;ei=ltagaMbDH-bTieoPktvT0Ag&amp;scisig=AAZF9b8ZvORC-FsQ4BRcae-wH3Dw&amp;oi=scholaralrt&amp;hist=v0_XxF0AAAAJ:13742027118377625026:AAZF9b802AK2JmjOJ6sFwAbOS06D&amp;html=&amp;pos=2&amp;folt=cit&amp;fols=</t>
  </si>
  <si>
    <t>Event-Cameras and Spiking Neural Networks for Tracking and Classification in Traffic Monitoring</t>
  </si>
  <si>
    <t>https://scholar.google.es/scholar_url?url=https://www.diva-portal.org/smash/get/diva2:2002886/FULLTEXT01.pdf&amp;hl=en&amp;sa=X&amp;d=10285961127604211766&amp;ei=ZxzkaMTWDMSz6rQPyKGw-Ag&amp;scisig=AAZF9b-aeildNnf8REATON8HpnTp&amp;oi=scholaralrt&amp;hist=v0_XxF0AAAAJ:13742027118377625026:AAZF9b802AK2JmjOJ6sFwAbOS06D&amp;html=&amp;pos=2&amp;folt=cit&amp;fols=</t>
  </si>
  <si>
    <t>Research on real-time action recognition model algorithm based on event camera</t>
  </si>
  <si>
    <t>https://scholar.google.es/scholar_url?url=https://www.frontiersin.org/articles/10.3389/fmars.2024.1366815/pdf&amp;hl=en&amp;sa=X&amp;d=11975067226679837825&amp;ei=HNxkZtjRJ_KJ6rQPq6GJ4QY&amp;scisig=AFWwaeYqZ2yQ6XlKk6qZgQdFyH2r&amp;oi=scholaralrt&amp;hist=v0_XxF0AAAAJ:13742027118377625026:AFWwaebUHLr8wRJ2PrQQIxHyeXqg&amp;html=&amp;pos=0&amp;folt=cit&amp;fols=</t>
  </si>
  <si>
    <t>RGB/Event signal fusion framework for multi-degraded underwater image enhancement</t>
  </si>
  <si>
    <t>FMARS 2024</t>
  </si>
  <si>
    <t>https://scholar.google.es/scholar_url?url=https://www.hs-niederrhein.de/fileadmin/dateien/Institute_und_Kompetenzzentren/iPattern/selfarchived/gebler-ipra2024.pdf&amp;hl=en&amp;sa=X&amp;d=6576612921837120698&amp;ei=5HocZg-jisvWD-GQmvAK&amp;scisig=AFWwaeZ54_6og-5P9t4XMbF7UNGn&amp;oi=scholaralrt&amp;hist=v0_XxF0AAAAJ:13742027118377625026:AFWwaebUHLr8wRJ2PrQQIxHyeXqg&amp;html=&amp;pos=3&amp;folt=cit&amp;fols=</t>
  </si>
  <si>
    <t>Intrusion Detection at Railway Tunnel Entrances Using Dynamic Vision Sensors</t>
  </si>
  <si>
    <t>IPRA 2024</t>
  </si>
  <si>
    <t>https://scholar.google.es/scholar_url?url=https://www.hs-niederrhein.de/fileadmin/dateien/Institute_und_Kompetenzzentren/iPattern/selfarchived/visapp23_dvs_insect_monitoring.pdf&amp;hl=en&amp;sa=X&amp;d=2908672155164215672&amp;ei=yHAVZLrCNISNygSCsrCYDg&amp;scisig=AAGBfm0rWm8-NlRTrEamsBag5KPob7Zk3g&amp;oi=scholaralrt&amp;hist=v0_XxF0AAAAJ:13742027118377625026:AAGBfm3UjufN_devjhEx0oELtR65UjD64A&amp;html=&amp;pos=2&amp;folt=cit&amp;fols=</t>
  </si>
  <si>
    <t>Concept Study for Dynamic Vision Sensor based Insect Monitoring</t>
  </si>
  <si>
    <t>https://scholar.google.es/scholar_url?url=https://www.hs-niederrhein.de/fileadmin/dateien/Institute_und_Kompetenzzentren/iPattern/selfarchived/visapp23_dvs_nmupets_dataset.pdf&amp;hl=en&amp;sa=X&amp;d=3398999724542260512&amp;ei=yHAVZLrCNISNygSCsrCYDg&amp;scisig=AAGBfm2blM-Hw9mGYIbyQYNQKUqioJ_28w&amp;oi=scholaralrt&amp;hist=v0_XxF0AAAAJ:13742027118377625026:AAGBfm3UjufN_devjhEx0oELtR65UjD64A&amp;html=&amp;pos=7&amp;folt=cit&amp;fols=</t>
  </si>
  <si>
    <t>N-MuPeTS: Event Camera Dataset for Multi-Person Tracking and Instance Segmentation</t>
  </si>
  <si>
    <t>https://scholar.google.es/scholar_url?url=https://www.hs-niederrhein.de/fileadmin/dateien/Institute_und_Kompetenzzentren/iPattern/selfarchived/visapp23_dvs_semseg_pnet_unet.pdf&amp;hl=en&amp;sa=X&amp;d=1774722770627073681&amp;ei=yHAVZJP5L9eAmAHD9YaQBw&amp;scisig=AAGBfm2GgBdlrMn5pVUeu2KkjarWsbdBTA&amp;oi=scholaralrt&amp;hist=v0_XxF0AAAAJ:198837818532394236:AAGBfm3qe8R6xgugRn4Ir9dLExqv-Y_cuA&amp;html=&amp;pos=0&amp;folt=rel&amp;fols=</t>
  </si>
  <si>
    <t>Semantic Segmentation on Neuromorphic Vision Sensor Event-Streams using PointNet++ and UNet based Processing Approaches</t>
  </si>
  <si>
    <t>https://scholar.google.es/scholar_url?url=https://www.ieice.org/publications/conference-FIT-DVDs/FIT2023/data/html/program/pdf/CH-007.pdf&amp;hl=en&amp;sa=X&amp;d=9856530527175684848&amp;ei=ZKlfZuS7HdWSy9YPhoC8wQk&amp;scisig=AFWwaeYLAT3xwivSj8fnTR9wolve&amp;oi=scholaralrt&amp;hist=v0_XxF0AAAAJ:13742027118377625026:AFWwaebUHLr8wRJ2PrQQIxHyeXqg&amp;html=&amp;pos=0&amp;folt=cit&amp;fols=</t>
  </si>
  <si>
    <t>High-resolution optical acoustic measurements based on vibration analysis using an event camera</t>
  </si>
  <si>
    <t>IEICE 2024</t>
  </si>
  <si>
    <t>https://scholar.google.es/scholar_url?url=https://www.jstage.jst.go.jp/article/elex/advpub/0/advpub_20.20230379/_pdf&amp;hl=en&amp;sa=X&amp;d=10662199758063747414&amp;ei=1rolZZTMOJH7mQG8oKWgBQ&amp;scisig=AFWwaeb9tBN_OaAM2bMVwlbUMNrJ&amp;oi=scholaralrt&amp;hist=v0_XxF0AAAAJ:198837818532394236:AFWwaeZmMyKvHQIW44XNBFyAPl1L&amp;html=&amp;pos=3&amp;folt=rel&amp;fols=</t>
  </si>
  <si>
    <t>Accelerating Event-based Deep Neural Networks via Flexible Data Encoding</t>
  </si>
  <si>
    <t>IEICE Electronics Express 2023</t>
  </si>
  <si>
    <t>https://scholar.google.es/scholar_url?url=https://www.mdpi.com/1424-8220/23/4/1839&amp;hl=en&amp;sa=X&amp;d=16291727347119434769&amp;ei=_vEJZN2TAouGmQHZ-onQCA&amp;scisig=AAGBfm1Iu_A-FQis2UdmFj9iT9_KVjjDSA&amp;oi=scholaralrt&amp;hist=v0_XxF0AAAAJ:198837818532394236:AAGBfm3qe8R6xgugRn4Ir9dLExqv-Y_cuA&amp;html=&amp;pos=0&amp;folt=rel&amp;fols=</t>
  </si>
  <si>
    <t>Visualization and Object Detection Based on Event Information</t>
  </si>
  <si>
    <t>https://scholar.google.es/scholar_url?url=https://www.mrforum.com/wp-content/uploads/open_access/9781644902813/150.pdf&amp;hl=en&amp;sa=X&amp;d=1064201626462497606&amp;ei=731tZtO0EKaty9YPr4eR2A8&amp;scisig=AFWwaebhMLrd6XE50wVQBvl8-rPc&amp;oi=scholaralrt&amp;hist=v0_XxF0AAAAJ:13742027118377625026:AFWwaebUHLr8wRJ2PrQQIxHyeXqg&amp;html=&amp;pos=1&amp;folt=cit&amp;fols=</t>
  </si>
  <si>
    <t>Trajectory reconstruction by means of an event-camera-based visual odometry method and machine learned features</t>
  </si>
  <si>
    <t>AIDAA 2024</t>
  </si>
  <si>
    <t>https://scholar.google.es/scholar_url?url=https://www.nature.com/articles/s41928-023-01055-2&amp;hl=en&amp;sa=X&amp;d=48668740626800953&amp;ei=LG9WZYa7NrOk6rQP4Yqw6A8&amp;scisig=AFWwaebN89UXl5F3EylRCInPfPAz&amp;oi=scholaralrt&amp;hist=v0_XxF0AAAAJ:13742027118377625026:AFWwaebUHLr8wRJ2PrQQIxHyeXqg&amp;html=&amp;pos=0&amp;folt=cit&amp;fols=</t>
  </si>
  <si>
    <t>Computational event-driven vision sensors for in-sensor spiking neural networks</t>
  </si>
  <si>
    <t>Nature Electronics 2023</t>
  </si>
  <si>
    <t>https://scholar.google.es/scholar_url?url=https://www.nature.com/articles/s43588-025-00868-9&amp;hl=en&amp;sa=X&amp;d=18057201001025024624&amp;ei=DA7PaNnhFJ3XieoPyouG-QE&amp;scisig=AAZF9b9JomsC5dLfz_wQs4AWWPhf&amp;oi=scholaralrt&amp;hist=v0_XxF0AAAAJ:198837818532394236:AAZF9b-3jVPI_G2C1ZFisyDADLOa&amp;html=&amp;pos=1&amp;folt=rel&amp;fols=</t>
  </si>
  <si>
    <t>Neuromorphic principles in self-attention hardware for efficient transformers</t>
  </si>
  <si>
    <t>https://scholar.google.es/scholar_url?url=https://www.nature.com/articles/s44172-025-00492-5&amp;hl=en&amp;sa=X&amp;d=15804149868455610695&amp;ei=zZ2iaKyKB4rO6rQPiamN-Ag&amp;scisig=AAZF9b8yzLMKISmvozd5V8WfFull&amp;oi=scholaralrt&amp;hist=v0_XxF0AAAAJ:13742027118377625026:AAZF9b802AK2JmjOJ6sFwAbOS06D&amp;html=&amp;pos=3&amp;folt=cit&amp;fols=</t>
  </si>
  <si>
    <t>Neuromorphic computing for robotic vision: algorithms to hardware advances</t>
  </si>
  <si>
    <t>CE 2025</t>
  </si>
  <si>
    <t>https://scholar.google.es/scholar_url?url=https://www.research-collection.ethz.ch/bitstream/handle/20.500.11850/588085/1/adimauro_dissertation.pdf&amp;hl=en&amp;sa=X&amp;d=18037255878055921675&amp;ei=L6ymYxXOk8sEjYeZqA4&amp;scisig=AAGBfm0gDbmCBN_smCm_rT-TPYUp6N1yFQ&amp;oi=scholaralrt&amp;hist=v0_XxF0AAAAJ:13742027118377625026:AAGBfm3UjufN_devjhEx0oELtR65UjD64A&amp;html=&amp;pos=4&amp;folt=cit&amp;fols=</t>
  </si>
  <si>
    <t>System-on-chip Architectures for Event-Driven Computing</t>
  </si>
  <si>
    <t>https://scholar.google.es/scholar_url?url=https://www.research-collection.ethz.ch/bitstream/handle/20.500.11850/716439/2/2404.19165v2.pdf&amp;hl=en&amp;sa=X&amp;d=4035159656592847990&amp;ei=y1GyZ-_sO6q0ieoPv5agmAs&amp;scisig=AFWwaeYt2ftecblsZeZJDMJwBhkA&amp;oi=scholaralrt&amp;hist=v0_XxF0AAAAJ:13742027118377625026:AFWwaebUHLr8wRJ2PrQQIxHyeXqg&amp;html=&amp;pos=1&amp;folt=cit&amp;fols=</t>
  </si>
  <si>
    <t>DelGrad: Exact event-based gradients in spiking networks for training delays and weights</t>
  </si>
  <si>
    <t>https://scholar.google.es/scholar_url?url=https://www.researchgate.net/profile/Ahmed-Tabia/publication/394129822_6-DOF_Pose_Estimation_For_Event_Cameras_Using_A_Transformer-Based_Approach/links/688b23282209617bb738aaf0/6-DOF-Pose-Estimation-For-Event-Cameras-Using-A-Transformer-Based-Approach.pdf&amp;hl=en&amp;sa=X&amp;d=10515094781926678255&amp;ei=v1mRaJjDGKWMieoP-avC4Q4&amp;scisig=AAZF9b_4T3wqsxOKT4Szd9VR3L-D&amp;oi=scholaralrt&amp;hist=v0_XxF0AAAAJ:198837818532394236:AAZF9b-3jVPI_G2C1ZFisyDADLOa&amp;html=&amp;pos=0&amp;folt=rel&amp;fols=</t>
  </si>
  <si>
    <t>6-DOF Pose Estimation For Event Cameras Using A Transformer-Based Approach</t>
  </si>
  <si>
    <t>WSCG 2025</t>
  </si>
  <si>
    <t>https://scholar.google.es/scholar_url?url=https://www.researchgate.net/profile/Christoph-Steinhausen/publication/396203936_On_the_feasibility_of_visualizing_transient_droplet_dynamic_process_with_event_based_imaging/links/68e1b0499383755fd7094282/On-the-feasibility-of-visualizing-transient-droplet-dynamic-process-with-event-based-imaging.pdf&amp;hl=en&amp;sa=X&amp;d=9199327542472971766&amp;ei=EYroaNSUEcasieoPkJyXiQ8&amp;scisig=AAZF9b-eIf2ld4rk0WGuCF2KW4RC&amp;oi=scholaralrt&amp;hist=v0_XxF0AAAAJ:13742027118377625026:AAZF9b802AK2JmjOJ6sFwAbOS06D&amp;html=&amp;pos=0&amp;folt=cit&amp;fols=</t>
  </si>
  <si>
    <t>On the feasibility of visualizing transient droplet dynamic process with event based imaging</t>
  </si>
  <si>
    <t>ILASS 2025</t>
  </si>
  <si>
    <t>https://scholar.google.es/scholar_url?url=https://www.researchgate.net/profile/Naiara-Escudero/publication/374501540_Enabling_UAVs_night-time_navigation_through_Mutual_Information-based_matching_of_event-generated_images/links/65200ab2b0df2f20a2163159/Enabling-UAVs-night-time-navigation-through-Mutual-Information-based-matching-of-event-generated-images.pdf&amp;hl=en&amp;sa=X&amp;d=18218893942511182457&amp;ei=SwwoZcP6BN6h6rQPj7eBuAo&amp;scisig=AFWwaeb9iK_ngjsPsau_Sn9_VxjI&amp;oi=scholaralrt&amp;hist=v0_XxF0AAAAJ:13742027118377625026:AFWwaebUHLr8wRJ2PrQQIxHyeXqg&amp;html=&amp;pos=2&amp;folt=cit&amp;fols=</t>
  </si>
  <si>
    <t>https://scholar.google.es/scholar_url?url=https://www.researchgate.net/profile/Sebastiano-Chiodini/publication/375178786_Trajectory_reconstruction_by_means_of_an_event-camera-based_visual_odometry_method_and_machine_learned_features/links/6549efdab1398a779d6bce43/Trajectory-reconstruction-by-means-of-an-event-camera-based-visual-odometry-method-and-machine-learned-features.pdf&amp;hl=en&amp;sa=X&amp;d=13055891203409931856&amp;ei=J-ZPZfaKFJC-y9YPtNO5wAc&amp;scisig=AFWwaeaHEL-U0DPyCcV6tPuQO8wg&amp;oi=scholaralrt&amp;hist=v0_XxF0AAAAJ:198837818532394236:AFWwaeZmMyKvHQIW44XNBFyAPl1L&amp;html=&amp;pos=0&amp;folt=rel&amp;fols=</t>
  </si>
  <si>
    <t>Trajectory Reconstruction by Means of an Event-Camera-Based Visual Odometry Method and Machine Learned</t>
  </si>
  <si>
    <t>https://scholar.google.es/scholar_url?url=https://www.researchgate.net/profile/Tobias-Fleck/publication/373480371_Low-Power_Traffic_Surveillance_using_Multiple_RGB_and_Event_Cameras_A_Survey/links/64edeed845865f47bbbeaef3/Low-Power-Traffic-Surveillance-using-Multiple-RGB-and-Event-Cameras-A-Survey.pdf&amp;hl=en&amp;sa=X&amp;d=5281467063906251217&amp;ei=i_j2ZObEKreAy9YPzI686As&amp;scisig=AFWwaebpXX1OH2JOd5FVhZtGiMW6&amp;oi=scholaralrt&amp;hist=v0_XxF0AAAAJ:198837818532394236:AFWwaeZmMyKvHQIW44XNBFyAPl1L&amp;html=&amp;pos=0&amp;folt=rel&amp;fols=</t>
  </si>
  <si>
    <t>Low-Power Traffic Surveillance using Multiple RGB and Event Cameras: A Survey</t>
  </si>
  <si>
    <t>ISC2 2023</t>
  </si>
  <si>
    <t>https://scholar.google.es/scholar_url?url=https://www.researchgate.net/profile/Victoria-Clerico/publication/383236482_Retina-inspired_Object_Motion_Segmentation_for_Event-Cameras/links/67b3328e207c0c20fa8c58eb/Retina-inspired-Object-Motion-Segmentation-for-Event-Cameras.pdf&amp;hl=en&amp;sa=X&amp;d=1538398774638913808&amp;ei=LWPSZ7rZNuehieoPw9e4wQE&amp;scisig=AFWwaeZHTOaF1r3TowGfirnnqA8L&amp;oi=scholaralrt&amp;hist=v0_XxF0AAAAJ:13742027118377625026:AFWwaebUHLr8wRJ2PrQQIxHyeXqg&amp;html=&amp;pos=3&amp;folt=cit&amp;fols=</t>
  </si>
  <si>
    <t>Retina-Inspired Object Motion Segmentation for Event-Cameras</t>
  </si>
  <si>
    <t>https://scholar.google.es/scholar_url?url=https://www.researchsquare.com/article/rs-4415554/latest.pdf&amp;hl=en&amp;sa=X&amp;d=6172819173377134788&amp;ei=p9xYZoyPAfevy9YP_ICLgA4&amp;scisig=AFWwaebDup8iQydX0HG6q5m-aUCY&amp;oi=scholaralrt&amp;hist=v0_XxF0AAAAJ:13742027118377625026:AFWwaebUHLr8wRJ2PrQQIxHyeXqg&amp;html=&amp;pos=1&amp;folt=cit&amp;fols=</t>
  </si>
  <si>
    <t>Language-guided Object Classification Via Neuromorphic Vision</t>
  </si>
  <si>
    <t>https://scholar.google.es/scholar_url?url=https://www.science.org/doi/pdf/10.1126/scirobotics.adg3679&amp;hl=en&amp;sa=X&amp;d=17030431491192722397&amp;ei=3mYYZb_HN9OQ6rQP-8yf2Ak&amp;scisig=AFWwaebLOmt_a9mNrAQhYt9dbPpZ&amp;oi=scholaralrt&amp;hist=v0_XxF0AAAAJ:13742027118377625026:AFWwaebUHLr8wRJ2PrQQIxHyeXqg&amp;html=&amp;pos=0&amp;folt=cit&amp;fols=</t>
  </si>
  <si>
    <t>Neuromorphic sequence learning with an event camera on routes through vegetation</t>
  </si>
  <si>
    <t>Science Robotics 2023</t>
  </si>
  <si>
    <t>https://scholar.google.es/scholar_url?url=https://www.sciencedirect.com/science/article/pii/S0020025524005735&amp;hl=en&amp;sa=X&amp;d=4747994446486485925&amp;ei=HPhgZpvqL5WDy9YP5v6zwAI&amp;scisig=AFWwaeamkP6mz4of17odHSl40OjV&amp;oi=scholaralrt&amp;hist=v0_XxF0AAAAJ:198837818532394236:AFWwaeZmMyKvHQIW44XNBFyAPl1L&amp;html=&amp;pos=0&amp;folt=rel&amp;fols=</t>
  </si>
  <si>
    <t>Information Sciences 2024</t>
  </si>
  <si>
    <t>https://scholar.google.es/scholar_url?url=https://www.sciencedirect.com/science/article/pii/S0030399224006418&amp;hl=en&amp;sa=X&amp;d=11979152641442520253&amp;ei=9R5NZsHPEPevy9YP9K2ckAU&amp;scisig=AFWwaebzBYrxH4DLwQ12mq8cRGgg&amp;oi=scholaralrt&amp;hist=v0_XxF0AAAAJ:13742027118377625026:AFWwaebUHLr8wRJ2PrQQIxHyeXqg&amp;html=&amp;pos=0&amp;folt=cit&amp;fols=</t>
  </si>
  <si>
    <t>Learning from General Diffuse Surfaces: An Event-driven Approach for High Dynamic Range Industrial Optical Measurement</t>
  </si>
  <si>
    <t>JOptLasTech 2024</t>
  </si>
  <si>
    <t>https://scholar.google.es/scholar_url?url=https://www.sciencedirect.com/science/article/pii/S0031320323007021&amp;hl=en&amp;sa=X&amp;d=6395044274868535130&amp;ei=Rj0cZdnnApH4yASkjaj4DQ&amp;scisig=AFWwaeZt6HWR-J479LVKLPLfN5C5&amp;oi=scholaralrt&amp;hist=v0_XxF0AAAAJ:13742027118377625026:AFWwaebUHLr8wRJ2PrQQIxHyeXqg&amp;html=&amp;pos=8&amp;folt=cit&amp;fols=</t>
  </si>
  <si>
    <t>A Sparse Local Binary Pattern extraction algorithm applied to event sensor data for object classification</t>
  </si>
  <si>
    <t>Pattern Recog 2023</t>
  </si>
  <si>
    <t>https://scholar.google.es/scholar_url?url=https://www.sciencedirect.com/science/article/pii/S0143816624007450&amp;hl=en&amp;sa=X&amp;d=12486168416543950144&amp;ei=Wx5lZ5H5Kr6_y9YP1YLqoQw&amp;scisig=AFWwaebgCliCnjsb7VbkwwVrwZzg&amp;oi=scholaralrt&amp;hist=v0_XxF0AAAAJ:13742027118377625026:AFWwaebUHLr8wRJ2PrQQIxHyeXqg&amp;html=&amp;pos=2&amp;folt=cit&amp;fols=</t>
  </si>
  <si>
    <t>Event-based chessboard scanning profilometry</t>
  </si>
  <si>
    <t>https://scholar.google.es/scholar_url?url=https://www.sciencedirect.com/science/article/pii/S0167739X23002704&amp;hl=en&amp;sa=X&amp;d=8935915395260763099&amp;ei=x9LIZKqPBpaAy9YPoJCYsAk&amp;scisig=AFWwaeYoP-boxMaVEQtdVf8GvZ79&amp;oi=scholaralrt&amp;hist=v0_XxF0AAAAJ:13742027118377625026:AFWwaebUHLr8wRJ2PrQQIxHyeXqg&amp;html=&amp;pos=2&amp;folt=cit&amp;fols=</t>
  </si>
  <si>
    <t>7 μJ/inference end-to-end gesture recognition from dynamic vision sensor data using ternarized hybrid convolutional neural networks</t>
  </si>
  <si>
    <t>FGCS 2023</t>
  </si>
  <si>
    <t>https://scholar.google.es/scholar_url?url=https://www.sciencedirect.com/science/article/pii/S0263224124007851&amp;hl=en&amp;sa=X&amp;d=11283480124750109006&amp;ei=WvBIZqrtOYrSy9YP5JWFwA4&amp;scisig=AFWwaeYquuFpDCrquhZ8nbgQv1cq&amp;oi=scholaralrt&amp;hist=v0_XxF0AAAAJ:13742027118377625026:AFWwaebUHLr8wRJ2PrQQIxHyeXqg&amp;html=&amp;pos=0&amp;folt=cit&amp;fols=</t>
  </si>
  <si>
    <t>LECalib: Line-based event camera calibration</t>
  </si>
  <si>
    <t>JMeasurement 2024</t>
  </si>
  <si>
    <t>https://scholar.google.es/scholar_url?url=https://www.sciencedirect.com/science/article/pii/S0278612523000456&amp;hl=en&amp;sa=X&amp;d=17419884361778618138&amp;ei=79gLZJzxMo7gygSPuIegDA&amp;scisig=AAGBfm0exB6uu65_vjmWsbyHWcQlddYdxA&amp;oi=scholaralrt&amp;hist=v0_XxF0AAAAJ:13742027118377625026:AAGBfm3UjufN_devjhEx0oELtR65UjD64A&amp;html=&amp;pos=0&amp;folt=cit&amp;fols=</t>
  </si>
  <si>
    <t>Classification of primitive manufacturing tasks from filtered event data</t>
  </si>
  <si>
    <t>Journal of Manufacturing Systems 2023</t>
  </si>
  <si>
    <t>https://scholar.google.es/scholar_url?url=https://www.sciencedirect.com/science/article/pii/S0893608023007530&amp;hl=en&amp;sa=X&amp;d=12686185005041690062&amp;ei=V9yPZaCvIqGJ6rQP9_y8yAg&amp;scisig=AFWwaebPcmDsbtIvd8Rw86gWH_gV&amp;oi=scholaralrt&amp;hist=v0_XxF0AAAAJ:13742027118377625026:AFWwaebUHLr8wRJ2PrQQIxHyeXqg&amp;html=&amp;pos=5&amp;folt=cit&amp;fols=</t>
  </si>
  <si>
    <t>Trainable Spiking-YOLO for low-latency and high-performance object detection</t>
  </si>
  <si>
    <t>NeuNet 2023</t>
  </si>
  <si>
    <t>https://scholar.google.es/scholar_url?url=https://www.sciencedirect.com/science/article/pii/S0957417424012089&amp;hl=en&amp;sa=X&amp;d=8273750840095914612&amp;ei=kDFiZufTN_KJ6rQPoaWhkAQ&amp;scisig=AFWwaebVE76VVyVZUNG5rCdfDMZr&amp;oi=scholaralrt&amp;hist=v0_XxF0AAAAJ:13742027118377625026:AFWwaebUHLr8wRJ2PrQQIxHyeXqg&amp;html=&amp;pos=0&amp;folt=cit&amp;fols=</t>
  </si>
  <si>
    <t>Motion segmentation with event camera: N-patches optical flow estimation and Pairwise Markov Random Fields</t>
  </si>
  <si>
    <t>ESApp 2024</t>
  </si>
  <si>
    <t>https://scholar.google.es/scholar_url?url=https://www.sciencedirect.com/science/article/pii/S0957417425016598&amp;hl=en&amp;sa=X&amp;d=4663014609085906943&amp;ei=b58maKiIFtik6rQPxsnhiAs&amp;scisig=AAZF9b_VYubB-CUaQmzFMANqH2-O&amp;oi=scholaralrt&amp;hist=v0_XxF0AAAAJ:13742027118377625026:AAZF9b802AK2JmjOJ6sFwAbOS06D&amp;html=&amp;pos=1&amp;folt=cit&amp;fols=</t>
  </si>
  <si>
    <t>An Adaptive Learning Framework for Event-Based Remote Eye Tracking</t>
  </si>
  <si>
    <t>https://scholar.google.es/scholar_url?url=https://www.sciencedirect.com/science/article/pii/S1047320323001372&amp;hl=en&amp;sa=X&amp;d=10295293869174339236&amp;ei=NW6iZNWaIaOP6rQP8paw6Ao&amp;scisig=ABFrs3xStrTqVOSNj8mfD0gTKKq4&amp;oi=scholaralrt&amp;hist=v0_XxF0AAAAJ:198837818532394236:ABFrs3xMKCIfhEZJbbWSRf0pgf1p&amp;html=&amp;pos=0&amp;folt=rel&amp;fols=</t>
  </si>
  <si>
    <t>Event-guided low light image enhancement via a dual branch GAN</t>
  </si>
  <si>
    <t>JVCIR 2023</t>
  </si>
  <si>
    <t>https://scholar.google.es/scholar_url?url=https://www.sciencedirect.com/science/article/pii/S1359431123020331&amp;hl=en&amp;sa=X&amp;d=8838031078892997835&amp;ei=pEtmZc6fLbKey9YP2K6pmAU&amp;scisig=AFWwaeaKn-wS2WEy6PjzGM4Pj2ft&amp;oi=scholaralrt&amp;hist=v0_XxF0AAAAJ:13742027118377625026:AFWwaebUHLr8wRJ2PrQQIxHyeXqg&amp;html=&amp;pos=0&amp;folt=cit&amp;fols=</t>
  </si>
  <si>
    <t>Rapid identification of boiling crisis with event-based visual streaming analysis</t>
  </si>
  <si>
    <t>Applied Thermal Engineering</t>
  </si>
  <si>
    <t>https://scholar.google.es/scholar_url?url=https://www.spiedigitallibrary.org/conference-proceedings-of-spie/12857/1285703/Computational-neuromorphic-imaging-principles-and-applications/10.1117/12.3012192.short&amp;hl=en&amp;sa=X&amp;d=12530156097514388643&amp;ei=ebX2ZaGJKpu36rQP4LmawAs&amp;scisig=AFWwaeZT_-cq_uKbC-dvLipe-wwI&amp;oi=scholaralrt&amp;hist=v0_XxF0AAAAJ:198837818532394236:AFWwaeZmMyKvHQIW44XNBFyAPl1L&amp;html=&amp;pos=1&amp;folt=rel&amp;fols=</t>
  </si>
  <si>
    <t>Computational neuromorphic imaging: principles and applications</t>
  </si>
  <si>
    <t>https://scholar.google.es/scholar_url?url=https://www.spiedigitallibrary.org/conference-proceedings-of-spie/13157/1315707/Research-of-event-cameras-in-space-object-detection/10.1117/12.3013400.short&amp;hl=en&amp;sa=X&amp;d=9351826393875698792&amp;ei=81w1ZuHlEde16rQPysa4mAc&amp;scisig=AFWwaeYE5ZUcy9febSIoeWm6kpwn&amp;oi=scholaralrt&amp;hist=v0_XxF0AAAAJ:13742027118377625026:AFWwaebUHLr8wRJ2PrQQIxHyeXqg&amp;html=&amp;pos=4&amp;folt=cit&amp;fols=</t>
  </si>
  <si>
    <t>Research of event cameras in space object detection</t>
  </si>
  <si>
    <t>https://scholar.google.es/scholar_url?url=https://www.spiedigitallibrary.org/conference-proceedings-of-spie/13157/131570K/Hybrid-event-enhanced-image-de-occlusion/10.1117/12.3016334.short&amp;hl=en&amp;sa=X&amp;d=18227412886444539639&amp;ei=81w1ZuHlEde16rQPysa4mAc&amp;scisig=AFWwaebfnKpsel8W1mrkm-ToCXvy&amp;oi=scholaralrt&amp;hist=v0_XxF0AAAAJ:13742027118377625026:AFWwaebUHLr8wRJ2PrQQIxHyeXqg&amp;html=&amp;pos=2&amp;folt=cit&amp;fols=</t>
  </si>
  <si>
    <t>Hybrid event-enhanced image de-occlusion</t>
  </si>
  <si>
    <t>https://scholar.google.es/scholar_url?url=https://www.spiedigitallibrary.org/conference-proceedings-of-spie/13164/131641M/Unsupervised-framerate-upsampling-from-events/10.1117/12.3018663.short&amp;hl=en&amp;sa=X&amp;d=10120749697864581540&amp;ei=V_43Zo-IAsPXy9YPzbOi0Ak&amp;scisig=AFWwaeb2gjkp-KygCKis9O-rIji-&amp;oi=scholaralrt&amp;hist=v0_XxF0AAAAJ:13742027118377625026:AFWwaebUHLr8wRJ2PrQQIxHyeXqg&amp;html=&amp;pos=0&amp;folt=cit&amp;fols=</t>
  </si>
  <si>
    <t>Unsupervised framerate upsampling from events</t>
  </si>
  <si>
    <t>SPIE IWAIT 2024</t>
  </si>
  <si>
    <t>https://scholar.google.es/scholar_url?url=https://www.spiedigitallibrary.org/conference-proceedings-of-spie/13164/1316428/Optical-flow-estimation-based-on-spatiotemporal-plane-fitting-of-event/10.1117/12.3018902.short&amp;hl=en&amp;sa=X&amp;d=16973688180465689055&amp;ei=V_43Zo-IAsPXy9YPzbOi0Ak&amp;scisig=AFWwaebTpMs_48VtMOV4ozmVgxwp&amp;oi=scholaralrt&amp;hist=v0_XxF0AAAAJ:13742027118377625026:AFWwaebUHLr8wRJ2PrQQIxHyeXqg&amp;html=&amp;pos=1&amp;folt=cit&amp;fols=</t>
  </si>
  <si>
    <t>Optical flow estimation based on spatiotemporal plane fitting of event point clouds</t>
  </si>
  <si>
    <t>https://scholar.google.es/scholar_url?url=https://www.spiedigitallibrary.org/conference-proceedings-of-spie/13619/136191H/Validating-event-based-vision-sensor-characterization-methods-through-simulation/10.1117/12.3064703.short&amp;hl=en&amp;sa=X&amp;d=7392025656657807907&amp;ei=bVjSaK72PMnXieoPztea-QE&amp;scisig=AAZF9b-BxY8H2JV87qFzri3-EV6W&amp;oi=scholaralrt&amp;hist=v0_XxF0AAAAJ:198837818532394236:AAZF9b-3jVPI_G2C1ZFisyDADLOa&amp;html=&amp;pos=1&amp;folt=rel&amp;fols=</t>
  </si>
  <si>
    <t>Validating event-based vision sensor characterization methods through simulation</t>
  </si>
  <si>
    <t>https://scholar.google.es/scholar_url?url=https://www.spiedigitallibrary.org/conference-proceedings-of-spie/13619/136191J/Validation-of-event-based-wavefront-sensor-test-bed-using-wave/10.1117/12.3063369.short&amp;hl=en&amp;sa=X&amp;d=1629782320635699773&amp;ei=bljSaPaTNvaT6rQP1-ijgAo&amp;scisig=AAZF9b9YKCQyJd55SJbf7xm7nfiX&amp;oi=scholaralrt&amp;hist=v0_XxF0AAAAJ:13742027118377625026:AAZF9b802AK2JmjOJ6sFwAbOS06D&amp;html=&amp;pos=4&amp;folt=cit&amp;fols=</t>
  </si>
  <si>
    <t>Validation of event-based wavefront sensor test bed using wave optics simulations</t>
  </si>
  <si>
    <t>https://scholar.google.es/scholar_url?url=https://www.spiedigitallibrary.org/conference-proceedings-of-spie/13619/136191K/Imaging-mouse-whisking-using-an-event-camera/10.1117/12.3063718.short&amp;hl=en&amp;sa=X&amp;d=3841037459752833395&amp;ei=bljSaPaTNvaT6rQP1-ijgAo&amp;scisig=AAZF9b99FRU8mz4tafGqrCyliy6c&amp;oi=scholaralrt&amp;hist=v0_XxF0AAAAJ:13742027118377625026:AAZF9b802AK2JmjOJ6sFwAbOS06D&amp;html=&amp;pos=1&amp;folt=cit&amp;fols=</t>
  </si>
  <si>
    <t>Imaging mouse whisking using an event camera</t>
  </si>
  <si>
    <t>https://scholar.google.es/scholar_url?url=https://www.spiedigitallibrary.org/conference-proceedings-of-spie/13619/136191T/PCA-tracking-filters-for-event-based-imager-measurements/10.1117/12.3063308.short&amp;hl=en&amp;sa=X&amp;d=10541979319464735552&amp;ei=bljSaPaTNvaT6rQP1-ijgAo&amp;scisig=AAZF9b87w6xAyI8R6e-QiF6676Bk&amp;oi=scholaralrt&amp;hist=v0_XxF0AAAAJ:13742027118377625026:AAZF9b802AK2JmjOJ6sFwAbOS06D&amp;html=&amp;pos=0&amp;folt=cit&amp;fols=</t>
  </si>
  <si>
    <t>PCA tracking filters for event-based imager measurements</t>
  </si>
  <si>
    <t>https://scholar.google.es/scholar_url?url=https://www.spiedigitallibrary.org/conference-proceedings-of-spie/13669/136690B/Boundary-layer-turbulence-characterization-using-neuromorphic-cameras-and-passive-targets/10.1117/12.3069546.short&amp;hl=en&amp;sa=X&amp;d=1631002841537856154&amp;ei=X8wEab6LA97M6rQP173fsAE&amp;scisig=ABGrvjL9ZtwxIRkT3xYRA4HfCp7Z&amp;oi=scholaralrt&amp;hist=v0_XxF0AAAAJ:13742027118377625026:ABGrvjKBHUi6MFH_DtNclerNeAZe&amp;html=&amp;pos=3&amp;folt=cit&amp;fols=</t>
  </si>
  <si>
    <t>Boundary-layer turbulence characterization using neuromorphic cameras and passive targets in optical ground stations</t>
  </si>
  <si>
    <t>https://scholar.google.es/scholar_url?url=https://www.spiedigitallibrary.org/conference-proceedings-of-spie/13674/136740Y/Event-based-pulse-frequency-modulated-PFM-digital-ROIC-for-infrared/10.1117/12.3069671.short&amp;hl=en&amp;sa=X&amp;d=10057185526273475139&amp;ei=c4EGabPzBdrZzwKkk-bABQ&amp;scisig=ABGrvjJdaTGfWwIEKDM-jBdGdtRA&amp;oi=scholaralrt&amp;hist=v0_XxF0AAAAJ:13742027118377625026:ABGrvjKBHUi6MFH_DtNclerNeAZe&amp;html=&amp;pos=3&amp;folt=cit&amp;fols=</t>
  </si>
  <si>
    <t>Event-based pulse frequency modulated (PFM) digital ROIC for infrared sensors</t>
  </si>
  <si>
    <t>https://scholar.google.es/scholar_url?url=https://www.spiedigitallibrary.org/conference-proceedings-of-spie/13674/136741K/An-asynchronous-time-based-image-sensor-with-a-photovoltaic-detector/10.1117/12.3069972.short&amp;hl=en&amp;sa=X&amp;d=10226215530641338428&amp;ei=c4EGabPzBdrZzwKkk-bABQ&amp;scisig=ABGrvjKpFqt-dIun_Fc1H6E-1QJR&amp;oi=scholaralrt&amp;hist=v0_XxF0AAAAJ:13742027118377625026:ABGrvjKBHUi6MFH_DtNclerNeAZe&amp;html=&amp;pos=4&amp;folt=cit&amp;fols=</t>
  </si>
  <si>
    <t>An asynchronous time-based image sensor with a photovoltaic detector</t>
  </si>
  <si>
    <t>https://scholar.google.es/scholar_url?url=https://www.spiedigitallibrary.org/conference-proceedings-of-spie/13680/1368002/Pushing-the-boundaries-of-depth-perception-stereoscopic-event-cameras/10.1117/12.3077255.short&amp;hl=en&amp;sa=X&amp;d=10246944739925261347&amp;ei=XswEaZm9JIGpieoP_8jXuAM&amp;scisig=ABGrvjLmXjqHwrd2FJVb3ZJFLT0W&amp;oi=scholaralrt&amp;hist=v0_XxF0AAAAJ:198837818532394236:ABGrvjKnZpEfMdl4uRMBXNBmd2F5&amp;html=&amp;pos=2&amp;folt=rel&amp;fols=</t>
  </si>
  <si>
    <t>Pushing the boundaries of depth perception: stereoscopic event cameras</t>
  </si>
  <si>
    <t>https://scholar.google.es/scholar_url?url=https://www.spiedigitallibrary.org/journals/optical-engineering/volume-62/issue-03/031209/High-temporal-resolution-event-based-vehicle-detection-and-tracking/10.1117/1.OE.62.3.031209.full&amp;hl=en&amp;sa=X&amp;d=9045930420932067919&amp;ei=L6ymYxXOk8sEjYeZqA4&amp;scisig=AAGBfm2QiYUXtnjElVST6obKG34_F9OWzA&amp;oi=scholaralrt&amp;hist=v0_XxF0AAAAJ:13742027118377625026:AAGBfm3UjufN_devjhEx0oELtR65UjD64A&amp;html=&amp;pos=2&amp;folt=cit&amp;fols=</t>
  </si>
  <si>
    <t>High-temporal-resolution event-based vehicle detection and tracking</t>
  </si>
  <si>
    <t>Optical Eng. 2022</t>
  </si>
  <si>
    <t>https://scholar.google.es/scholar_url?url=https://www.techrxiv.org/doi/pdf/10.36227/techrxiv.173152542.28624013&amp;hl=en&amp;sa=X&amp;d=2826346790953945447&amp;ei=LyVAZ9CcHMCI6rQPnq62wQE&amp;scisig=AFWwaebCGOtJi7-xf-mVArZcvKiJ&amp;oi=scholaralrt&amp;hist=v0_XxF0AAAAJ:13742027118377625026:AFWwaebUHLr8wRJ2PrQQIxHyeXqg&amp;html=&amp;pos=3&amp;folt=cit&amp;fols=</t>
  </si>
  <si>
    <t>Active Neuromorphic Space Imaging and Focusing using Liquid Lenses</t>
  </si>
  <si>
    <t>https://scholar.google.es/scholar_url?url=https://www.techrxiv.org/doi/pdf/10.36227/techrxiv.176153335.54330585&amp;hl=en&amp;sa=X&amp;d=15992039319318487103&amp;ei=-2MIafFO3diJ6g_u7MHJDw&amp;scisig=ABGrvjImntWJGk2o85J6pQZb9hEe&amp;oi=scholaralrt&amp;hist=v0_XxF0AAAAJ:13742027118377625026:ABGrvjKBHUi6MFH_DtNclerNeAZe&amp;html=&amp;pos=1&amp;folt=cit&amp;fols=</t>
  </si>
  <si>
    <t>A Review and Taxonomy of Event Vision Datasets</t>
  </si>
  <si>
    <t>https://scholarworks.unist.ac.kr/bitstream/201301/65665/1/200000694536.pdf</t>
  </si>
  <si>
    <t>Event-based Optical Flow Estimation via Multi-layer Representation</t>
  </si>
  <si>
    <t>https://sensors.ini.ch</t>
  </si>
  <si>
    <t>https://ses.library.usyd.edu.au/handle/2123/32716</t>
  </si>
  <si>
    <t>Biological Vision Inspired Systems in Biomedical Applications</t>
  </si>
  <si>
    <t>https://sgs.princeton.edu/sites/default/files/2022-06/ALX-2022-CASA-REV3.pdf</t>
  </si>
  <si>
    <t>https://sites.google.com/a/udayton.edu/issl/software/dataset</t>
  </si>
  <si>
    <t>https://sites.google.com/a/udayton.edu/issl/software/dataset?authuser=0</t>
  </si>
  <si>
    <t>https://sites.google.com/connect.hku.hk/hku-arclab-evio/home</t>
  </si>
  <si>
    <t>Monocular Event Visual Inertial Odometry based on Event-corner using Sliding Windows Graph-based Optimization</t>
  </si>
  <si>
    <t>https://sites.google.com/view/csdvs/home</t>
  </si>
  <si>
    <t>https://sites.google.com/view/davis-driving-dataset-2020/home</t>
  </si>
  <si>
    <t>https://sites.google.com/view/davis24-davis-sample-data/home</t>
  </si>
  <si>
    <t>https://sites.google.com/view/dgbicra2019-vivid</t>
  </si>
  <si>
    <t>https://sites.google.com/view/dgbicra2019-vivid/</t>
  </si>
  <si>
    <t>ViViD: Vision for Visibility Dataset</t>
  </si>
  <si>
    <t>ICRAW 2019</t>
  </si>
  <si>
    <t>https://sites.google.com/view/dhp19</t>
  </si>
  <si>
    <t>https://sites.google.com/view/dhp19/home</t>
  </si>
  <si>
    <t>https://sites.google.com/view/dnd21</t>
  </si>
  <si>
    <t>https://sites.google.com/view/dnd21/datasets?authuser=0</t>
  </si>
  <si>
    <t>https://sites.google.com/view/dvs-disdrometer/home</t>
  </si>
  <si>
    <t>https://sites.google.com/view/edflow21/home</t>
  </si>
  <si>
    <t>https://sites.google.com/view/emsgc</t>
  </si>
  <si>
    <t>https://sites.google.com/view/esvo-project-page/home</t>
  </si>
  <si>
    <t>https://sites.google.com/view/eventsensorfusion2022/home</t>
  </si>
  <si>
    <t>https://sites.google.com/view/EventZoom</t>
  </si>
  <si>
    <t>https://sites.google.com/view/evsnn</t>
  </si>
  <si>
    <t>https://sites.google.com/view/guided-event-filtering</t>
  </si>
  <si>
    <t>https://sites.google.com/view/guillermogallego/research/event-based-vision</t>
  </si>
  <si>
    <t>https://sites.google.com/view/guillermogallego/teaching/bio-inspired-computer-vision</t>
  </si>
  <si>
    <t>Bio-inspired computer vision</t>
  </si>
  <si>
    <t>TU Berlin</t>
  </si>
  <si>
    <t>https://sites.google.com/view/guillermogallego/teaching/event-based-robot-vision</t>
  </si>
  <si>
    <t>Event-based Robot Vision (since Spring 2020)</t>
  </si>
  <si>
    <t>https://sites.google.com/view/iros-2024-workshop</t>
  </si>
  <si>
    <t>https://sites.google.com/view/neurobots2025</t>
  </si>
  <si>
    <t>IROS 2025 Workshop on Neuromorphic Perception for Real World Robotics (NeuRobots 2025)</t>
  </si>
  <si>
    <t>https://sites.google.com/view/nevi-2025</t>
  </si>
  <si>
    <t>https://sites.google.com/view/nevi-2025/home-page</t>
  </si>
  <si>
    <t>ICCV 2025 Workshop on Neuromorphic Vision (NeVi)</t>
  </si>
  <si>
    <t>https://sites.google.com/view/nevi2024</t>
  </si>
  <si>
    <t>https://sites.google.com/view/telluride-2025/home</t>
  </si>
  <si>
    <t>https://sites.google.com/view/unconventional-sensors</t>
  </si>
  <si>
    <t>https://sites.google.com/view/video2events/home</t>
  </si>
  <si>
    <t>https://sites.google.com/view/zhouyi-joey/home</t>
  </si>
  <si>
    <t>https://smartroboticslab.github.io/SuperEvent/</t>
  </si>
  <si>
    <t>SuperEvent: Cross-Modal Learning of Event-based Keypoint Detection for SLAM</t>
  </si>
  <si>
    <t>https://sourceforge.net/p/jaer/code/HEAD/tree/scripts/matlab</t>
  </si>
  <si>
    <t>https://spectra.mathpix.com/article/2022.03.00339/event-camera-the-next-generation-of-visual-perception-system</t>
  </si>
  <si>
    <t>https://spectrum.ieee.org/biomedical/devices/how-neuromorphic-image-sensors-steal-tricks-from-the-human-eye</t>
  </si>
  <si>
    <t>https://spie.org/photonics-west/event/vision-tech-event-based-session-neuromorphic-sensing-in-motion-from-event-based-vision-to-adaptive-intelligence/7101335</t>
  </si>
  <si>
    <t>SPIE Photonics West. Vision Tech Forum. Neuromorphic Sensing in Motion: From Event-Based Vision to Adaptive Intelligence Jan. 21, 2026</t>
  </si>
  <si>
    <t>https://spie.org/spie-sensors-imaging/presentation/End-to-end-multicamera-event-image-stitching-and-object-detection/13673-19</t>
  </si>
  <si>
    <t>End-to-end multicamera event-image stitching and object detection on the edge</t>
  </si>
  <si>
    <t>https://spj.science.org/doi/10.34133/research.0330</t>
  </si>
  <si>
    <t>Adaptive Unsupervised Learning-Based 3D Spatiotemporal Filter for Event-Driven Cameras</t>
  </si>
  <si>
    <t>RSPJ 2024</t>
  </si>
  <si>
    <t>https://spritea.github.io/DET</t>
  </si>
  <si>
    <t>https://ssl.linklings.net/conferences/acra/acra2019_proceedings/views/includes/files/pap135s1-file1.pdf</t>
  </si>
  <si>
    <t>https://star-datasets.github.io/vector/</t>
  </si>
  <si>
    <t>VECtor: A Versatile Event-Centric Benchmark for Multi-Sensor SLAM</t>
  </si>
  <si>
    <t>https://support.prophesee.ai/portal/en/kb/prophesee-1</t>
  </si>
  <si>
    <t>https://sydneyid.github.io/sun_e_proj/</t>
  </si>
  <si>
    <t>Sun-E: Dataset and Benchmark for Event-Based Sun Sensing</t>
  </si>
  <si>
    <t>https://tel.archives-ouvertes.fr/tel-00916995/document</t>
  </si>
  <si>
    <t>https://tel.archives-ouvertes.fr/tel-01426001</t>
  </si>
  <si>
    <t>https://tel.archives-ouvertes.fr/tel-01426001/document</t>
  </si>
  <si>
    <t>https://tel.archives-ouvertes.fr/tel-01592392</t>
  </si>
  <si>
    <t>https://tel.archives-ouvertes.fr/tel-01592392v2/document</t>
  </si>
  <si>
    <t>https://tel.archives-ouvertes.fr/tel-03474197</t>
  </si>
  <si>
    <t>https://tel.archives-ouvertes.fr/tel-03474197/document</t>
  </si>
  <si>
    <t>https://tellurideneuromorhic.org</t>
  </si>
  <si>
    <t>https://tengminggui.cn/publication/eccv22/</t>
  </si>
  <si>
    <t>NEST: Neural Event Stack for Event-based Image Enhancement</t>
  </si>
  <si>
    <t>https://tesidottorato.depositolegale.it/bitstream/20.500.14242/71453/1/thesis.pdf</t>
  </si>
  <si>
    <t>Efficient Deep Learning Inference: A Digital Hardware Perspective</t>
  </si>
  <si>
    <t>https://thenextweb.com/news/intel-unveils-neuromorphic-approach-to-interactive-continual-learning-robots</t>
  </si>
  <si>
    <t>https://theses.hal.science/tel-03885136/document</t>
  </si>
  <si>
    <t>Flow-Based Visual-Inertial Odometry for Neuromorphic Vision Sensors Using non-Linear Optimization with Online Calibration</t>
  </si>
  <si>
    <t>https://thesis.unipd.it/bitstream/20.500.12608/94282/1/Zanin_Matteo.pdf</t>
  </si>
  <si>
    <t>Event-driven 3D reconstruction of small celestial bodies in a simulated laboratory environment</t>
  </si>
  <si>
    <t>Paper</t>
  </si>
  <si>
    <t>https://thesis.unipd.it/retrieve/6d9f7867-b5c5-443f-9e91-fa83c977ed5f/Trevisanuto_Giovanni.pdf</t>
  </si>
  <si>
    <t>Using machine learned features for robot ego-motion estimation through an event-camera</t>
  </si>
  <si>
    <t>https://trid.trb.org/view/2031315</t>
  </si>
  <si>
    <t>J. Advanced Transportation 2022</t>
  </si>
  <si>
    <t>https://tub-rip.github.io/eventpenguins</t>
  </si>
  <si>
    <t>https://tub-rip.github.io/eventpenguins/</t>
  </si>
  <si>
    <t>Low-power, Continuous Remote Behavioral Localization with Event Cameras</t>
  </si>
  <si>
    <t>https://tub-rip.github.io/eventvision2021</t>
  </si>
  <si>
    <t>https://tub-rip.github.io/eventvision2021/papers/2021CVPRW_A_Cortically-inspired_Architecture_for_Event-based_Visual_Motion_Processing.pdf</t>
  </si>
  <si>
    <t>A Cortically-inspired Architecture for Event-based Visual Motion Processing: From Design Principles to Real-world Applications</t>
  </si>
  <si>
    <t>https://tub-rip.github.io/eventvision2021/papers/2021CVPRW_Comparing_Representations_in_Tracking_for_Event_Camera-based_SLAM.pdf</t>
  </si>
  <si>
    <t>Comparing Representations in Tracking for Event Camera-based SLAM</t>
  </si>
  <si>
    <t>https://tub-rip.github.io/eventvision2021/papers/2021CVPRW_Detecting_Stable_Keypoints_from_Events_through_Image_Gradient_Prediction.pdf</t>
  </si>
  <si>
    <t>Detecting Stable Keypoints from Events through Image Gradient Prediction</t>
  </si>
  <si>
    <t>https://tub-rip.github.io/eventvision2021/papers/2021CVPRW_Differentiable_Event_Stream_Simulator_for_Non-Rigid_3D_Tracking.pdf</t>
  </si>
  <si>
    <t>Differentiable Event Stream Simulator for Non-Rigid 3D Tracking</t>
  </si>
  <si>
    <t>https://tub-rip.github.io/eventvision2021/papers/2021CVPRW_DVS-OUTLAB_A_Neuromorphic_Event-Based_Long_Time_Monitoring_Dataset.pdf</t>
  </si>
  <si>
    <t>DVS-OUTLAB: A Neuromorphic Event-Based Long Time Monitoring Dataset for Real-World Outdoor Scenarios</t>
  </si>
  <si>
    <t>https://tub-rip.github.io/eventvision2021/papers/2021CVPRW_EFI-Net_Video_Frame_Interpolation_from_Fusion_of_Events_and_Frames.pdf</t>
  </si>
  <si>
    <t>EFI-Net: Video Frame Interpolation from Fusion of Events and Frames</t>
  </si>
  <si>
    <t>https://tub-rip.github.io/eventvision2021/papers/2021CVPRW_Feedback_control_of_event_cameras.pdf</t>
  </si>
  <si>
    <t>Feedback control of event cameras</t>
  </si>
  <si>
    <t>https://tub-rip.github.io/eventvision2021/papers/2021CVPRW_How_to_Calibrate_Your_Event_Camera.pdf</t>
  </si>
  <si>
    <t>How to Calibrate Your Event Camera</t>
  </si>
  <si>
    <t>https://tub-rip.github.io/eventvision2021/papers/2021CVPRW_Image_Reconstruction_from_Neuromorphic_Event_Cameras_using_Laplacian-Prediction.pdf</t>
  </si>
  <si>
    <r>
      <rPr>
        <rFont val="Arial"/>
        <color theme="1"/>
        <sz val="10.0"/>
      </rPr>
      <t>Image Reconstruction from Neuromorphic Event Cameras using Laplacian-Prediction and Poisson Integration with Spiking and Artificial Neural Netwo</t>
    </r>
    <r>
      <rPr>
        <rFont val="Arial"/>
        <color theme="1"/>
        <sz val="10.0"/>
      </rPr>
      <t>rks</t>
    </r>
  </si>
  <si>
    <t>https://tub-rip.github.io/eventvision2021/papers/2021CVPRW_Lifting_Monocular_Events_to_3D_Human_Poses.pdf</t>
  </si>
  <si>
    <t>Lifting Monocular Events to 3D Human Poses</t>
  </si>
  <si>
    <t>https://tub-rip.github.io/eventvision2021/papers/2021CVPRW_Live_Demonstration_Incremental_Motion_Estimation_for_Event-based_Cameras_by_Dispersion_Minimisation.pdf</t>
  </si>
  <si>
    <t>Live Demonstration: Incremental Motion Estimation for Event-based Cameras by Dispersion Minimisation</t>
  </si>
  <si>
    <t>https://tub-rip.github.io/eventvision2021/papers/2021CVPRW_N-ROD_A_Neuromorphic_Dataset_for_Synthetic-to-Real_Domain_Adaptation.pdf</t>
  </si>
  <si>
    <t>N-ROD: a Neuromorphic Dataset for Synthetic-to-Real Domain Adaptation</t>
  </si>
  <si>
    <t>https://tub-rip.github.io/eventvision2021/papers/2021CVPRW_Spike_timing-based_unsupervised_learning_of_orientation_disparity_and_motion_representations.pdf</t>
  </si>
  <si>
    <t>Spike timing-based unsupervised learning of orientation, disparity, and motion representations in a spiking neural network,</t>
  </si>
  <si>
    <t>https://tub-rip.github.io/eventvision2021/papers/2021CVPRW_V2E_From_Video_Frames_to_Realistic_DVS_Events.pdf</t>
  </si>
  <si>
    <t>v2e: From Video Frames to Realistic DVS Events</t>
  </si>
  <si>
    <t>https://tub-rip.github.io/eventvision2021/slides/ICCV2021Tutorial.pdf</t>
  </si>
  <si>
    <t>https://tub-rip.github.io/eventvision2023</t>
  </si>
  <si>
    <t>https://tub-rip.github.io/eventvision2023/</t>
  </si>
  <si>
    <t>Asynchronous Events-based Panoptic Segmentation using Graph Mixer Neural Network</t>
  </si>
  <si>
    <t>https://tub-rip.github.io/eventvision2023/papers/2023CVPRW_Event-IMU_fusion_strategies_for_faster-than-IMU_estimation_throughput.pdf</t>
  </si>
  <si>
    <t>https://tub-rip.github.io/eventvision2023/slides/2023-11_Workshop_event_cameras_Sorbonne.pdf</t>
  </si>
  <si>
    <t>https://tub-rip.github.io/eventvision2025</t>
  </si>
  <si>
    <t>https://ui.adsabs.harvard.edu/link_gateway/2025NewCE...524014R/doi:10.1088/2634-4386/addc15</t>
  </si>
  <si>
    <t>Low-latency neuromorphic air hockey player</t>
  </si>
  <si>
    <t>https://unire.unige.it/handle/123456789/3258</t>
  </si>
  <si>
    <t>https://urn.kb.se/resolve?urn=urn%3Anbn%3Ase%3Akth%3Adiva-370478</t>
  </si>
  <si>
    <t>Neuromorphic computation in space and time: On first-principles approaches to computation in mixed-signal neural networks</t>
  </si>
  <si>
    <t>https://utw10945.utweb.utexas.edu/sites/default/files/2024/124%20On%20the%20use%20of%20Event-Based%20Change%20Detection%20Neu.pdf</t>
  </si>
  <si>
    <t>On The Use Of Event-based Change Detection Neuromorphic Imagers For In-process Monitoring Of Additive Manufacturing</t>
  </si>
  <si>
    <t>SFFC 2024</t>
  </si>
  <si>
    <t>https://uu.diva-portal.org/smash/get/diva2:1803632/FULLTEXT01.pdf</t>
  </si>
  <si>
    <t>https://uzh-rpg.github.io/timelens-pp/</t>
  </si>
  <si>
    <t>Time Lens++: Event-based Frame Interpolation with Parametric Non-linear Flow and Multi-scale Fusion</t>
  </si>
  <si>
    <t>https://vbrebion.github.io/RTEF/</t>
  </si>
  <si>
    <t>Real-Time Optical Flow for Vehicular Perception with Low- and High-Resolution Event Cameras</t>
  </si>
  <si>
    <t>IEEE T-TITS 2022</t>
  </si>
  <si>
    <t>https://vcai.mpi-inf.mpg.de/projects/colibri/</t>
  </si>
  <si>
    <t>Unsupervised Event-based Video Reconstruction</t>
  </si>
  <si>
    <t>https://vimeo.com/264342847</t>
  </si>
  <si>
    <t>https://visibilitydataset.github.io</t>
  </si>
  <si>
    <t>https://vision.in.tum.de/data/datasets/visual-inertial-event-dataset</t>
  </si>
  <si>
    <t>https://webthesis.biblio.polito.it/11693/1/tesi.pdf</t>
  </si>
  <si>
    <t>https://webthesis.biblio.polito.it/29450/1/tesi.pdf</t>
  </si>
  <si>
    <t>Graph Neural Network for Event-based Vision</t>
  </si>
  <si>
    <t>https://webthesis.biblio.polito.it/33163/1/tesi.pdf</t>
  </si>
  <si>
    <t>Neuromorphic Vision for autonomous flight and landing on a winged drone</t>
  </si>
  <si>
    <t>https://wires.onlinelibrary.wiley.com/doi/10.1002/widm.1310</t>
  </si>
  <si>
    <t>https://wisionlab.com/project/generalized-event-cameras/</t>
  </si>
  <si>
    <t>Generalized Event Cameras</t>
  </si>
  <si>
    <t>https://www.aaai.org/AAAI22Papers/AAAI-1396.LiJ.pdf</t>
  </si>
  <si>
    <t>Retinomorphic Object Detection in Asynchronous Visual Streams</t>
  </si>
  <si>
    <t>https://www.aaai.org/AAAI22Papers/AAAI-9968.JinzeC.pdf</t>
  </si>
  <si>
    <t>ProgressiveMotionSeg: Mutually Reinforced Framework for Event-Based Motion Segmentation</t>
  </si>
  <si>
    <t>https://www.aaai.org/Papers/AAAI/2020GB/AAAI-ChenH.2586.pdf</t>
  </si>
  <si>
    <t>https://www.advancedsciencenews.com/silicon-retinas-to-help-robots-navigate-the-world</t>
  </si>
  <si>
    <t>https://www.aimodels.fyi/papers/arxiv/deblurring-neural-radiance-fields-event-driven-bundle</t>
  </si>
  <si>
    <t>Deblurring Neural Radiance Fields with Event-driven Bundle Adjustment</t>
  </si>
  <si>
    <t>https://www.aimsciences.org//article/doi/10.3934/fods.2024026</t>
  </si>
  <si>
    <t>GNEP Based Dynamic Segmentation and Motion Estimation for Neuromorphic Imaging</t>
  </si>
  <si>
    <t>FoDS 2024</t>
  </si>
  <si>
    <t>https://www.ait.ac.at/en/research-fields/new-sensor-technologies</t>
  </si>
  <si>
    <t>https://www.ait.ac.at/en/research-fields/new-sensor-technologies/optical-sensor-systems-for-industrial-processes</t>
  </si>
  <si>
    <t>https://www.ait.ac.at/fileadmin/mc/digital_safety_security/downloads/Factsheet_-_Industrial-Vision-Sensor_en.pdf</t>
  </si>
  <si>
    <t>https://www.ait.ac.at/fileadmin/mc/digital_safety_security/downloads/Factsheet_-_Linescan-Chip_DLS_en.pdf</t>
  </si>
  <si>
    <t>https://www.ait.ac.at/fileadmin/mc/digital_safety_security/downloads/Factsheet_-_Panoramic-Imaging-Sensor_en.pdf</t>
  </si>
  <si>
    <t>https://www.ait.ac.at/fileadmin/mc/digital_safety_security/downloads/Factsheet_-_People-Counting-Sensor_en.pdf</t>
  </si>
  <si>
    <t>https://www.ait.ac.at/fileadmin/mc/digital_safety_security/downloads/TUCO-3D_Vision2014.pdf</t>
  </si>
  <si>
    <t>https://www.alphaxiv.org/abs/2412.19370</t>
  </si>
  <si>
    <t>BeSplat: Gaussian Splatting from a Single Blurry Image and Event Stream</t>
  </si>
  <si>
    <t>https://www.anishbhattacharya.com/research/evdnerf</t>
  </si>
  <si>
    <t>EvDNeRF: Reconstructing Event Data with Dynamic Neural Radiance Fields</t>
  </si>
  <si>
    <t>https://www.archives-ouvertes.fr/hal-01369653/</t>
  </si>
  <si>
    <t>Event-Based Tone Mapping for Asynchronous Time-Based Image Sensor</t>
  </si>
  <si>
    <t>https://www.arxiv.org/abs/2405.13389</t>
  </si>
  <si>
    <t>HR-INR: Continuous Space-Time Video Super-Resolution via Event Camera</t>
  </si>
  <si>
    <t>https://www.arxiv.org/abs/2408.01370</t>
  </si>
  <si>
    <t>EVIT: Event-based Visual-Inertial Tracking in Semi-Dense Maps Using Windowed Nonlinear Optimization</t>
  </si>
  <si>
    <t>https://www.arxiv.org/abs/2408.03225</t>
  </si>
  <si>
    <t>Line-based 6-DoF Object Pose Estimation and Tracking With an Event Camera</t>
  </si>
  <si>
    <t>https://www.arxiv.org/abs/2408.08500</t>
  </si>
  <si>
    <t>CoSEC: A Coaxial Stereo Event Camera Dataset for Autonomous Driving</t>
  </si>
  <si>
    <t>https://www.arxiv.org/abs/2408.09454</t>
  </si>
  <si>
    <t>Retina-inspired Object Motion Segmentation</t>
  </si>
  <si>
    <t>https://www.arxiv.org/abs/2408.09764</t>
  </si>
  <si>
    <t>Event Stream based Human Action Recognition: A High-Definition Benchmark Dataset and Algorithms</t>
  </si>
  <si>
    <t>https://www.arxiv.org/abs/2408.10487</t>
  </si>
  <si>
    <t>MambaEVT: Event Stream based Visual Object Tracking using State Space Model</t>
  </si>
  <si>
    <t>https://www.arxiv.org/abs/2408.14916</t>
  </si>
  <si>
    <t>Towards Real-world Event-guided Low-light Video Enhancement and Deblurring</t>
  </si>
  <si>
    <t>https://www.arxiv.org/abs/2408.15663</t>
  </si>
  <si>
    <t>NeuroVE: Brain-inspired Linear-Angular Velocity Estimation with Spiking Neural Networks</t>
  </si>
  <si>
    <t>https://www.arxiv.org/abs/2409.03358</t>
  </si>
  <si>
    <t>MouseSIS: A Frames-and-Events Dataset for Space-Time Instance Segmentation of Mice</t>
  </si>
  <si>
    <t>https://www.arxiv.org/abs/2409.10213</t>
  </si>
  <si>
    <t>Neuromorphic Facial Analysis with Cross-Modal Supervision</t>
  </si>
  <si>
    <t>https://www.arxiv.org/abs/2409.19356</t>
  </si>
  <si>
    <t>Steering Prediction via a Multi-Sensor System for Autonomous Racing</t>
  </si>
  <si>
    <t>https://www.arxiv.org/abs/2501.00741</t>
  </si>
  <si>
    <t>Towards End-to-End Neuromorphic Voxel-based 3D Object Reconstruction Without Physical Priors</t>
  </si>
  <si>
    <t>https://www.arxiv.org/abs/2501.00838</t>
  </si>
  <si>
    <t>Spatially-guided Temporal Aggregation for Robust Event-RGB Optical Flow Estimation</t>
  </si>
  <si>
    <t>https://www.arxiv.org/abs/2502.05086</t>
  </si>
  <si>
    <t>REASSEMBLE: A Multimodal Dataset for Contact-rich Robotic Assembly and Disassembly</t>
  </si>
  <si>
    <t>https://www.arxiv.org/abs/2502.05574</t>
  </si>
  <si>
    <t>Event Stream-based Visual Object Tracking: HDETrack V2 and A High-Definition Benchmark</t>
  </si>
  <si>
    <t>https://www.arxiv.org/abs/2503.00167</t>
  </si>
  <si>
    <t>EVLoc: Event-based Visual Localization in LiDAR Maps via Event-Depth Registration</t>
  </si>
  <si>
    <t>https://www.arxiv.org/abs/2503.00377</t>
  </si>
  <si>
    <t>Adversarial Attacks on Event-Based Pedestrian Detectors: A Physical Approach</t>
  </si>
  <si>
    <t>https://www.arxiv.org/abs/2503.11226</t>
  </si>
  <si>
    <t>Non Line-of-Sight Optical Wireless Communication using Neuromorphic Cameras</t>
  </si>
  <si>
    <t>EWSN 2025</t>
  </si>
  <si>
    <t>https://www.arxiv.org/abs/2503.17262</t>
  </si>
  <si>
    <t>Unsupervised Joint Learning of Optical Flow and Intensity with Event Cameras</t>
  </si>
  <si>
    <t>https://www.arxiv.org/abs/2505.03448</t>
  </si>
  <si>
    <t>AquaticVision: Benchmarking Visual SLAM in Underwater Environment with Events and Frames</t>
  </si>
  <si>
    <t>https://www.arxiv.org/abs/2505.09529</t>
  </si>
  <si>
    <t>Contactless Cardiac Pulse Monitoring Using Event Cameras</t>
  </si>
  <si>
    <t>https://www.arxiv.org/abs/2505.16797</t>
  </si>
  <si>
    <t>V2V: Scaling Event-Based Vision through Efficient Video-to-Voxel Simulation</t>
  </si>
  <si>
    <t>https://www.arxiv.org/abs/2505.24401</t>
  </si>
  <si>
    <t>S3CE-Net: Spike-guided Spatiotemporal Semantic Coupling and Expansion Network for Long Sequence Event Re-Identification</t>
  </si>
  <si>
    <t>https://www.arxiv.org/abs/2506.03918</t>
  </si>
  <si>
    <t>Learning from Noise: Enhancing DNNs for Event-Based Vision through Controlled Noise Injection</t>
  </si>
  <si>
    <t>https://www.arxiv.org/abs/2506.06596</t>
  </si>
  <si>
    <t>EV-LayerSegNet: Self-supervised Motion Segmentation using Event Cameras</t>
  </si>
  <si>
    <t>https://www.arxiv.org/abs/2506.16436</t>
  </si>
  <si>
    <t>An efficient neuromorphic approach for collision avoidance combining Stack-CNN with event cameras</t>
  </si>
  <si>
    <t>SpaceOps 2025</t>
  </si>
  <si>
    <t>https://www.arxiv.org/abs/2506.17457</t>
  </si>
  <si>
    <t>When Every Millisecond Counts: Real-Time Anomaly Detection via the Multimodal Asynchronous Hybrid Network</t>
  </si>
  <si>
    <t>https://www.arxiv.org/abs/2506.19416</t>
  </si>
  <si>
    <t>EvDetMAV: Generalized MAV Detection from Moving Event Cameras</t>
  </si>
  <si>
    <t>https://www.arxiv.org/abs/2507.06247</t>
  </si>
  <si>
    <t>FED-PV: A Large-Scale Synthetic Frame/Event Dataset for Particle-Based Velocimetry</t>
  </si>
  <si>
    <t>https://www.arxiv.org/abs/2507.07734</t>
  </si>
  <si>
    <t>EEvAct: Early Event-Based Action Recognition with High-Rate Two-Stream Spiking Neural Networks</t>
  </si>
  <si>
    <t>https://www.arxiv.org/abs/2507.13659</t>
  </si>
  <si>
    <t>When Person Re-Identification Meets Event Camera: A Benchmark Dataset and An Attribute-guided Re-Identification Framework</t>
  </si>
  <si>
    <t>https://www.arxiv.org/abs/2507.14500</t>
  </si>
  <si>
    <t>Motion Segmentation and Egomotion Estimation from Event-Based Normal Flow</t>
  </si>
  <si>
    <t>https://www.arxiv.org/abs/2508.00913</t>
  </si>
  <si>
    <t>TESPEC: Temporally-Enhanced Self-Supervised Pretraining for Event Cameras</t>
  </si>
  <si>
    <t>https://www.arxiv.org/abs/2508.02127</t>
  </si>
  <si>
    <t>Beyond RGB and Events: Enhancing Object Detection under Adverse Lighting with Monocular Normal Maps</t>
  </si>
  <si>
    <t>https://www.arxiv.org/abs/2508.09466</t>
  </si>
  <si>
    <t>Event-driven Robust Fitting on Neuromorphic Hardware</t>
  </si>
  <si>
    <t>https://www.arxiv.org/abs/2508.09912</t>
  </si>
  <si>
    <t>E-4DGS: High-Fidelity Dynamic Reconstruction from the Multi-view Event Cameras</t>
  </si>
  <si>
    <t>https://www.arxiv.org/abs/2508.13244</t>
  </si>
  <si>
    <t>Sub-Millisecond Event-Based Eye Tracking on a Resource-Constrained Microcontroller</t>
  </si>
  <si>
    <t>https://www.arxiv.org/abs/2509.05554</t>
  </si>
  <si>
    <t>RED: Robust Event-Guided Motion Deblurring with Modality-Specific Disentangled Representation</t>
  </si>
  <si>
    <t>https://www.arxiv.org/abs/2509.05923</t>
  </si>
  <si>
    <t xml:space="preserve">eKalibr-Inertial: Continuous-Time Spatiotemporal Calibration for Event-Based Visual-Inertial Systems </t>
  </si>
  <si>
    <t>https://www.arxiv.org/abs/2509.09971</t>
  </si>
  <si>
    <t>Event Camera Guided Visual Media Restoration &amp; 3D Reconstruction: A Survey</t>
  </si>
  <si>
    <t>https://www.arxiv.org/abs/2509.09977</t>
  </si>
  <si>
    <t>ISTASTrack: Bridging ANN and SNN via ISTA Adapter for RGB-Event Tracking</t>
  </si>
  <si>
    <t>https://www.arxiv.org/abs/2510.07990</t>
  </si>
  <si>
    <t>GraphEnet: Event-driven Human Pose Estimation with a Graph Neural Network</t>
  </si>
  <si>
    <t>https://www.arxiv.org/abs/2511.12961</t>
  </si>
  <si>
    <t>Inertia-Informed Orientation Priors for Event-Based Optical Flow Estimation</t>
  </si>
  <si>
    <t>https://www.arxiv.org/abs/2511.22554</t>
  </si>
  <si>
    <t>Privacy-preserving fall detection at the edge using Sony IMX636 event-based vision sensor and Intel Loihi 2 neuromorphic processor</t>
  </si>
  <si>
    <t>https://www.arxiv.org/abs/2512.05240</t>
  </si>
  <si>
    <t>IE2Video: Adapting Pretrained Diffusion Models for Event-Based Video Reconstruction</t>
  </si>
  <si>
    <t>https://www.arxiv.org/abs/2512.06306</t>
  </si>
  <si>
    <t>Exploiting Spatiotemporal Properties for Efficient Event-Driven Human Pose Estimation</t>
  </si>
  <si>
    <t>https://www.arxiv.org/abs/2512.11076</t>
  </si>
  <si>
    <t>E-CHUM: Event-based Cameras for Human Detection and Urban Monitoring</t>
  </si>
  <si>
    <t>https://www.arxiv.org/abs/2601.04920</t>
  </si>
  <si>
    <t>Conversational AI for Rapid Scientific Prototyping: A Case Study on ESA’s ELOPE Competition</t>
  </si>
  <si>
    <t>https://www.awerobotics.com/machine-learning-techniques-for-robot-navigation</t>
  </si>
  <si>
    <t>https://www.beneluxmeeting.nl/2025/uploads/papers/bmsc2025_416.pdf</t>
  </si>
  <si>
    <t>Nonlinear Opinion Dynamics for Event-Based Intelligent Sensors</t>
  </si>
  <si>
    <t>https://www.bilibili.com/video/BV1ey4y1j7Ke?share_source=copy_web</t>
  </si>
  <si>
    <t>https://www.biorxiv.org/content/10.1101/2022.07.22.501162v1</t>
  </si>
  <si>
    <t>Event-based vision sensor enables fast and dense single-molecule localization microscopy</t>
  </si>
  <si>
    <t>preprint 2022 or Nat. Photonics 2023</t>
  </si>
  <si>
    <t>https://www.biorxiv.org/content/10.1101/2023.07.06.548044v1</t>
  </si>
  <si>
    <t>Neuromorphic Cytometry: Implementation on cell counting and size estimation</t>
  </si>
  <si>
    <t>Neuromorphic Computing And Engineering 2023</t>
  </si>
  <si>
    <t>https://www.biorxiv.org/content/10.1101/2025.03.25.645190v1</t>
  </si>
  <si>
    <t>Temporal coding enables hyperacuity in event based vision</t>
  </si>
  <si>
    <t>https://www.biorxiv.org/content/10.1101/2025.11.01.685972v1.full.pdf</t>
  </si>
  <si>
    <t>Dual-Channel Event Microscopy for Ultrafast Biological Imaging</t>
  </si>
  <si>
    <t>https://www.biorxiv.org/content/10.64898/2026.01.08.698496v1.full.pdf</t>
  </si>
  <si>
    <t>Ultrafast Frame-Free Imaging of Neural Activity with Event Cameras</t>
  </si>
  <si>
    <t>https://www.blinkvision.net/match/download.html</t>
  </si>
  <si>
    <t>https://www.bmvc2020-conference.com/assets/papers/0366.pdf</t>
  </si>
  <si>
    <t>https://www.bmvc2020-conference.com/assets/papers/0744.pdf</t>
  </si>
  <si>
    <t>https://www.bmvc2020-conference.com/conference/papers/paper_0366.html</t>
  </si>
  <si>
    <t>High-speed event camera tracking</t>
  </si>
  <si>
    <t>BMVC 2020</t>
  </si>
  <si>
    <t>https://www.bmvc2020-conference.com/conference/papers/paper_0744.html</t>
  </si>
  <si>
    <t>HASTE: multi-Hypothesis Asynchronous Speeded-up Tracking of Events</t>
  </si>
  <si>
    <t>https://www.bmvc2021-virtualconference.com/assets/papers/0126.pdf</t>
  </si>
  <si>
    <t>Learning to Sparsify Differences of Synaptic Signal for Efficient Event Processing</t>
  </si>
  <si>
    <t>BMVC 2021</t>
  </si>
  <si>
    <t>https://www.bmvc2021-virtualconference.com/assets/papers/0877.pdf</t>
  </si>
  <si>
    <t>Continuous Event-Line Constraint for Closed-Form Velocity Initialization</t>
  </si>
  <si>
    <t>https://www.celepixel.com</t>
  </si>
  <si>
    <t>https://www.cis.upenn.edu/~ziyunw/continuity_cam</t>
  </si>
  <si>
    <t>https://www.cis.upenn.edu/~ziyunw/un_evimo</t>
  </si>
  <si>
    <t>https://www.computer.org/csdl/journal/tp/5555/01/09962797/1IxvT5j9TeU</t>
  </si>
  <si>
    <t>SuperFast: 200x Video Frame Interpolation via Event Camera</t>
  </si>
  <si>
    <t>https://www.computer.org/csdl/pds/api/csdl/proceedings/download-article/1FWm8Ll0qty/pdf</t>
  </si>
  <si>
    <t>Electronically Foveated Dynamic Vision Sensor</t>
  </si>
  <si>
    <t>COINS 2022</t>
  </si>
  <si>
    <t>https://www.computer.org/csdl/proceedings-article/icme/2024/10687719/20F0h274DkY</t>
  </si>
  <si>
    <t>ESTME: Event-driven Spatio-temporal Motion Enhancement for Micro-Expression Recognition</t>
  </si>
  <si>
    <t>ICME 2024</t>
  </si>
  <si>
    <t>https://www.computer.org/csdl/proceedings-article/ismar-adjunct/2025/934700a608/2bKciXy0yOs</t>
  </si>
  <si>
    <t>Real-Time Event-Based Tennis Ball Tracking for Augmented Training</t>
  </si>
  <si>
    <t>ISMAR-Adjunct 2025</t>
  </si>
  <si>
    <t>https://www.cs.toronto.edu/~lindell/teaching/2529/past_projects/2022/report/martin.pdf</t>
  </si>
  <si>
    <t>CSC2529 Project Report: Spiking neural networks for depth estimation</t>
  </si>
  <si>
    <t>https://www.cs.umd.edu/content/all-focus-imaging-dynamic-scenes-event-based-focal-stack</t>
  </si>
  <si>
    <t>All-in-Focus Imaging of Dynamic Scenes with an Event-Based Focal Stack</t>
  </si>
  <si>
    <t>https://www.cvl.iis.u-tokyo.ac.jp/~kyf/ICRA2024</t>
  </si>
  <si>
    <t>https://www.cvl.iis.u-tokyo.ac.jp/~kyf/ICRA2024/BIAM.pdf).*,&lt;br</t>
  </si>
  <si>
    <t>https://www.darpa.mil/research/programs/fast-event-based-neuromorphic-camera-and-electronics</t>
  </si>
  <si>
    <t>https://www.dbpia.co.kr/journal/articleDetail?nodeId=NODE11398228&amp;nodeId=NODE11398228&amp;medaTypeCode=185005&amp;language=ko_KR&amp;hasTopBanner=true</t>
  </si>
  <si>
    <t>A Study on the Possibility of Condition Monitoring for Operating Equipment using Event Sensor</t>
  </si>
  <si>
    <t>KSNVE 2023</t>
  </si>
  <si>
    <t>https://www.designboom.com/technology/paragraphica-lensless-camera-ai-06-08-2023</t>
  </si>
  <si>
    <t>https://www.diva-portal.org/smash/get/diva2:1703300/FULLTEXT01.pdf</t>
  </si>
  <si>
    <t>The Effects of Downsampling on Computation Speed and Accuracy in Event-based Hough Transform</t>
  </si>
  <si>
    <t>KTH Degree project</t>
  </si>
  <si>
    <t>https://www.diva-portal.org/smash/get/diva2:1764195/FULLTEXT02</t>
  </si>
  <si>
    <t>The development of a Hardware-in-the-Loop test setup for event-based vision near-space space objects.</t>
  </si>
  <si>
    <t>https://www.diva-portal.org/smash/get/diva2:1973412/FULLTEXT01.pdf</t>
  </si>
  <si>
    <t>Neuromorphic Depth Estimation with Machine Learning</t>
  </si>
  <si>
    <t>https://www.diva-portal.org/smash/get/diva2:2005889/FULLTEXT01.pdf</t>
  </si>
  <si>
    <t>Real-Time Stereo Fusion Event-Based Depth Estimation on Resource-Constrained Hardware: An exploratory study on the efficiency of a state-of-the-art stereo event</t>
  </si>
  <si>
    <t>https://www.diva-portal.org/smash/get/diva2:2005890/FULLTEXT01.pdf</t>
  </si>
  <si>
    <t>Optimizing Feature Detection Algorithms for Event-Based Vision Systems: A Comparative Study and Efficiency Enhancement for 32-bit Microcontroller</t>
  </si>
  <si>
    <t>https://www.doc.ic.ac.uk/~ajd/Publications/Bardow-P-2019-PhD-Thesis.pdf</t>
  </si>
  <si>
    <t>https://www.doc.ic.ac.uk/~ajd/Publications/kim_etal_eccv2016.pdf</t>
  </si>
  <si>
    <t>https://www.doi.org/10.1109/LRA.2023.3240646</t>
  </si>
  <si>
    <t>https://www.dropbox.com/s/ee6dn8zy4odpfwl/0096.pdf?dl=1</t>
  </si>
  <si>
    <t>Robust Dense Depth Map Estimation from Sparse DVS Stereos</t>
  </si>
  <si>
    <t>https://www.dropbox.com/s/eztqo109iue6ned/Active%20Papers%20Paper%2096%20%20Supplementary%20File.zip?dl=1</t>
  </si>
  <si>
    <t>https://www.dropbox.com/s/m77i7cqqy7xbg51/0099.pdf?dl=1</t>
  </si>
  <si>
    <t>Adaptive Temporal Pooling for Object Detection using Dynamic Vision Sensor</t>
  </si>
  <si>
    <t>https://www.dropbox.com/sh/x6nm6zl9rrd7yzn/AAB_Fa5F-Y4fSo1nrIJxc8Xoa?dl=0</t>
  </si>
  <si>
    <t>https://www.e-consystems.com/email/see3cam-37cugm.asp</t>
  </si>
  <si>
    <t>https://www.ecva.net/papers/eccv_2020/papers_ECCV/papers/123510494-supp.pdf</t>
  </si>
  <si>
    <t>https://www.ecva.net/papers/eccv_2020/papers_ECCV/papers/123510494.pdf</t>
  </si>
  <si>
    <t>https://www.ecva.net/papers/eccv_2020/papers_ECCV/papers/123530409-supp.zip</t>
  </si>
  <si>
    <t>https://www.ecva.net/papers/eccv_2020/papers_ECCV/papers/123530409.pdf</t>
  </si>
  <si>
    <t>https://www.ecva.net/papers/eccv_2020/papers_ECCV/papers/123530681-supp.pdf</t>
  </si>
  <si>
    <t>https://www.ecva.net/papers/eccv_2020/papers_ECCV/papers/123530681.pdf</t>
  </si>
  <si>
    <t>https://www.ecva.net/papers/eccv_2020/papers_ECCV/papers/123580154-supp.pdf</t>
  </si>
  <si>
    <t>https://www.ecva.net/papers/eccv_2020/papers_ECCV/papers/123580154.pdf</t>
  </si>
  <si>
    <t>https://www.ecva.net/papers/eccv_2020/papers_ECCV/papers/123610086-supp.zip</t>
  </si>
  <si>
    <t>https://www.ecva.net/papers/eccv_2020/papers_ECCV/papers/123610086.pdf</t>
  </si>
  <si>
    <t>https://www.ecva.net/papers/eccv_2020/papers_ECCV/papers/123630647-supp.pdf</t>
  </si>
  <si>
    <t>https://www.ecva.net/papers/eccv_2020/papers_ECCV/papers/123630647.pdf</t>
  </si>
  <si>
    <t>https://www.ecva.net/papers/eccv_2020/papers_ECCV/papers/123650137-supp.pdf</t>
  </si>
  <si>
    <t>https://www.ecva.net/papers/eccv_2020/papers_ECCV/papers/123650137.pdf</t>
  </si>
  <si>
    <t>https://www.ecva.net/papers/eccv_2020/papers_ECCV/papers/123720528.pdf</t>
  </si>
  <si>
    <t>https://www.ecva.net/papers/eccv_2020/papers_ECCV/papers/123740035-supp.zip</t>
  </si>
  <si>
    <t>https://www.ecva.net/papers/eccv_2020/papers_ECCV/papers/123740035.pdf</t>
  </si>
  <si>
    <t>https://www.ecva.net/papers/eccv_2020/papers_ECCV/papers/123740358-supp.pdf</t>
  </si>
  <si>
    <t>https://www.ecva.net/papers/eccv_2020/papers_ECCV/papers/123740358.pdf</t>
  </si>
  <si>
    <t>https://www.ecva.net/papers/eccv_2022/papers_ECCV/html/267_ECCV_2022_paper.php</t>
  </si>
  <si>
    <t>https://www.ecva.net/papers/eccv_2022/papers_ECCV/html/3239_ECCV_2022_paper.php</t>
  </si>
  <si>
    <t>https://www.ecva.net/papers/eccv_2022/papers_ECCV/html/4130_ECCV_2022_paper.php</t>
  </si>
  <si>
    <t>Selection and Cross Similarity for Event-Image Deep Stereo</t>
  </si>
  <si>
    <t>https://www.ecva.net/papers/eccv_2022/papers_ECCV/papers/136660461.pdf</t>
  </si>
  <si>
    <t>Boosting Event Stream Super-Resolution with A Recurrent Neural Network</t>
  </si>
  <si>
    <t>https://www.ecva.net/papers/eccv_2022/papers_ECCV/papers/136670278.pdf</t>
  </si>
  <si>
    <t>EvAC3D: From Event-based Apparent Contours to 3D Models via Continuous Visual Hulls</t>
  </si>
  <si>
    <t>https://www.ecva.net/papers/eccv_2022/papers_ECCV/papers/136670571.pdf</t>
  </si>
  <si>
    <t>DVS-Voltmeter: Stochastic Process-based Event Simulator for Dynamic Vision Sensors</t>
  </si>
  <si>
    <t>https://www.ecva.net/papers/eccv_2022/papers_ECCV/papers/136780403.pdf</t>
  </si>
  <si>
    <t>https://www.ecva.net/papers/eccv_2022/papers_ECCV/papers/136840211.pdf</t>
  </si>
  <si>
    <t>MENet: a Memory-Based Network with Dual-Branch for Efficient Event Stream Processing</t>
  </si>
  <si>
    <t>https://www.ecva.net/papers/eccv_2024/papers_ECCV/papers/00069.pdf</t>
  </si>
  <si>
    <t>Deblur e-NeRF: NeRF from Motion-Blurred Events under High-speed or Low-light Conditions</t>
  </si>
  <si>
    <t>https://www.ecva.net/papers/eccv_2024/papers_ECCV/papers/02323.pdf</t>
  </si>
  <si>
    <t>Event-based Head Pose Estimation: Benchmark and Method</t>
  </si>
  <si>
    <t>https://www.ecva.net/papers/eccv_2024/papers_ECCV/papers/04596.pdf</t>
  </si>
  <si>
    <t>https://www.ecva.net/papers/eccv_2024/papers_ECCV/papers/05843.pdf</t>
  </si>
  <si>
    <t>Spike-Temporal Latent Representation for Energy-Efficient Event-to-Video Reconstruction</t>
  </si>
  <si>
    <t>https://www.ecva.net/papers/eccv_2024/papers_ECCV/papers/06110.pdf</t>
  </si>
  <si>
    <t>Physical-Based Event Camera Simulator</t>
  </si>
  <si>
    <t>https://www.ecva.net/papers/eccv_2024/papers_ECCV/papers/06299.pdf</t>
  </si>
  <si>
    <t>Motion Aware Event Representation-driven Image Deblurring</t>
  </si>
  <si>
    <t>https://www.ecva.net/papers/eccv_2024/papers_ECCV/papers/07037.pdf</t>
  </si>
  <si>
    <t>FARSE-CNN: Fully Asynchronous, Recurrent and Sparse Event-Based CNN</t>
  </si>
  <si>
    <t>https://www.ecva.net/papers/eccv_2024/papers_ECCV/papers/07674.pdf</t>
  </si>
  <si>
    <t>3D Hand Sequence Recovery from Real Blurry Images and Event Stream</t>
  </si>
  <si>
    <t>https://www.ecva.net/papers/eccv_2024/papers_ECCV/papers/08381.pdf</t>
  </si>
  <si>
    <t>BlinkVision: A Benchmark for Optical Flow, Scene Flow and Point Tracking Estimation using RGB Frames and Events</t>
  </si>
  <si>
    <t>https://www.ecva.net/papers/eccv_2024/papers_ECCV/papers/10433.pdf</t>
  </si>
  <si>
    <t>REDIR: Refocus-free Event-based De-occlusion Image Reconstruction</t>
  </si>
  <si>
    <t>https://www.ecva.net/papers/eccv_2024/papers_ECCV/papers/10733.pdf</t>
  </si>
  <si>
    <t>Efficient Learning of Event-based Dense Representation using Hierarchical Memories with Adaptive Update</t>
  </si>
  <si>
    <t>https://www.ecva.net/papers/eccv_2024/papers_ECCV/papers/11208.pdf</t>
  </si>
  <si>
    <t>TimeLens-XL: Real-time Event-based Video Frame Interpolation with Large Motion</t>
  </si>
  <si>
    <t>https://www.edge-ai-vision.com/?s=Event+camera</t>
  </si>
  <si>
    <t>https://www.edpr.iit.it</t>
  </si>
  <si>
    <t>https://www.eee.hku.hk/optima/pub/conference/2510_PAa.pdf</t>
  </si>
  <si>
    <t>Motion-Resolved Event-Based Holography</t>
  </si>
  <si>
    <t>https://www.eee.hku.hk/optima/pub/journal/2305_TCI.pdf</t>
  </si>
  <si>
    <t>https://www.eee.hku.hk/optima/pub/journal/2401_NC.pdf</t>
  </si>
  <si>
    <t>https://www.eee.hku.hk/optima/pub/journal/2401_NCE.pdf</t>
  </si>
  <si>
    <t>https://www.eee.hku.hk/optima/pub/journal/2403_ITIP.pdf</t>
  </si>
  <si>
    <t>https://www.eee.hku.hk/optima/pub/journal/2502_TCSVT.pdf</t>
  </si>
  <si>
    <t>https://www.eetasia.com/neuromorphic-vision-sensors-bring-autonomy-closer-to-reality</t>
  </si>
  <si>
    <t>https://www.eetimes.com/a-shift-in-computer-vision-is-coming</t>
  </si>
  <si>
    <t>https://www.eetimes.com/cars-that-think-like-you</t>
  </si>
  <si>
    <t>https://www.eetimes.com/exclusive-an-interview-with-carver-mead</t>
  </si>
  <si>
    <t>https://www.eetimes.com/inspiration-or-imitation-how-closely-should-we-copy-biological-systems</t>
  </si>
  <si>
    <t>https://www.eetimes.com/neuromorphic-sensing-coming-soon-to-consumer-products</t>
  </si>
  <si>
    <t>https://www.eetimes.com/neuromorphic-vision-sensors-eye-the-future-of-autonomy</t>
  </si>
  <si>
    <t>https://www.eetimes.com/reverse-engineering-insect-brains-to-make-robots</t>
  </si>
  <si>
    <t>https://www.eetimes.com/telluride-neuromorphic-engineering-workshop-goes-large</t>
  </si>
  <si>
    <t>https://www.eetimes.com/what-does-neuromorphic-mean-today</t>
  </si>
  <si>
    <t>https://www.eetimes.eu/embedded-ai-processors-the-cambrian-explosion</t>
  </si>
  <si>
    <t>https://www.eetimes.eu/eu-funded-nimbleai-to-deliver-3d-neuromorphic-chip</t>
  </si>
  <si>
    <t>https://www.eetimes.eu/europe-still-the-focal-point-for-neuromorphic-vision</t>
  </si>
  <si>
    <t>https://www.eetimes.eu/neuromorphic-revolution-to-start-in-2024</t>
  </si>
  <si>
    <t>https://www.eetimes.eu/neuromorphic-vision-in-space</t>
  </si>
  <si>
    <t>https://www.eetimes.eu/prophesee-showcases-neuromorphic-vision-systems-from-biotech-to-space-debris</t>
  </si>
  <si>
    <t>https://www.eetimes.eu/prophesee-touts-toolkit-for-event-based-vision</t>
  </si>
  <si>
    <t>https://www.eetimes.eu/the-slow-but-steady-rise-of-the-event-camera</t>
  </si>
  <si>
    <t>https://www.emerald.com/insight/content/doi/10.1108/SR-03-2021-0095/full/html</t>
  </si>
  <si>
    <t>SensorRev 2024</t>
  </si>
  <si>
    <t>https://www.eventlive.pro/blog/best-cameras-for-live-streaming-events</t>
  </si>
  <si>
    <t>https://www.forbes.com/sites/sabbirrangwala/2025/03/17/event-sensing-for-industrial-arvr--autonomy-applications</t>
  </si>
  <si>
    <t>https://www.fortunebusinessinsights.com/event-camera-market-110552</t>
  </si>
  <si>
    <t>https://www.framos.com/en/products-solutions/image-sensors/technologies/event-based-sensors</t>
  </si>
  <si>
    <t>https://www.frontiersin.org/articles/10.3389/fmats.2023.1269992</t>
  </si>
  <si>
    <t>FMATS 2023</t>
  </si>
  <si>
    <t>https://www.frontiersin.org/articles/10.3389/fnbot.2022.1075647/full</t>
  </si>
  <si>
    <t>Toward robust and scalable deep spiking reinforcement learning</t>
  </si>
  <si>
    <t>https://www.frontiersin.org/articles/10.3389/fnbot.2022.934260/full</t>
  </si>
  <si>
    <t>NeuroVI-based new datasets and space attention network for the recognition and falling detection of delivery packages</t>
  </si>
  <si>
    <t>FNBOT 2022</t>
  </si>
  <si>
    <t>https://www.frontiersin.org/articles/10.3389/fnins.2013.00223/full</t>
  </si>
  <si>
    <t>Robotic goalie with 3 ms reaction time at 4% CPU load using event-based dynamic vision sensor</t>
  </si>
  <si>
    <t>FNINS 2014</t>
  </si>
  <si>
    <t>https://www.frontiersin.org/articles/10.3389/fnins.2013.00275/full</t>
  </si>
  <si>
    <t>Adaptive pulsed laser line extraction for terrain reconstruction using a dynamic vision sensor</t>
  </si>
  <si>
    <t>https://www.frontiersin.org/articles/10.3389/fnins.2014.00009/full</t>
  </si>
  <si>
    <t>Asynchronous visual event-based time-to-contact</t>
  </si>
  <si>
    <t>https://www.frontiersin.org/articles/10.3389/fnins.2015.00206/full</t>
  </si>
  <si>
    <t>Breaking the millisecond barrier on SpiNNaker: implementing asynchronous event-based plastic models with microsecond resolution</t>
  </si>
  <si>
    <t>FNINS 2015</t>
  </si>
  <si>
    <t>https://www.frontiersin.org/articles/10.3389/fnins.2015.00481/full</t>
  </si>
  <si>
    <t>Poker-DVS and MNIST-DVS. Their History, How They Were Made, and Other Details</t>
  </si>
  <si>
    <t>https://www.frontiersin.org/articles/10.3389/fnins.2016.00049/full</t>
  </si>
  <si>
    <t>A Dataset for Visual Navigation with Neuromorphic Methods</t>
  </si>
  <si>
    <t>https://www.frontiersin.org/articles/10.3389/fnins.2016.00115/full</t>
  </si>
  <si>
    <t>A Review of Current Neuromorphic Approaches for Vision, Auditory, and Olfactory Sensors</t>
  </si>
  <si>
    <t>https://www.frontiersin.org/articles/10.3389/fnins.2016.00176/full</t>
  </si>
  <si>
    <t>Evaluation of Event-Based Algorithms for Optical Flow with Ground-Truth from Inertial Measurement Sensor</t>
  </si>
  <si>
    <t>https://www.frontiersin.org/articles/10.3389/fnins.2016.00405/full</t>
  </si>
  <si>
    <t>DVS Benchmark Datasets for Object Tracking, Action Recognition, and Object Recognition</t>
  </si>
  <si>
    <t>https://www.frontiersin.org/articles/10.3389/fnins.2016.00594/full</t>
  </si>
  <si>
    <t>A Motion-Based Feature for Event-Based Pattern Recognition</t>
  </si>
  <si>
    <t>https://www.frontiersin.org/articles/10.3389/fnins.2016.00596/full</t>
  </si>
  <si>
    <t>Event-Based 3D Motion Flow Estimation Using 4D Spatio Temporal Subspaces Properties</t>
  </si>
  <si>
    <t>https://www.frontiersin.org/articles/10.3389/fnins.2017.00309</t>
  </si>
  <si>
    <t>CIFAR10-DVS: An Event-Stream Dataset for Object Classification</t>
  </si>
  <si>
    <t>https://www.frontiersin.org/articles/10.3389/fnins.2018.00118/full</t>
  </si>
  <si>
    <t>A Noise Filtering Algorithm for Event-Based Asynchronous Change Detection Image Sensors on TrueNorth and Its Implementation on TrueNorth</t>
  </si>
  <si>
    <t>FNINS 2018</t>
  </si>
  <si>
    <t>https://www.frontiersin.org/articles/10.3389/fnins.2018.00373/full</t>
  </si>
  <si>
    <t>Complexity Analysis of Iterative Basis Transformations Applied to Event-Based Signals</t>
  </si>
  <si>
    <t>https://www.frontiersin.org/articles/10.3389/fnins.2018.00442/full</t>
  </si>
  <si>
    <t>Neuromorphic Event-Based Generalized Time-Based Stereovision</t>
  </si>
  <si>
    <t>https://www.frontiersin.org/articles/10.3389/fnins.2018.00774/full</t>
  </si>
  <si>
    <t>Deep Learning With Spiking Neurons: Opportunities and Challenges</t>
  </si>
  <si>
    <t>https://www.frontiersin.org/articles/10.3389/fnins.2018.01047/full</t>
  </si>
  <si>
    <t>Investigation of Event-Based Surfaces for High-Speed Detection, Unsupervised Feature Extraction, and Object Recognition</t>
  </si>
  <si>
    <t>FNINS 2019</t>
  </si>
  <si>
    <t>https://www.frontiersin.org/articles/10.3389/fnins.2020.00451/full</t>
  </si>
  <si>
    <t>Event-Based Eccentric Motion Detection Exploiting Time Difference Encoding</t>
  </si>
  <si>
    <t>https://www.frontiersin.org/articles/10.3389/fnins.2020.00637/full</t>
  </si>
  <si>
    <t>Hand-Gesture Recognition Based on EMG and Event-Based Camera Sensor Fusion: A Benchmark in Neuromorphic Computing</t>
  </si>
  <si>
    <t>https://www.frontiersin.org/articles/10.3389/fnins.2021.699003/full</t>
  </si>
  <si>
    <t>EvAn: Neuromorphic Event-Based Sparse Anomaly Detection</t>
  </si>
  <si>
    <t>FNINS 2021</t>
  </si>
  <si>
    <t>https://www.frontiersin.org/articles/10.3389/fnins.2021.702765/full</t>
  </si>
  <si>
    <t>Event Camera Simulator Improvements via Characterized Parameters</t>
  </si>
  <si>
    <t>https://www.frontiersin.org/articles/10.3389/fnins.2022.1010302/full</t>
  </si>
  <si>
    <t>Bio-mimetic high-speed target localization with fused frame and event vision for edge application</t>
  </si>
  <si>
    <t>https://www.frontiersin.org/articles/10.3389/fnins.2022.819063/full</t>
  </si>
  <si>
    <t>Liquid State Machine on SpiNNaker for Spatio-Temporal Classification Tasks</t>
  </si>
  <si>
    <t>https://www.frontiersin.org/articles/10.3389/fnins.2022.821157/full</t>
  </si>
  <si>
    <t>Real-Time Event-Based Unsupervised Feature Consolidation and Tracking for Space Situational Awareness</t>
  </si>
  <si>
    <t>https://www.frontiersin.org/articles/10.3389/fnins.2022.959626/full</t>
  </si>
  <si>
    <t>Neuromorphic artificial intelligence systems</t>
  </si>
  <si>
    <t>https://www.frontiersin.org/articles/10.3389/fnins.2023.1261543</t>
  </si>
  <si>
    <t>STCA-SNN: self-attention-based temporal-channel joint attention for spiking neural networks</t>
  </si>
  <si>
    <t>https://www.frontiersin.org/journals/computational-neuroscience/articles/10.3389/fncom.2024.1508297/full</t>
  </si>
  <si>
    <t>Spike-HAR++: An Energy-efficient and Lightweight Parallel Spiking Transformer for Event-based Human Action Recognition</t>
  </si>
  <si>
    <t>https://www.frontiersin.org/journals/neuroscience/articles?query=%22event-based%22</t>
  </si>
  <si>
    <t>FNINS check</t>
  </si>
  <si>
    <t>https://www.frontiersin.org/journals/neuroscience/articles/10.3389/fnins.2021.702765/full</t>
  </si>
  <si>
    <t>https://www.frontiersin.org/journals/neuroscience/articles/10.3389/fnins.2024.1335422/full</t>
  </si>
  <si>
    <t>Optimizing event-based neural networks on digital neuromorphic architecture: a comprehensive design space exploration</t>
  </si>
  <si>
    <t>https://www.frontiersin.org/journals/neuroscience/articles/10.3389/fnins.2024.1453419/full</t>
  </si>
  <si>
    <t>SiamEFT: adaptive-time feature extraction hybrid network for RGBE multi-domain object tracking</t>
  </si>
  <si>
    <t>https://www.frontiersin.org/journals/neuroscience/articles/10.3389/fnins.2025.1735068/full</t>
  </si>
  <si>
    <t>An Event-Based Opto-Tactile Skin</t>
  </si>
  <si>
    <t>FNINS 2025</t>
  </si>
  <si>
    <t>https://www.frontiersin.org/journals/remote-sensing/articles/10.3389/frsen.2024.1436898/abstract</t>
  </si>
  <si>
    <t>Falcon Neuro space-based observations of lightning using event-based sensors</t>
  </si>
  <si>
    <t>https://www.frontiersin.org/journals/robotics-and-ai/articles/10.3389/frobt.2025.1541017/abstract</t>
  </si>
  <si>
    <t>VIO-GO: Optimizing Event-Based SLAM Parameters for Robust Performance in High Dynamic Range Scenarios</t>
  </si>
  <si>
    <t>https://www.fujii.nuee.nagoya-u.ac.jp/Research/EventLF/</t>
  </si>
  <si>
    <t>Event-based Light Field Project</t>
  </si>
  <si>
    <t>https://www.github.com/uzh-rpg/rpg_event_lifetime</t>
  </si>
  <si>
    <t>https://www.google.com/url?sa=t&amp;rct=j&amp;q=&amp;esrc=s&amp;source=web&amp;cd=&amp;cad=rja&amp;uact=8&amp;ved=2ahUKEwjU-oPEn7P_AhUVBt4KHW68DiQQFnoECA8QAQ&amp;url=https%3A%2F%2Fopenaccess.thecvf.com%2Fcontent%2FCVPR2023%2Fpapers%2FLou_All-in-Focus_Imaging_From_Event_Focal_Stack_CVPR_2023_paper.pdf&amp;usg=AOvVaw2SxXp7z29FqyHFlGpNosXx</t>
  </si>
  <si>
    <t>https://www.grasp.upenn.edu</t>
  </si>
  <si>
    <t>https://www.hackster.io/dirksavage88</t>
  </si>
  <si>
    <t>https://www.hackster.io/news/edge-impulse-openmv-seeed-and-the-tinyml-foundation-launch-new-computer-vision-coursera-course-5d451fd1f33f</t>
  </si>
  <si>
    <t>https://www.hackster.io/news/frank-zhao-s-astrophotography-project-turns-an-openmv-into-a-wireless-digital-polar-scope-072b7936b788</t>
  </si>
  <si>
    <t>https://www.hs-niederrhein.de/fileadmin/dateien/Institute_und_Kompetenzzentren/iPattern/selfarchived/bolten_visapp2024.pdf</t>
  </si>
  <si>
    <t>Instance Segmentation of Event Camera Streams in Outdoor Monitoring Scenarios</t>
  </si>
  <si>
    <t>https://www.hs-niederrhein.de/fileadmin/dateien/Institute_und_Kompetenzzentren/iPattern/selfarchived/bolten-iccs-2019.pdf</t>
  </si>
  <si>
    <t>https://www.hs-niederrhein.de/fileadmin/dateien/Institute_und_Kompetenzzentren/iPattern/selfarchived/bolten-ivapp-2022.pdf</t>
  </si>
  <si>
    <t>Visualization of Activity Data from a Sensor-based Long-term Monitoring Study at a Playground</t>
  </si>
  <si>
    <t>https://www.hs-niederrhein.de/fileadmin/dateien/Institute_und_Kompetenzzentren/iPattern/selfarchived/bolten-visapp-2022.pdf</t>
  </si>
  <si>
    <t>Evaluation of Deep Learning based 3D-Point-Cloud Processing Techniques for Semantic Segmentation of Neuromorphic Vision Sensor Event-streams</t>
  </si>
  <si>
    <t>https://www.hs-niederrhein.de/fileadmin/dateien/Institute_und_Kompetenzzentren/iPattern/selfarchived/visapp23_dvs_insect_monitoring.pdf</t>
  </si>
  <si>
    <t>Towards a Dynamic Vision Sensor-Based Insect Camera Trap</t>
  </si>
  <si>
    <t>https://www.hs-niederrhein.de/fileadmin/dateien/Institute_und_Kompetenzzentren/iPattern/selfarchived/visapp25_tSNE.pdf</t>
  </si>
  <si>
    <t>Features for Classifying Insect Trajectories in Event Camera Recordings</t>
  </si>
  <si>
    <t>https://www.i3s.unice.fr/jmartinet</t>
  </si>
  <si>
    <t>https://www.icara.us</t>
  </si>
  <si>
    <t>https://www.idiap.ch/~fleuret/papers/tulyakov-et-al-iccv2019.pdf</t>
  </si>
  <si>
    <t>Learning an event sequence embedding for dense event-based deep stereo,</t>
  </si>
  <si>
    <t>https://www.ieee-ras.org/publications/t-ro/special-issues/event-based-vision-for-robotics</t>
  </si>
  <si>
    <t>https://www.ijcai.org/proceedings/2021/0240.pdf</t>
  </si>
  <si>
    <t>Event-based action recognition using motion information and spiking neural networks</t>
  </si>
  <si>
    <t>IJCAI 2021</t>
  </si>
  <si>
    <t>https://www.ijcai.org/proceedings/2024/108</t>
  </si>
  <si>
    <t>A Coarse-To-Fine Fusion Network for Event-Based Image Deblurring</t>
  </si>
  <si>
    <t>https://www.ijfmr.com/papers/2024/6/40671.pdf</t>
  </si>
  <si>
    <t>Neuromorphic Computing for IoT: Ultra-Low Power AI for Real-Time Intelligence</t>
  </si>
  <si>
    <t>IJFMR 2025</t>
  </si>
  <si>
    <t>https://www.imagesensors.org/Past%20Workshops/2015%20Workshop/2015%20Papers/Sessions/Session_13/13-05_Li_Delbruck.pdf</t>
  </si>
  <si>
    <t>https://www.imveurope.com/feature/why-you-will-be-seeing-much-more-event-cameras</t>
  </si>
  <si>
    <t>https://www.ingentaconnect.com/contentone/ist/ei/2019/00002019/00000013/art00002?crawler=true&amp;mimetype=application/pdf</t>
  </si>
  <si>
    <t>https://www.ini.uzh.ch</t>
  </si>
  <si>
    <t>https://www.ini.uzh.ch/~conradt/publications/ISCAS2009-JConradt.pdf</t>
  </si>
  <si>
    <t>https://www.ini.uzh.ch/~tobi/anaprose/thesis/tobithesis.pdf</t>
  </si>
  <si>
    <t>https://www.ini.uzh.ch/~tobi/wiki/doku.php?id=publications#phd_thesis</t>
  </si>
  <si>
    <t>https://www.ini.uzh.ch/~tobi/wiki/lib/exe/fetch.php?media=delbruck_funwithasynsensors_2012.pdf</t>
  </si>
  <si>
    <t>https://www.inivation.com</t>
  </si>
  <si>
    <t>https://www.intel.com/content/www/us/en/research/overview.html</t>
  </si>
  <si>
    <t>https://www.iri.upc.edu/download/scidoc/2608</t>
  </si>
  <si>
    <t>https://www.iri.upc.edu/thesis/show/136</t>
  </si>
  <si>
    <t>https://www.jetson-ai-lab.com/initial_setup_jon.html#2-boot-with-jetpack-513-sd-card-to-schedule-firmware-update</t>
  </si>
  <si>
    <t>https://www.jmartel.net/irosws-home</t>
  </si>
  <si>
    <t>https://www.kci.go.kr/kciportal/ci/sereArticleSearch/ciSereArtiView.kci?sereArticleSearchBean.artiId=ART002868622</t>
  </si>
  <si>
    <t>Event-based White Blood Cell Classification from Nailfold Capillaries</t>
  </si>
  <si>
    <t>IEIE Transactions on Smart Processing &amp; Computing</t>
  </si>
  <si>
    <t>https://www.libroworld.com/9781108826204</t>
  </si>
  <si>
    <t>https://www.linkedin.com/posts/davidescaramuzza_event-cameras-a-new-way-of-sensing-davide-activity-7310024260574416896-aTjh</t>
  </si>
  <si>
    <t>https://www.linkedin.com/pulse/from-drones-data-lakes-how-we-built-scalable-mlops-edge-goldberg-s9see</t>
  </si>
  <si>
    <t>https://www.lisbonsymposia.org/21stlxsymp2024/event-based-imaging/208</t>
  </si>
  <si>
    <t>Event Based Cameras: A Comparative Study For Fluid Event Detection</t>
  </si>
  <si>
    <t>LXLASER 2024</t>
  </si>
  <si>
    <t>https://www.lisbonsymposia.org/21stlxsymp2024/event-based-imaging/222</t>
  </si>
  <si>
    <t>An Assessment Of Event-Based Imaging Velocimetry For Dimensionality Reduction In Turbulent Flows</t>
  </si>
  <si>
    <t>https://www.lisbonsymposia.org/21stlxsymp2024/event-based-imaging/35</t>
  </si>
  <si>
    <t>Non-Intrusive Frequency Measurements With Laser Shadowgraphy And Event-Based Schlieren Imaging Of Bluff Body Wakes In Compressible Flow</t>
  </si>
  <si>
    <t>https://www.lisbonsymposia.org/21stlxsymp2024/event-based-imaging/44</t>
  </si>
  <si>
    <t>Dynamic Wall Shear Stress Measurement Using Event-Based 3D Particle Tracking</t>
  </si>
  <si>
    <t>https://www.lisbonsymposia.org/21stlxsymp2024/event-based-imaging/76</t>
  </si>
  <si>
    <t>Time-Resolved Imaging Of Wavy Interface In The Primary Atomisation Region Of An Air Assist Atomiser Using An Event-Based Camera</t>
  </si>
  <si>
    <t>https://www.mdpi.com/1424-8220/20/24/7079</t>
  </si>
  <si>
    <t>Face Pose Alignment with Event Cameras</t>
  </si>
  <si>
    <t>Sensors 2020</t>
  </si>
  <si>
    <t>https://www.mdpi.com/1424-8220/21/10/3558</t>
  </si>
  <si>
    <t>Seeing through Events: Real-Time Moving Object Sonification for Visually Impaired People Using Event-Based Camera</t>
  </si>
  <si>
    <t>Sensors 2021</t>
  </si>
  <si>
    <t>https://www.mdpi.com/1424-8220/21/4/1150/pdf</t>
  </si>
  <si>
    <t>https://www.mdpi.com/1424-8220/22/14/5190/htm</t>
  </si>
  <si>
    <t>https://www.mdpi.com/1424-8220/22/15/5687</t>
  </si>
  <si>
    <t>https://www.mdpi.com/1424-8220/22/15/5687/pdf</t>
  </si>
  <si>
    <t>Visual Odometry with an Event Camera Using Continuous Ray Warping and Volumetric Contrast Maximization</t>
  </si>
  <si>
    <t>https://www.mdpi.com/1424-8220/22/18/6732/pdf?version=1662474113</t>
  </si>
  <si>
    <t>A Spatial-Motion-Segmentation Algorithm by Fusing EDPA and Motion Compensation</t>
  </si>
  <si>
    <t>https://www.mdpi.com/1424-8220/22/20/7963/pdf</t>
  </si>
  <si>
    <t>Event-Based Angular Speed Measurement and Movement Monitoring</t>
  </si>
  <si>
    <t>https://www.mdpi.com/1424-8220/22/3/1201</t>
  </si>
  <si>
    <t>Analytical Review of Event-Based Camera Depth Estimation Methods and Systems</t>
  </si>
  <si>
    <t>https://www.mdpi.com/1424-8220/22/7/2614</t>
  </si>
  <si>
    <t>Adaptive Slicing Method of the Spatiotemporal Event Stream Obtained from a Dynamic Vision Sensor</t>
  </si>
  <si>
    <t>https://www.mdpi.com/1424-8220/23/13/6195</t>
  </si>
  <si>
    <t>Extreme Early Image Recognition Using Event-Based Vision</t>
  </si>
  <si>
    <t>sensors 2023</t>
  </si>
  <si>
    <t>https://www.mdpi.com/1424-8220/23/4/1998</t>
  </si>
  <si>
    <t>ESVIO: Event-Based Stereo Visual-Inertial Odometry</t>
  </si>
  <si>
    <t>https://www.mdpi.com/1424-8220/23/4/2155</t>
  </si>
  <si>
    <t>Event-Guided Image Super-Resolution Reconstruction</t>
  </si>
  <si>
    <t>https://www.mdpi.com/1424-8220/23/7/3699</t>
  </si>
  <si>
    <t xml:space="preserve">Insights into Batch Selection for Event-Camera Motion Estimation </t>
  </si>
  <si>
    <t>https://www.mdpi.com/1424-8220/24/23/7493</t>
  </si>
  <si>
    <t>https://www.mdpi.com/1424-8220/24/5/1382</t>
  </si>
  <si>
    <t>Lossless Encoding of Time-Aggregated Neuromorphic Vision Sensor Data Based on Point-Cloud Compression</t>
  </si>
  <si>
    <t>https://www.mdpi.com/1424-8220/25/18/5898</t>
  </si>
  <si>
    <t>Multimodal Large Language Model-Enabled Machine Intelligent Fault Diagnosis Method with Non-Contact Dynamic Vision Data</t>
  </si>
  <si>
    <t>https://www.mdpi.com/1424-8220/25/23/7381</t>
  </si>
  <si>
    <t>MA-EVIO: A Motion-Aware Approach to Event-Based Visual-Inertial Odometry</t>
  </si>
  <si>
    <t>https://www.mdpi.com/1892122</t>
  </si>
  <si>
    <t>REVIO: Range-and Event-Based Visual-Inertial Odometry for Bio-Inspired Sensors</t>
  </si>
  <si>
    <t>Biomimetics 2022</t>
  </si>
  <si>
    <t>https://www.mdpi.com/2072-4292/14/8/1773/pdf</t>
  </si>
  <si>
    <t>Intensity/Inertial Integration-Aided Feature Tracking on Event Cameras</t>
  </si>
  <si>
    <t>RemoteSensing 2022</t>
  </si>
  <si>
    <t>https://www.mdpi.com/2072-666X/14/1/203</t>
  </si>
  <si>
    <t>Event-Based Optical Flow Estimation with Spatio-Temporal Backpropagation Trained Spiking Neural Network</t>
  </si>
  <si>
    <t>Micromachines 2023</t>
  </si>
  <si>
    <t>https://www.mdpi.com/2073-8994/18/1/175</t>
  </si>
  <si>
    <t>Edge AI in Nature: Insect-Inspired Neuromorphic Reflex Islands for Safety-Critical Edge Systems</t>
  </si>
  <si>
    <t>Symmetry 2026</t>
  </si>
  <si>
    <t>https://www.mdpi.com/2076-3417/13/18/10357</t>
  </si>
  <si>
    <t>Exploring the Potential of Event Camera Imaging for Advancing Remote Pupil-Tracking Techniques</t>
  </si>
  <si>
    <t>Applied Science 2023</t>
  </si>
  <si>
    <t>https://www.mdpi.com/2076-3417/13/9/5761</t>
  </si>
  <si>
    <t>DTFS-eHarris: A High Accuracy Asynchronous Corner Detector for Event Cameras in Complex Scenes</t>
  </si>
  <si>
    <t>Applied sciences 2023</t>
  </si>
  <si>
    <t>https://www.mdpi.com/2078-2489/15/8/472</t>
  </si>
  <si>
    <t>https://www.mdpi.com/2079-9292/12/10/2302</t>
  </si>
  <si>
    <t>Memory-Efficient Fixed-Length Representation of Synchronous Event Frames for Very-Low-Power Chip Integration</t>
  </si>
  <si>
    <t>Electronics 2023</t>
  </si>
  <si>
    <t>https://www.mdpi.com/2079-9292/13/6/1047</t>
  </si>
  <si>
    <t>Enhancing Computational Efficiency in Event-Based Optical Camera Communication Using N-Pulse Modulation</t>
  </si>
  <si>
    <t>Electronics 2024</t>
  </si>
  <si>
    <t>https://www.mdpi.com/2079-9292/14/15/3094</t>
  </si>
  <si>
    <t>Data Sampling System for Processing Event Camera Data Using a Stochastic Neural Network on an FPGA</t>
  </si>
  <si>
    <t>https://www.mdpi.com/2079-9292/14/9/1817</t>
  </si>
  <si>
    <t>LiS-Net: A Brain-Inspired Framework for Event-Based End-to-End Steering Prediction</t>
  </si>
  <si>
    <t>https://www.mdpi.com/2079-9292/8/11/1298</t>
  </si>
  <si>
    <t>https://www.mdpi.com/2115662</t>
  </si>
  <si>
    <t>Sign Language Gesture Recognition and Classification Based on Event Camera with Spiking Neural Networks</t>
  </si>
  <si>
    <t>https://www.mdpi.com/2180112</t>
  </si>
  <si>
    <t>Multi-Stage Network for Event-Based Video Deblurring with Residual Hint Attention</t>
  </si>
  <si>
    <t>https://www.mdpi.com/2227-7390/13/7/1198</t>
  </si>
  <si>
    <t>Joint Event Density and Curvature Within Spatio-Temporal Neighborhoods-Based Event Camera Noise Reduction and Pose Estimation Method for Underground Coal Mine</t>
  </si>
  <si>
    <t>Mathematics 2025</t>
  </si>
  <si>
    <t>https://www.mdpi.com/2227-9717/10/10/2081/pdf?version=1665746423</t>
  </si>
  <si>
    <t>Contrast Maximization-Based Feature Tracking for Visual Odometry with an Event Camera</t>
  </si>
  <si>
    <t>Processes 2022</t>
  </si>
  <si>
    <t>https://www.mdpi.com/2304-6732/11/5/481</t>
  </si>
  <si>
    <t>Training a Dataset Simulated Using RGB Images for an End-to-End Event-Based DoLP Recovery Network</t>
  </si>
  <si>
    <t>Photonics 2024</t>
  </si>
  <si>
    <t>https://www.mdpi.com/2313-433X/8/8/210/pdf</t>
  </si>
  <si>
    <t>https://www.mdpi.com/2403732</t>
  </si>
  <si>
    <t>Denoising Method Based on Salient Region Recognition for the Spatiotemporal Event Stream</t>
  </si>
  <si>
    <t>https://www.mdpi.com/2590532</t>
  </si>
  <si>
    <t>Signal Filtering Using Neuromorphic Measurements</t>
  </si>
  <si>
    <t>JLPEA 2023</t>
  </si>
  <si>
    <t>https://www.mdpi.com/2640682</t>
  </si>
  <si>
    <t>Event-Assisted Object Tracking on High-Speed Drones in Harsh Illumination Environment</t>
  </si>
  <si>
    <t>Drones 2024</t>
  </si>
  <si>
    <t>https://www.mdpi.com/2777204</t>
  </si>
  <si>
    <t>MVT: Multi-Vision Transformer for Event-Based Small Target Detection</t>
  </si>
  <si>
    <t>Remote sensing 2024</t>
  </si>
  <si>
    <t>https://www.mdpi.com/books/reprint/3836</t>
  </si>
  <si>
    <t>https://www.mdpi.com/books/reprint/3836-visual-servoing-in-robotics</t>
  </si>
  <si>
    <t>https://www.mdpi.com/journal/electronics/special_issues/Visual_Servoing</t>
  </si>
  <si>
    <t>https://www.meegle.com/en_us/topics/neuromorphic-engineering/neuromorphic-robotics</t>
  </si>
  <si>
    <t>https://www.motius.com/post/why-event-cameras-are-the-next-step-in-computer-vision</t>
  </si>
  <si>
    <t>https://www.nature.com/articles/s41467-022-28487-2</t>
  </si>
  <si>
    <t>Embodied neuromorphic intelligence | Nature Communications</t>
  </si>
  <si>
    <t>Nature 2022</t>
  </si>
  <si>
    <t>https://www.nature.com/articles/s41467-024-45063-y</t>
  </si>
  <si>
    <t>Finding the gap: neuromorphic motion-vision in dense environments</t>
  </si>
  <si>
    <t>Nature Comms 2024</t>
  </si>
  <si>
    <t>https://www.nature.com/articles/s41467-025-68013-8</t>
  </si>
  <si>
    <t>In-sensor analog optoelectronic processing of concurrent event and memory signals for dynamic vision sensing</t>
  </si>
  <si>
    <t>https://www.nature.com/articles/s41528-025-00512-6</t>
  </si>
  <si>
    <t>An organic spiking artificial neuron with excitatory and inhibitory synapses: towards soft and flexible organic neuromorphic processing</t>
  </si>
  <si>
    <t>npj Flexible Electronics 2026</t>
  </si>
  <si>
    <t>https://www.nature.com/articles/s41565-022-01291-1</t>
  </si>
  <si>
    <t>Achieving nanoscale precision using neuromorphic localization microscopy</t>
  </si>
  <si>
    <t>Nature Nanotechnology 2023</t>
  </si>
  <si>
    <t>https://www.nature.com/articles/s41565-025-01973-6</t>
  </si>
  <si>
    <t>Event-driven retinomorphic photodiode with bio-plausible temporal dynamics</t>
  </si>
  <si>
    <t>Nature Nanotechnology</t>
  </si>
  <si>
    <t>https://www.nature.com/articles/s41586-024-07409-w</t>
  </si>
  <si>
    <t>Low-latency automotive vision with event cameras</t>
  </si>
  <si>
    <t>Nature 2024</t>
  </si>
  <si>
    <t>https://www.nature.com/articles/s41586-024-08253-8</t>
  </si>
  <si>
    <t>Neuromorphic computing at scale</t>
  </si>
  <si>
    <t>https://www.nature.com/articles/s41598-023-34508-x</t>
  </si>
  <si>
    <t>Active Fixation as an Efficient Coding Strategy for Neuromorphic Vision</t>
  </si>
  <si>
    <t>https://www.nature.com/research-intelligence/nri-topic-summaries/visual-servoing-in-robotics-micro-96703</t>
  </si>
  <si>
    <t>https://www.neuropac.info</t>
  </si>
  <si>
    <t>https://www.neuropac.info/"&gt;NeuroPAC&lt;/a</t>
  </si>
  <si>
    <t>https://www.neuropac.info/resources-and-tools</t>
  </si>
  <si>
    <t>https://www.northropgrumman.com/who-we-are/the-facts/digital-transformation/neuromorphic-cameras-provide-a-vision-of-the-future</t>
  </si>
  <si>
    <t>https://www.openreview.net/pdf?id=HkehpKVG-</t>
  </si>
  <si>
    <t>https://www.osapublishing.org/ao/upcoming_pdf.cfm?id=425623</t>
  </si>
  <si>
    <t>https://www.prophesee.ai/?s=simulator</t>
  </si>
  <si>
    <t>https://www.prophesee.ai/2019/07/28/event-based-vision-2</t>
  </si>
  <si>
    <t>https://www.prophesee.ai/2020/11/24/automotive-megapixel-event-based-dataset/):</t>
  </si>
  <si>
    <t>https://www.prophesee.ai/2022/03/17/what-is-an-event-camera</t>
  </si>
  <si>
    <t>https://www.prophesee.ai/2025/04/14/real-time-event-simulation-with-frame-based-cameras</t>
  </si>
  <si>
    <t>https://www.prophesee.ai/development-center</t>
  </si>
  <si>
    <t>https://www.prophesee.ai/event-based-evaluation-kits</t>
  </si>
  <si>
    <t>https://www.prophesee.ai/event-based-metavision-amd-kria-starter-kit</t>
  </si>
  <si>
    <t>https://www.prophesee.ai/event-based-sensor-genx320</t>
  </si>
  <si>
    <t>https://www.prophesee.ai/event-based-sensor-packaged</t>
  </si>
  <si>
    <t>https://www.prophesee.ai/event-based-vision-open-source</t>
  </si>
  <si>
    <t>https://www.prophesee.ai/event-camera-evk4</t>
  </si>
  <si>
    <t>https://www.prophesee.ai/metavision-intelligence</t>
  </si>
  <si>
    <t>https://www.prophesee.ai/prophesee-academic-research</t>
  </si>
  <si>
    <t>https://www.prophesee.ai/research</t>
  </si>
  <si>
    <t>https://www.proquest.com/openview/026973d3b32d8a4ff5409708b32905f9/1?pq-origsite=gscholar&amp;cbl=18750&amp;diss=y</t>
  </si>
  <si>
    <t>Monocular Event Camera Odometry Using Deep Learning</t>
  </si>
  <si>
    <t>https://www.proquest.com/openview/2e75065f15bd1a14a03f953a6ce0f556/1?pq-origsite=gscholar&amp;cbl=18750&amp;diss=y</t>
  </si>
  <si>
    <t>Optimizing Training Methodologies for Low-Latency and Energy-Efficient Neuromorphic Computing Systems</t>
  </si>
  <si>
    <t>https://www.proquest.com/openview/9d3e71ceed7d93906fd2fecb5017c12a/1?pq-origsite=gscholar&amp;cbl=18750&amp;diss=y</t>
  </si>
  <si>
    <t>Event-driven Processing and Learning with Spiking Neural Networks</t>
  </si>
  <si>
    <t>https://www.proquest.com/openview/cf0d5685191aa576247f39259585f8d9/1?pq-origsite=gscholar&amp;cbl=18750&amp;diss=y</t>
  </si>
  <si>
    <t>Low Precision and Sparse AI Algorithms for Edge Computing</t>
  </si>
  <si>
    <t>https://www.proquest.com/openview/f0048a4aeea021211421dee3e57018c1/1?pq-origsite=gscholar&amp;cbl=18750&amp;diss=y</t>
  </si>
  <si>
    <t>Integration of Event-Based Sensing with Traditional Imaging Approaches</t>
  </si>
  <si>
    <t>https://www.qualitymag.com/articles/96413-event-based-vision-taking-a-cue-from-biology</t>
  </si>
  <si>
    <t>https://www.reddit.com/r/computervision/comments/1dnz6eo/event_based_camera</t>
  </si>
  <si>
    <t>https://www.reddit.com/r/robotics/comments/t9x2lr/a_month_ago_i_went_down_the_rabbit_hole_of_event</t>
  </si>
  <si>
    <t>https://www.reddit.com/r/robotics/comments/zfe2ev/event_cameras_aka_neuromorphic_cameras_dynamic</t>
  </si>
  <si>
    <t>https://www.research-collection.ethz.ch/bitstream/handle/20.500.11850/153098/eth-5044-02.pdf?sequence=2&amp;isAllowed=y</t>
  </si>
  <si>
    <t>https://www.research-collection.ethz.ch/bitstream/handle/20.500.11850/156363/eth-50898-02.pdf?sequence=2&amp;isAllowed=y</t>
  </si>
  <si>
    <t>https://www.research-collection.ethz.ch/bitstream/handle/20.500.11850/168865/phd_thesis.pdf?sequence=3&amp;isAllowed=y</t>
  </si>
  <si>
    <t>https://www.research-collection.ethz.ch/bitstream/handle/20.500.11850/349414/1/rsswebsite.pdf</t>
  </si>
  <si>
    <t>https://www.research-collection.ethz.ch/bitstream/handle/20.500.11850/425534/HD_DVS_camera_ready.pdf?sequence=1&amp;isAllowed=y</t>
  </si>
  <si>
    <t>https://www.research-collection.ethz.ch/bitstream/handle/20.500.11850/95489/eth-47156-02.pdf?sequence=2&amp;isAllowed=y</t>
  </si>
  <si>
    <t>https://www.research-collection.ethz.ch/bitstream/handle/20.500.11850/99543/eth-47528-02.pdf?sequence=2&amp;isAllowed=y</t>
  </si>
  <si>
    <t>https://www.research-collection.ethz.ch/handle/20.500.11850/425534</t>
  </si>
  <si>
    <t>https://www.research-collection.ethz.ch/handle/20.500.11850/595034</t>
  </si>
  <si>
    <t>Neuromorphic Visual Scene Understanding with Resonator Networks</t>
  </si>
  <si>
    <t>NeurIPS Workshop 2022</t>
  </si>
  <si>
    <t>https://www.research-collection.ethz.ch/handle/20.500.11850/81769</t>
  </si>
  <si>
    <t>https://www.research-collection.ethz.ch/handle/20.500.11850/86729</t>
  </si>
  <si>
    <t>https://www.researchgate.net/figure/Advantages-and-limits-of-event-camera-images-compared-to-normal-images-a-Night-scene_fig3_360724075</t>
  </si>
  <si>
    <t>https://www.researchgate.net/profile/Jacques_Kaiser/publication/309558315_Towards_a_framework_for_end-to-end_control_of_a_simulated_vehicle_with_spiking_neural_networks/links/5bb568b192851ca9ed379dc3/Towards-a-framework-for-end-to-end-control-of-a-simulated-vehicle-with-spiking-neural-networks.pdf</t>
  </si>
  <si>
    <t>https://www.researchgate.net/publication/261075772_A_spiking_neural_network_architecture_for_visual_motion_estimation</t>
  </si>
  <si>
    <t>https://www.researchgate.net/publication/264937595_A_1000_fps_Vision_Chip_Based_on_a_Dynamically_Reconfigurable_Hybrid_Architecture_Comprising_a_PE_Array_Processor_and_Self-Organizing_Map_Neural_Network</t>
  </si>
  <si>
    <t>A 1000 fps Spiking Neural Network Tracking Algorithm for On-Chip Processing of Dynamic Vision Sensor Data</t>
  </si>
  <si>
    <t>ICTA 2022</t>
  </si>
  <si>
    <t>https://www.researchgate.net/publication/318449954_Spiking_Cooperative_Stereo-Matching_at_2_ms_Latency_with_Neuromorphic_Hardware</t>
  </si>
  <si>
    <t>https://www.researchgate.net/publication/325939343</t>
  </si>
  <si>
    <t>https://www.researchgate.net/publication/336318915_An_Event-based_Hierarchy_Model_for_Object_Recognition</t>
  </si>
  <si>
    <t>https://www.researchgate.net/publication/341622518_ASAP_Adaptive_Scheme_for_Asynchronous_Processing_of_event-based_vision_algorithms</t>
  </si>
  <si>
    <t>ASAP Adaptive Scheme for Asynchronous Processing of event-based vision algorithms</t>
  </si>
  <si>
    <t>https://www.researchgate.net/publication/344734520_Real-Time_Face_Eye_Tracking_and_Blink_Detection_using_Event_Cameras</t>
  </si>
  <si>
    <t>Real-Time Face &amp; Eye Tracking and Blink Detection using Event Cameras</t>
  </si>
  <si>
    <t>https://www.researchgate.net/publication/393937333_Penetrating_Spatiotemporal_Correlations_in_Event-stream_Data_via_Tensor_Factorization</t>
  </si>
  <si>
    <t>Penetrating Spatiotemporal Correlations in Event-stream Data via Tensor Factorization</t>
  </si>
  <si>
    <t>WOCC 2025</t>
  </si>
  <si>
    <t>https://www.researchgate.net/publication/396577213_Learning_Progressive_Spatial_Enhancement_and_Scene_Adaptive_Alignment_for_Robust_RGBE_Tracking</t>
  </si>
  <si>
    <t>Learning Progressive Spatial Enhancement and Scene Adaptive Alignment for Robust RGBE Tracking</t>
  </si>
  <si>
    <t>https://www.researchsquare.com/article/rs-1770323/latest.pdf</t>
  </si>
  <si>
    <t>Fusing Asynchronous Event and Synchronization Frame Data with Multi-layer Feature Attention Guided Filtering</t>
  </si>
  <si>
    <t>https://www.robot.t.u-tokyo.ac.jp/~yamashita/paper/B/B320Final.pdf</t>
  </si>
  <si>
    <t>https://www.samsung.com/se/smartthings/smartthings-vision-u999</t>
  </si>
  <si>
    <t>https://www.scholar-inbox.com/login?sha_key=bcfdc8edc36b82ab867f4a41efd785f8dcb01eb0&amp;date=01-24-2025&amp;paper_id=4021779</t>
  </si>
  <si>
    <t>EventVL: Understand Event Streams via Multimodal Large Language Model</t>
  </si>
  <si>
    <t>https://www.scholar-inbox.com/login?sha_key=bcfdc8edc36b82ab867f4a41efd785f8dcb01eb0&amp;date=03-12-2025&amp;paper_id=4098874</t>
  </si>
  <si>
    <t>Ev-Layout: A Large-scale Event-based Multi-modal Dataset for Indoor Layout Estimation and Tracking</t>
  </si>
  <si>
    <t>https://www.scholar-inbox.com/login?sha_key=bcfdc8edc36b82ab867f4a41efd785f8dcb01eb0&amp;date=04-21-2025&amp;paper_id=4161994</t>
  </si>
  <si>
    <t>Neural Ganglion Sensors: Learning Task-specific Event Cameras Inspired by the Neural Circuit of the Human Retina</t>
  </si>
  <si>
    <t>https://www.scholar-inbox.com/login?sha_key=bcfdc8edc36b82ab867f4a41efd785f8dcb01eb0&amp;date=04-22-2025&amp;paper_id=4163811</t>
  </si>
  <si>
    <t>Adversarial Attack for RGB-Event based Visual Object Tracking</t>
  </si>
  <si>
    <t>https://www.scholar-inbox.com/login?sha_key=bcfdc8edc36b82ab867f4a41efd785f8dcb01eb0&amp;date=04-24-2025&amp;paper_id=4167752</t>
  </si>
  <si>
    <t>SaENeRF: Suppressing Artifacts in Event-based Neural Radiance Fields</t>
  </si>
  <si>
    <t>https://www.scholar-inbox.com/login?sha_key=bcfdc8edc36b82ab867f4a41efd785f8dcb01eb0&amp;date=05-08-2025&amp;paper_id=4184977</t>
  </si>
  <si>
    <t>RGB-Event Fusion with Self-Attention for Collision Prediction</t>
  </si>
  <si>
    <t>https://www.scholar-inbox.com/login?sha_key=bcfdc8edc36b82ab867f4a41efd785f8dcb01eb0&amp;date=08-13-2024&amp;paper_id=3384317</t>
  </si>
  <si>
    <t>A Recurrent YOLOv8-based framework for Event-Based Object Detection</t>
  </si>
  <si>
    <t>https://www.scholar-inbox.com/login?sha_key=bcfdc8edc36b82ab867f4a41efd785f8dcb01eb0&amp;date=08-13-2024&amp;paper_id=3385237</t>
  </si>
  <si>
    <t>Rethinking Video with a Universal Event-Based Representation</t>
  </si>
  <si>
    <t>https://www.scholar-inbox.com/login?sha_key=bcfdc8edc36b82ab867f4a41efd785f8dcb01eb0&amp;date=09-17-2024&amp;paper_id=3434278</t>
  </si>
  <si>
    <t>SciDVS: A Scientific Event Camera with 1.7% Temporal Contrast Sensitivity at 0.7 lux</t>
  </si>
  <si>
    <t>ESSERC 2024</t>
  </si>
  <si>
    <t>https://www.scholar-inbox.com/login?sha_key=bcfdc8edc36b82ab867f4a41efd785f8dcb01eb0&amp;date=09-27-2024&amp;paper_id=3777425</t>
  </si>
  <si>
    <t>Dynamic Subframe Splitting and Spatio-Temporal Motion Entangled Sparse Attention for RGB-E Tracking</t>
  </si>
  <si>
    <t>https://www.scholar-inbox.com/login?sha_key=bcfdc8edc36b82ab867f4a41efd785f8dcb01eb0&amp;date=09-30-2024&amp;paper_id=3784405</t>
  </si>
  <si>
    <t>EyeTrAES: Fine-grained, Low-Latency Eye Tracking via Adaptive Event Slicing</t>
  </si>
  <si>
    <t>https://www.scholar-inbox.com/login?sha_key=bcfdc8edc36b82ab867f4a41efd785f8dcb01eb0&amp;date=10-01-2024&amp;paper_id=3787266</t>
  </si>
  <si>
    <t>PPLNs: Parametric Piecewise Linear Networks for Event-Based Temporal Modeling and Beyond</t>
  </si>
  <si>
    <t>https://www.scholar-inbox.com/login?sha_key=bcfdc8edc36b82ab867f4a41efd785f8dcb01eb0&amp;date=10-04-2024&amp;paper_id=3797826</t>
  </si>
  <si>
    <t>Spiking Neural Network as Adaptive Event Stream Slicer</t>
  </si>
  <si>
    <t>https://www.scholar-inbox.com/login?sha_key=bcfdc8edc36b82ab867f4a41efd785f8dcb01eb0&amp;date=10-11-2024&amp;paper_id=3815986</t>
  </si>
  <si>
    <t>IncEventGS: Pose-Free Gaussian Splatting from a Single Event Camera</t>
  </si>
  <si>
    <t>https://www.scholar-inbox.com/login?sha_key=bcfdc8edc36b82ab867f4a41efd785f8dcb01eb0&amp;date=11-08-2024&amp;paper_id=3869063</t>
  </si>
  <si>
    <t>Increasing the scalability of graph convolution for FPGA-implemented event-based vision</t>
  </si>
  <si>
    <t>FPT 2024</t>
  </si>
  <si>
    <t>https://www.scholar-inbox.com/login?sha_key=bcfdc8edc36b82ab867f4a41efd785f8dcb01eb0&amp;date=11-12-2024&amp;paper_id=3876154</t>
  </si>
  <si>
    <t>Learning Collective Dynamics of Multi-Agent Systems using Event-based Vision</t>
  </si>
  <si>
    <t>https://www.scholar-inbox.com/login?sha_key=bcfdc8edc36b82ab867f4a41efd785f8dcb01eb0&amp;date=12-20-2024&amp;paper_id=3970204</t>
  </si>
  <si>
    <t>Event-based backpropagation on the neuromorphic platform SpiNNaker2</t>
  </si>
  <si>
    <t>MLNCP 2024</t>
  </si>
  <si>
    <t>https://www.science.org/doi/10.1126/scirobotics.abl8419</t>
  </si>
  <si>
    <t>Neuromorphic computing hardware and neural architectures for robotics</t>
  </si>
  <si>
    <t>Science Robotics 2022</t>
  </si>
  <si>
    <t>https://www.science.org/doi/10.1126/scirobotics.adi0591</t>
  </si>
  <si>
    <t>Fully neuromorphic vision and control for autonomous drone flight</t>
  </si>
  <si>
    <t>https://www.science.org/doi/10.1126/scirobotics.ads3968</t>
  </si>
  <si>
    <t>A compact neuromorphic system for ultra-energy-efficient, on-device robot localization</t>
  </si>
  <si>
    <t>Science Robotics 2025</t>
  </si>
  <si>
    <t>https://www.sciencedirect.com/science/article/abs/pii/S0893608023003660</t>
  </si>
  <si>
    <t>Sparser spiking activity can be better: Feature Refine-and-Mask spiking neural network for event-based visual recognition</t>
  </si>
  <si>
    <t>NeuralNetworks 2023</t>
  </si>
  <si>
    <t>https://www.sciencedirect.com/science/article/abs/pii/S0952197623010229</t>
  </si>
  <si>
    <t>Neuromorphic electronics for robotic perception, navigation and control: A survey</t>
  </si>
  <si>
    <t>ENGAPPAI 2023</t>
  </si>
  <si>
    <t>https://www.sciencedirect.com/science/article/abs/pii/S1077314223001972</t>
  </si>
  <si>
    <t>Multi-timescale boosting for efficient and improved event camera face pose alignment</t>
  </si>
  <si>
    <t>CVIU 2023</t>
  </si>
  <si>
    <t>https://www.sciencedirect.com/science/article/abs/pii/S1077314224002704</t>
  </si>
  <si>
    <t>Exploring event-based human pose estimation with 3D event representations</t>
  </si>
  <si>
    <t>CVIU 2024</t>
  </si>
  <si>
    <t>https://www.sciencedirect.com/science/article/pii/S0020025523007557</t>
  </si>
  <si>
    <t>EventMix: An Efficient Augmentation Strategy for Event-Based Data</t>
  </si>
  <si>
    <t>Information Sciences 2023</t>
  </si>
  <si>
    <t>https://www.sciencedirect.com/science/article/pii/S0026269221002949</t>
  </si>
  <si>
    <t>An ultra-high-speed hardware accelerator for image reconstruction and stereo rectification on event-based camera</t>
  </si>
  <si>
    <t>MEJO 2022</t>
  </si>
  <si>
    <t>https://www.sciencedirect.com/science/article/pii/S0026269224000958</t>
  </si>
  <si>
    <t>A leakage-suppressed capacitive-feedback amplifier scheme for event-based vision sensors in scaled-down technology</t>
  </si>
  <si>
    <t>Microelectronics J. 2024</t>
  </si>
  <si>
    <t>https://www.sciencedirect.com/science/article/pii/S0143816624000058</t>
  </si>
  <si>
    <t>A robust autofocusing method for microscopic imaging based on an event camera</t>
  </si>
  <si>
    <t>OptLasEng 2024</t>
  </si>
  <si>
    <t>https://www.sciencedirect.com/science/article/pii/S0263224123004311</t>
  </si>
  <si>
    <t>Event-based micro vibration measurement using phase correlation template matching with event filter optimization</t>
  </si>
  <si>
    <t>Measurement 2023</t>
  </si>
  <si>
    <t>https://www.sciencedirect.com/science/article/pii/S0278612523000456</t>
  </si>
  <si>
    <t>Jmansys 2024</t>
  </si>
  <si>
    <t>https://www.sciencedirect.com/science/article/pii/S0893608022002659</t>
  </si>
  <si>
    <t>Event stream learning using spatio-temporal event surface</t>
  </si>
  <si>
    <t>Neunet 2022</t>
  </si>
  <si>
    <t>https://www.sciencedirect.com/science/article/pii/S0925231223005118</t>
  </si>
  <si>
    <t>https://www.sciencedirect.com/science/article/pii/S0967066123000990</t>
  </si>
  <si>
    <t>Modality Translation and Fusion for event-based semantic segmentation</t>
  </si>
  <si>
    <t>Control Engineering Practice 2023</t>
  </si>
  <si>
    <t>https://www.scienceofintelligence.de/news-tu-press-release-puts-sciois-event-cameras-in-the-spotlight/?utm_source=CleverReach&amp;utm_medium=email&amp;utm_campaign=04-04-22+Name+of+Campaign&amp;utm_content=Mailing_14489706</t>
  </si>
  <si>
    <t>https://www.sciengine.com/doi/10.3788/IRLA20220824</t>
  </si>
  <si>
    <t>Denoising algorithm for space target event streams based on event camera</t>
  </si>
  <si>
    <t>IRLA 2023</t>
  </si>
  <si>
    <t>https://www.scitepress.org/Papers/2023/116604/116604.pdf</t>
  </si>
  <si>
    <t>https://www.scitepress.org/PublicationsDetail.aspx?ID=gn69gKYUbaM%3d&amp;t=1</t>
  </si>
  <si>
    <t>https://www.scitepress.org/PublicationsDetail.aspx?ID=Jv1Szbx9zGs=&amp;t=1</t>
  </si>
  <si>
    <t>Fully Convolutional Neural Network for Event Camera Pose Estimation</t>
  </si>
  <si>
    <t>https://www.scitepress.org/PublishedPapers/2023/116159/</t>
  </si>
  <si>
    <t>EvLiDAR-Flow: Attention-Guided Fusion Between Point Clouds and Events for Scene Flow Estimation</t>
  </si>
  <si>
    <t>ICPRAM 2023</t>
  </si>
  <si>
    <t>https://www.scitepress.org/PublishedPapers/2024/123265/</t>
  </si>
  <si>
    <t>Stereo-Event-Camera-Technique for Insect Monitoring</t>
  </si>
  <si>
    <t>https://www.semanticscholar.org/paper/A-23.5-TOPS-W-Depthwise-Separable-Convolution-for-Brito-Yamasaki/c399474862882c7115421f608621ae1db32ea60e?utm_source=alert_email&amp;utm_content=AuthorCitation&amp;utm_campaign=AlertEmails_DAILY&amp;utm_term=AuthorCitation&amp;email_index=7-3-15&amp;utm_medium=56810157</t>
  </si>
  <si>
    <r>
      <rPr>
        <rFont val="Arial"/>
        <color theme="1"/>
        <sz val="10.0"/>
      </rPr>
      <t>A 23.5 TOPS/W Depthwise Separable Convolution Accelerator for Event-based Depth Estimation</t>
    </r>
  </si>
  <si>
    <t>https://www.semanticscholar.org/paper/A-Heterogeneous-RRAM-In-Memory-and-SRAM-Near-Memory-Lele-Chang/3f2fd657007d70d7650b08974788447f4d66816e?utm_source=alert_email&amp;utm_content=AuthorCitation&amp;utm_campaign=AlertEmails_DAILY&amp;utm_term=AuthorCitation&amp;email_index=8-0-8&amp;utm_medium=26858283</t>
  </si>
  <si>
    <r>
      <rPr>
        <rFont val="Arial"/>
        <color theme="1"/>
        <sz val="10.0"/>
      </rPr>
      <t>A Heterogeneous RRAM In-Memory and SRAM Near-Memory SoC for Fused Frame and Event-Based Target Identification</t>
    </r>
    <r>
      <rPr>
        <rFont val="Arial"/>
        <color theme="1"/>
        <sz val="10.0"/>
      </rPr>
      <t xml:space="preserve"> and Tracking</t>
    </r>
  </si>
  <si>
    <t>https://www.semanticscholar.org/paper/A-Lightweight-Real-time-Multi-sensor-Fusion-State-Lan-Zhu/7b31545e47f4731d0c753adc80903453dc6c2047?utm_source=alert_email&amp;utm_content=AuthorCitation&amp;utm_campaign=AlertEmails_DAILY&amp;utm_term=AuthorCitation&amp;email_index=13-0-25&amp;utm_medium=50833944</t>
  </si>
  <si>
    <t>A Lightweight Real-time Multi-sensor Fusion State Estimation Method Based on Event Camera in Challenging Scenarios</t>
  </si>
  <si>
    <t>ICAIRC 2024</t>
  </si>
  <si>
    <t>https://www.semanticscholar.org/paper/A-Memory-Efficient-High-Speed-Event-based-Object-Lu-Cui/b9283c10562be0d4320dea0d04f2f3dadace13a0?utm_source=alert_email&amp;utm_content=AuthorCitation&amp;utm_campaign=AlertEmails_DAILY&amp;utm_term=AuthorCitation&amp;email_index=13-2-22&amp;utm_medium=36894909</t>
  </si>
  <si>
    <t>A Memory-Efficient High-Speed Event-based Object Tracking System</t>
  </si>
  <si>
    <t>https://www.semanticscholar.org/paper/A-Review-of-Event-Based-Indoor-Positioning-and-Shi-Song/0d08fd4cdb189643cb03a5e958e735f72dacd676?email_index=0-0-0</t>
  </si>
  <si>
    <t>A Review of Event-Based Indoor Positioning and Navigation</t>
  </si>
  <si>
    <t>IPIN 2022</t>
  </si>
  <si>
    <t>https://www.semanticscholar.org/paper/A-Simple-Low-Cost-Approach-to-Detect-Hand-Gesture-Akbarzadeh-Vahedian/5c466112d5e5d3295d818d4b6b60c27cd02965de?email_index=3-0-4</t>
  </si>
  <si>
    <t>A Simple Low Cost Approach to Detect Hand Gesture Based on Software Event Camera Emulation</t>
  </si>
  <si>
    <t>ICCKE 2022</t>
  </si>
  <si>
    <t>https://www.semanticscholar.org/paper/Aerial-Transportation-of-Cable-Suspended-Loads-With-Panetsos-Karras/be2248fd57e681203d6fcc726fb5503a2f4c1260?utm_source=alert_email&amp;utm_content=AuthorCitation&amp;utm_campaign=AlertEmails_DAILY&amp;utm_term=AuthorCitation&amp;email_index=6-0-9&amp;utm_medium=25146821</t>
  </si>
  <si>
    <t>Aerial Transportation of Cable-Suspended Loads With an Event Camera</t>
  </si>
  <si>
    <t>https://www.semanticscholar.org/paper/An-Asynchronous-Intensity-Representation-for-Framed-Freeman-Singh/1ea762ab5dc36f809891ce1d59f58e6a4e899775?utm_source=alert_email&amp;utm_content=LibraryFolder&amp;utm_campaign=AlertEmails_DAILY&amp;utm_term=LibraryFolder&amp;email_index=0-0-0&amp;utm_medium=11175079</t>
  </si>
  <si>
    <t>An Asynchronous Intensity Representation for Framed and Event Video Sources</t>
  </si>
  <si>
    <t>https://www.semanticscholar.org/paper/An-Energy-Efficient-Object-Detection-System-in-IoT-Li-Lu/86101806ac54cf5af0394eb3f63f4b2bcaf9f124?utm_source=alert_email&amp;utm_content=AuthorCitation&amp;utm_campaign=AlertEmails_DAILY&amp;utm_term=AuthorCitation&amp;email_index=13-3-23&amp;utm_medium=36894909</t>
  </si>
  <si>
    <t>An Energy-Efficient Object Detection System in IoT with Dynamic Neuromorphic Vision Sensors</t>
  </si>
  <si>
    <t>https://www.semanticscholar.org/paper/An-event-driven-asynchronous-feature-tracking-Xu-Jin/1c0c8e5c345f047a9f9b334101a7a9be24460f7c?utm_source=alert_email&amp;utm_content=LibraryFolder&amp;utm_campaign=AlertEmails_DAILY&amp;utm_term=LibraryFolder&amp;email_index=0-1-1&amp;utm_medium=22254761</t>
  </si>
  <si>
    <t>An event-driven asynchronous feature tracking method</t>
  </si>
  <si>
    <t>WRC SARA 2023</t>
  </si>
  <si>
    <t>https://www.semanticscholar.org/paper/An-FPGA-Implementation-of-An-Event-Driven-Feature-Jose-Xu/5055aaf39ff72157cb65ee14aed67292d585fc02?utm_source=alert_email&amp;utm_content=AuthorCitation&amp;utm_campaign=AlertEmails_DAILY&amp;utm_term=AuthorCitation&amp;email_index=17-0-31&amp;utm_medium=36894909</t>
  </si>
  <si>
    <t>An FPGA Implementation of An Event-Driven Unsupervised Feature Extraction Algorithm for Pattern Recognition</t>
  </si>
  <si>
    <t>https://www.semanticscholar.org/paper/be040b51c55fe0ad5c311db116863a62e3cdcb76</t>
  </si>
  <si>
    <t>Data Augmentation in Temporal and Polar Domains for Event-Based Learning</t>
  </si>
  <si>
    <t>https://www.semanticscholar.org/paper/CSTR%3A-A-Compact-Spatio-Temporal-Representation-for-Shair-Hassani/285030cd03267cf220ea5ce1739879ff68eaee53?utm_source=alert_email&amp;utm_content=AuthorCitation&amp;utm_campaign=AlertEmails_DAILY&amp;utm_term=LibraryFolder+AuthorCitation&amp;email_index=13-0-25&amp;utm_medium=22423367</t>
  </si>
  <si>
    <t>CSTR: A Compact Spatio-Temporal Representation for Event-Based Vision</t>
  </si>
  <si>
    <t>https://www.semanticscholar.org/paper/Deformable-Convolutions-and-LSTM-based-Flexible-for-Yang-Yamac/c886f61271a5bc4ea13aad247d59c73d4cbf15e9?utm_source=alert_email&amp;utm_content=LibraryFolder&amp;utm_campaign=AlertEmails_DAILY&amp;utm_term=LibraryFolder&amp;email_index=0-0-0&amp;utm_medium=16766972</t>
  </si>
  <si>
    <t>Deformable Convolutions and LSTM-based Flexible Event Frame Fusion Network for Motion Deblurring</t>
  </si>
  <si>
    <t>https://www.semanticscholar.org/paper/Direct-3D-model-based-object-tracking-with-event-by-Kang-Caron/00b7295e901a0c27de2255620bab6e7285f28424?utm_source=alert_email&amp;utm_content=LibraryFolder&amp;utm_campaign=AlertEmails_DAILY&amp;utm_term=LibraryFolder&amp;email_index=0-0-0&amp;utm_medium=30043482</t>
  </si>
  <si>
    <t>Direct 3D model-based object tracking with event camera by motion interpolation</t>
  </si>
  <si>
    <t>https://www.semanticscholar.org/paper/Edge-Device-CNN-Classification-Using-Eventized-RF-Smith-Temple/6bd3100baa308bf03bef452fae5c64d805433944?utm_source=alert_email&amp;utm_content=AuthorCitation&amp;utm_campaign=AlertEmails_DAILY&amp;utm_term=AuthorCitation&amp;email_index=8-5-18&amp;utm_medium=45627571</t>
  </si>
  <si>
    <t>Edge Device CNN Classification Using Eventized RF Fingerprints</t>
  </si>
  <si>
    <t>https://www.semanticscholar.org/paper/EV-Tach%3A-A-Handheld-Rotational-Speed-Estimation-Zhao-Shen/e6f8af5c47a66feaefab511e4cc3b054f074d3c0?utm_source=alert_email&amp;utm_content=AuthorCitation&amp;utm_campaign=AlertEmails_DAILY&amp;utm_term=AuthorCitation&amp;email_index=9-0-9&amp;utm_medium=26858283</t>
  </si>
  <si>
    <t>EV-Tach: A Handheld Rotational Speed Estimation System With Event Camera</t>
  </si>
  <si>
    <t>TMC 2023</t>
  </si>
  <si>
    <t>https://www.semanticscholar.org/paper/Event-based-Classification-with-Recurrent-Spiking-Boretti-Prono/a4f5adc6e82e0ab1b5233d81304b41a409c3b765?utm_source=alert_email&amp;utm_content=AuthorCitation&amp;utm_campaign=AlertEmails_DAILY&amp;utm_term=AuthorCitation&amp;email_index=10-5-22&amp;utm_medium=18895153</t>
  </si>
  <si>
    <t>Event-based Classification with Recurrent Spiking Neural Networks on Low-end Micro-Controller Units</t>
  </si>
  <si>
    <t>ISCS 2023</t>
  </si>
  <si>
    <t>https://www.semanticscholar.org/paper/Event-Based-Control-in-Industry-Practice%3A-Paving-of-Aranda%E2%80%90Escol%C3%A1stico-Guinaldo/c7426686732c11183eeada567586d15885638909?utm_source=alert_email&amp;utm_content=AuthorCitation&amp;utm_campaign=AlertEmails_DAILY&amp;utm_term=AuthorCitation&amp;email_index=13-1-21&amp;utm_medium=36894909</t>
  </si>
  <si>
    <t>Event-Based Control in Industry Practice: Paving the Way Toward Resource-Efficient Industrial Internet of Things</t>
  </si>
  <si>
    <t>IEM 2024</t>
  </si>
  <si>
    <t>https://www.semanticscholar.org/paper/Event-based-dataset-for-the-detection-and-of-tasks-Duarte-Neto/8c43ad6985c50931f5e5edef9f3a5cbf26dd412c?utm_source=alert_email&amp;utm_content=AuthorCitation&amp;utm_campaign=AlertEmails_DAILY&amp;utm_term=AuthorCitation&amp;email_index=2-5-7&amp;utm_medium=31184081</t>
  </si>
  <si>
    <t>Event-based dataset for the detection and classification of manufacturing assembly tasks</t>
  </si>
  <si>
    <t>JDIB 2024</t>
  </si>
  <si>
    <t>https://www.semanticscholar.org/paper/Event-based-Shape-from-Polarization-with-Spiking-Kang-Banerjee/eb3226a3d9c97c5c48d3dcff24577613c38d0c6f?utm_source=alert_email&amp;utm_content=AuthorCitation&amp;utm_campaign=AlertEmails_DAILY&amp;utm_term=AuthorCitation&amp;email_index=7-0-7&amp;utm_medium=26858283</t>
  </si>
  <si>
    <t>Event-based Shape from Polarization with Spiking Neural Networks</t>
  </si>
  <si>
    <t>https://www.semanticscholar.org/paper/Event-based-Simultaneous-Localization-and-Mapping%3A-Huang-Zhang/a6e06a3f2685beb36a587cf88503f337662f0b1f?utm_source=alert_email&amp;utm_content=LibraryFolder&amp;utm_campaign=AlertEmails_DAILY&amp;utm_term=LibraryFolder&amp;email_index=0-0-0&amp;utm_medium=14768009</t>
  </si>
  <si>
    <t>Event-based Simultaneous Localization and Mapping: A Comprehensive Survey</t>
  </si>
  <si>
    <t>https://www.semanticscholar.org/paper/Event-based-Single-Molecule-Localization-Microscopy-Basumatary-Aravinth/914e2f69575ab1e70be7ccd75946e79dd1a30900?utm_source=alert_email&amp;utm_content=AuthorCitation&amp;utm_campaign=AlertEmails_DAILY&amp;utm_term=AuthorCitation&amp;email_index=9-1-12&amp;utm_medium=27226613</t>
  </si>
  <si>
    <t>Event-based Single Molecule Localization Microscopy (eventSMLM) for High Spatio-Temporal Super-resolution Imaging</t>
  </si>
  <si>
    <t>https://www.semanticscholar.org/paper/EventDrop%3A-data-augmentation-for-event-based-Gu-Sng/a6375b317001d4da028bfb19ddaea152548e18f1?utm_source=alert_email&amp;utm_content=AuthorCitation&amp;utm_campaign=AlertEmails_DAILY&amp;utm_term=AuthorCitation&amp;email_index=0-0-0&amp;utm_medium=2233295</t>
  </si>
  <si>
    <t>EventDrop: data augmentation for event-based learning</t>
  </si>
  <si>
    <t>https://www.semanticscholar.org/paper/Flow-Based-Line-Detection-and-Segmentation-for-Khairallah-Bonardi/a4de846410c3ae667c0cf1076ef91f223d0315de?email_index=5-0-7</t>
  </si>
  <si>
    <t>Flow-Based Line Detection and Segmentation for Neuromorphic Vision Sensors</t>
  </si>
  <si>
    <t>ICPR 2022</t>
  </si>
  <si>
    <t>https://www.semanticscholar.org/paper/Frame-based-Feature-Tracking-and-EKF-Framework-for-Liu-Xue/a97da282324bc0962655ba87cb95380f3cdd9fb7?utm_source=alert_email&amp;utm_content=AuthorCitation&amp;utm_campaign=AlertEmails_DAILY&amp;utm_term=AuthorCitation&amp;email_index=5-0-5&amp;utm_medium=10169095</t>
  </si>
  <si>
    <t>Frame-based Feature Tracking and EKF Framework for Event Cameras</t>
  </si>
  <si>
    <t>IAI 2022</t>
  </si>
  <si>
    <t>https://www.semanticscholar.org/paper/Global-shutter-CMOS-vision-sensors-and-event-for-Jaklin-Garc%C3%ADa-Lesta/727267c2b91ea90aba269be2d931ae7b66897511?utm_source=alert_email&amp;utm_content=AuthorCitation&amp;utm_campaign=AlertEmails_DAILY&amp;utm_term=AuthorCitation&amp;email_index=22-10-43&amp;utm_medium=35598018</t>
  </si>
  <si>
    <t>Global shutter CMOS vision sensors and event cameras for on‐chip dynamic information</t>
  </si>
  <si>
    <t>CTA 2024</t>
  </si>
  <si>
    <t>https://www.semanticscholar.org/paper/Improving-Keypoints-Tracking-With-Machine-Learned-Chiodini-Trevisanuto/f8a9d5a61b04840fb41d5dcef22365a14024ee04?utm_source=alert_email&amp;utm_content=LibraryFolder&amp;utm_campaign=AlertEmails_DAILY&amp;utm_term=LibraryFolder&amp;email_index=0-0-0&amp;utm_medium=37781465</t>
  </si>
  <si>
    <t>Improving Keypoints Tracking With Machine-Learned Features in Event-Camera-Based Visual Odometry</t>
  </si>
  <si>
    <t>MetroAeroSpace 2024</t>
  </si>
  <si>
    <t>https://www.semanticscholar.org/paper/Incorporating-Event-Information-for-High-Quality-Yang-Jiang/71f007800f954d4a24d299fc2d0c5f8707efb63a?utm_source=alert_email&amp;utm_content=AuthorCitation&amp;utm_campaign=AlertEmails_DAILY&amp;utm_term=AuthorCitation&amp;email_index=6-3-12&amp;utm_medium=25146821</t>
  </si>
  <si>
    <t>Incorporating Event Information for High-Quality Video Interpolation</t>
  </si>
  <si>
    <t>ICNSC 2023</t>
  </si>
  <si>
    <t>https://www.semanticscholar.org/paper/Low-Complexity-Lossless-Coding-of-Asynchronous-for-Schiopu-Bilcu/74e2098af678b6b7b86e8e0b04fa5000315813ab?utm_source=alert_email&amp;utm_content=AuthorCitation&amp;utm_campaign=AlertEmails_DAILY&amp;utm_term=AuthorCitation&amp;email_index=7-0-7&amp;utm_medium=10169095</t>
  </si>
  <si>
    <t>Low-Complexity Lossless Coding of Asynchronous Event Sequences for Low-Power Chip Integration</t>
  </si>
  <si>
    <t>https://www.semanticscholar.org/paper/Motion-Segmentation-for-Neuromorphic-Aerial-Arja-Marcireau/c7bdff96091286b4f507b67c327859847ba795b5?utm_source=alert_email&amp;utm_content=LibraryFolder&amp;utm_campaign=AlertEmails_DAILY&amp;utm_term=LibraryFolder&amp;email_index=1-0-1&amp;utm_medium=42918184</t>
  </si>
  <si>
    <t>Motion Segmentation for Neuromorphic Aerial Surveillance</t>
  </si>
  <si>
    <t>https://www.semanticscholar.org/paper/Neuromorphic-Driver-Monitoring-Systems%3A-A-for-Yawn-Kielty-Dilmaghani/fa6344c0372db2c8645283ef73b3f08b3978b3b7?utm_source=alert_email&amp;utm_content=AuthorCitation&amp;utm_campaign=AlertEmails_DAILY&amp;utm_term=AuthorCitation&amp;email_index=1-0-1&amp;utm_medium=21676568</t>
  </si>
  <si>
    <t>Neuromorphic Driver Monitoring Systems: A Proof-of-Concept for Yawn Detection and Seatbelt State Detection Using an Event Camera</t>
  </si>
  <si>
    <t>https://www.semanticscholar.org/paper/Neuromorphic-Engineering%3A-In-Memory-of-Misha-Mead/5fe07bd212cb322bb551e4afa236853ddc54cf55?utm_source=alert_email&amp;utm_content=AuthorCitation&amp;utm_campaign=AlertEmails_DAILY&amp;utm_term=LibraryFolder+AuthorCitation&amp;email_index=13-1-16&amp;utm_medium=12267056</t>
  </si>
  <si>
    <t>Neuromorphic Engineering: In Memory of Misha Mahowald</t>
  </si>
  <si>
    <t>Neural Computation 2023</t>
  </si>
  <si>
    <t>https://www.semanticscholar.org/paper/Neuromorphic-Eye-Tracking-for-Low-Latency-Pupil-Hueber-Peres/5c407030b7bb917c0fe9043bcfd89c878d62d9bc?utm_source=alert_email&amp;utm_content=AuthorCitation&amp;utm_campaign=AlertEmails_DAILY&amp;utm_term=AuthorCitation&amp;email_index=11-2-21&amp;utm_medium=67390912</t>
  </si>
  <si>
    <r>
      <rPr>
        <rFont val="Arial"/>
        <color theme="1"/>
        <sz val="10.0"/>
      </rPr>
      <t>Neuromorphic Eye Tracking for Low-Latency Pupil Detection</t>
    </r>
  </si>
  <si>
    <t>https://www.semanticscholar.org/paper/Neuromorphic-Imaging-with-Joint-Image-Deblurring-Zhang-Liu/702f0082fffe0be43f629bb738857a52e0be3d09?utm_source=alert_email&amp;utm_content=AuthorCitation&amp;utm_campaign=AlertEmails_DAILY&amp;utm_term=LibraryFolder+AuthorCitation&amp;email_index=14-0-26&amp;utm_medium=22423367</t>
  </si>
  <si>
    <t>Neuromorphic Imaging with Joint Image Deblurring and Event Denoising</t>
  </si>
  <si>
    <t>https://www.semanticscholar.org/paper/Pose-Estimation-for-Event-Camera-Using-Charuco-on-Mai-Komatsu/4dd15d5715c810de2a6d915eddcb4416ac5e6fa4?utm_source=alert_email&amp;utm_content=LibraryFolder&amp;utm_campaign=AlertEmails_DAILY&amp;utm_term=LibraryFolder&amp;email_index=0-0-0&amp;utm_medium=12117371</t>
  </si>
  <si>
    <t>Pose Estimation for Event Camera Using Charuco Board Based on Image Reconstruction</t>
  </si>
  <si>
    <t>SII 2023</t>
  </si>
  <si>
    <t>https://www.semanticscholar.org/paper/SCTN%3A-Event-based-object-tracking-with-deep-spiking-Ji-Wang/0355f191403be883c4156656d180b602e8291346?utm_source=alert_email&amp;utm_content=AuthorCitation&amp;utm_campaign=AlertEmails_DAILY&amp;utm_term=LibraryFolder+AuthorCitation&amp;email_index=13-0-15&amp;utm_medium=12267056</t>
  </si>
  <si>
    <t>SCTN: Event-based object tracking with energy-efficient deep convolutional spiking neural networks</t>
  </si>
  <si>
    <t>https://www.semanticscholar.org/paper/SEEN%3A-A-Convolutional-Spiking-Neural-Network-for-Troconis-Vella/d845683ba475503d0edb9bcb955deac6fbd9aaf1?utm_source=alert_email&amp;utm_content=AuthorCitation&amp;utm_campaign=AlertEmails_DAILY&amp;utm_term=AuthorCitation&amp;email_index=4-2-9&amp;utm_medium=57768043</t>
  </si>
  <si>
    <r>
      <rPr>
        <rFont val="Arial"/>
        <color theme="1"/>
        <sz val="10.0"/>
      </rPr>
      <t>SEEN: A Convolutional Spiking Neural Network for Efficient Pupil Coordinate Prediction from Event Data</t>
    </r>
  </si>
  <si>
    <t>AICCONF 2025</t>
  </si>
  <si>
    <t>https://www.semanticscholar.org/paper/Semantic-E2VID%3A-a-Semantic-Enriched-Paradigm-for-Wu-Jia/2c7fbf54bc5eb4b278a86884363df04c816815f7?utm_source=alert_email&amp;utm_content=LibraryFolder&amp;utm_campaign=AlertEmails_DAILY&amp;utm_term=LibraryFolder&amp;email_index=0-0-0&amp;utm_medium=68872067</t>
  </si>
  <si>
    <r>
      <rPr>
        <rFont val="Arial"/>
        <color theme="1"/>
        <sz val="10.0"/>
      </rPr>
      <t>Semantic-E2VID: a Semantic-Enriched Paradigm for Event-to-Video Reconstruction</t>
    </r>
  </si>
  <si>
    <t>https://www.semanticscholar.org/paper/Semi-Dense-Scene-Reconstruction-Based-on-Stereo-Huang-Shi/167f7b88286084fb59b213f89509afa3bfacb997?utm_source=alert_email&amp;utm_content=AuthorCitation&amp;utm_campaign=AlertEmails_DAILY&amp;utm_term=AuthorCitation&amp;email_index=11-0-17&amp;utm_medium=55220278</t>
  </si>
  <si>
    <r>
      <rPr>
        <rFont val="Arial"/>
        <color theme="1"/>
        <sz val="10.0"/>
      </rPr>
      <t>Semi-Dense Scene Reconstruction Based on Stereo Event Cameras</t>
    </r>
  </si>
  <si>
    <t>CSECS 2025</t>
  </si>
  <si>
    <t>https://www.semanticscholar.org/paper/SpikingSIM%3A-A-Bio-Inspired-Spiking-Simulator-Zhao-Zhang/82c6222f57091f3ea2efa123e5635b503ceeb99a?utm_source=alert_email&amp;utm_content=AuthorCitation&amp;utm_campaign=AlertEmails_DAILY&amp;utm_term=AuthorCitation&amp;email_index=3-0-4&amp;utm_medium=9030533</t>
  </si>
  <si>
    <t>SpikingSIM: A Bio-Inspired Spiking Simulator</t>
  </si>
  <si>
    <t>https://www.semanticscholar.org/paper/Stereo-Visual-Localization-Dataset-Featuring-Event-Hadviger-%C5%A0tironja/27f0f94aba89a370f974a1dcd69a1a2d0e47dc2a?utm_source=alert_email&amp;utm_content=LibraryFolder&amp;utm_campaign=AlertEmails_DAILY&amp;utm_term=LibraryFolder&amp;email_index=0-0-0&amp;utm_medium=22254761</t>
  </si>
  <si>
    <t>Stereo Visual Localization Dataset Featuring Event Cameras</t>
  </si>
  <si>
    <t>ECMR 2023</t>
  </si>
  <si>
    <t>https://www.semanticscholar.org/paper/Strong-Robust-LIO-System-Based-on-Event-Camera-Guo-Zhang/a0371a3613e9a31991e0ee6ebad11ab3ea1b0e01?utm_source=alert_email&amp;utm_content=AuthorCitation&amp;utm_campaign=AlertEmails_DAILY&amp;utm_term=AuthorCitation&amp;email_index=20-0-28&amp;utm_medium=43089141</t>
  </si>
  <si>
    <t>Strong Robust LIO System Based on Event Camera Assistance</t>
  </si>
  <si>
    <t>https://www.semanticscholar.org/paper/TactiGraph%3A-An-Asynchronous-Graph-Neural-Network-Sajwani-Ayyad/04fff86fa8fd339ac757f0d97b48d5df32431cf2?utm_source=alert_email&amp;utm_content=AuthorCitation&amp;utm_campaign=AlertEmails_DAILY&amp;utm_term=AuthorCitation&amp;email_index=10-2-19&amp;utm_medium=18895153</t>
  </si>
  <si>
    <t>TactiGraph: An Asynchronous Graph Neural Network for Contact Angle Prediction Using Neuromorphic Vision-Based Tactile Sensing</t>
  </si>
  <si>
    <t>It Nat Conf Sensors 2023</t>
  </si>
  <si>
    <t>https://www.semanticscholar.org/paper/YYNet%3A-A-Deep-Learning-Based-Frame-to-Event-Method-Zhang/14bb344d802a98215e838d5af846525b8385acd1?utm_source=alert_email&amp;utm_content=AuthorCitation&amp;utm_campaign=AlertEmails_DAILY&amp;utm_term=AuthorCitation&amp;email_index=19-1-34&amp;utm_medium=41007725</t>
  </si>
  <si>
    <t>YYNet: A Deep Learning-Based Frame-to-Event Simulation Method</t>
  </si>
  <si>
    <t>MLISE 2024</t>
  </si>
  <si>
    <t>https://www.semanticscholar.org/reader/2985ce749291566aac634740b3fdd79bf69c9f59</t>
  </si>
  <si>
    <t>Learning to See Through with Events</t>
  </si>
  <si>
    <t>https://www.slamcore.com</t>
  </si>
  <si>
    <t>https://www.sony-semicon.com/en/products/is/industry/evs.html</t>
  </si>
  <si>
    <t>https://www.sony-semicon.com/en/technology/industry/evs.html</t>
  </si>
  <si>
    <t>https://www.spiedigitallibrary.org/conference-proceedings-of-spie/11970/0000/Rapid-phase-recovery-from-through-focus-intensity-measured-by-event/10.1117/12.2608099.full</t>
  </si>
  <si>
    <t>Rapid phase recovery from through-focus intensity measured by event cameras</t>
  </si>
  <si>
    <t>https://www.spiedigitallibrary.org/conference-proceedings-of-spie/12107/1210704/Event-based-SWIR-sensor/10.1117/12.2618290.full</t>
  </si>
  <si>
    <t>Event based SWIR sensor</t>
  </si>
  <si>
    <t>https://www.spiedigitallibrary.org/conference-proceedings-of-spie/12233/122330B/Automated-characterization-techniques-and-testbeds-for-event-based-cameras/10.1117/12.2634166.full</t>
  </si>
  <si>
    <t>Automated characterization techniques and testbeds for event-based cameras</t>
  </si>
  <si>
    <t>https://www.spiedigitallibrary.org/conference-proceedings-of-spie/12272/122720G/Application-of-an-event-sensor-to-situational-awareness/10.1117/12.2638545.full</t>
  </si>
  <si>
    <t>Application of an event-sensor to situational awareness</t>
  </si>
  <si>
    <t>https://www.spiedigitallibrary.org/conference-proceedings-of-spie/12514/1251409/Event-based-sensing-for-the-detection-of-modulated-signals-in/10.1117/12.2663385.short</t>
  </si>
  <si>
    <t>Event-based sensing for the detection of modulated signals in degraded visual environments</t>
  </si>
  <si>
    <t>https://www.spiedigitallibrary.org/conference-proceedings-of-spie/12534/1253405/SWIFT-EI-event-based-SWIR-sensor-for-tactical-applications/10.1117/12.2663026.full</t>
  </si>
  <si>
    <t>SWIFT EI: event-based SWIR sensor for tactical applications</t>
  </si>
  <si>
    <t>https://www.spiedigitallibrary.org/conference-proceedings-of-spie/12693/126930W/Analysis-of-event-based-sensor-system-performance-with-moving-object/10.1117/12.2675770.short</t>
  </si>
  <si>
    <t>Analysis of event-based sensor system performance with moving object detection tasks</t>
  </si>
  <si>
    <t>https://www.spiedigitallibrary.org/conference-proceedings-of-spie/12693/126930Y/Optical-contrast-amplification-for-enhancing-event-based-vision/10.1117/12.2678160.short?SSO=1</t>
  </si>
  <si>
    <t>Optical contrast amplification for enhancing event-based vision</t>
  </si>
  <si>
    <t>https://www.spiedigitallibrary.org/conference-proceedings-of-spie/12693/1269311/Off-axis-laser-scatter-detection-with-an-event-camera/10.1117/12.2677203.short</t>
  </si>
  <si>
    <t>Off-axis laser scatter detection with an event camera</t>
  </si>
  <si>
    <t>https://www.spiedigitallibrary.org/conference-proceedings-of-spie/12693/1269313/Modeling-and-decoding-event-based-sensor-lightning-response/10.1117/12.2674435.short</t>
  </si>
  <si>
    <t>Modeling and decoding event-based sensor lightning response</t>
  </si>
  <si>
    <t>https://www.spiedigitallibrary.org/conference-proceedings-of-spie/12718/127181R/Siamese-network-object-tracking-based-on-fusion-of-visible-and/10.1117/12.2681645.full</t>
  </si>
  <si>
    <t>CSAIDE 2023</t>
  </si>
  <si>
    <t>https://www.spiedigitallibrary.org/conference-proceedings-of-spie/13045/3016088/Demystifying-event-based-camera-latency--sensor-speed-dependence-on/10.1117/12.3016088.full</t>
  </si>
  <si>
    <t>Demystifying Event-Based Camera Latency</t>
  </si>
  <si>
    <t>https://www.spiedigitallibrary.org/conference-proceedings-of-spie/13718/137181B/HDR-video-reconstruction-from-events-and-LDR-frames-via-spatiotemporal/10.1117/12.3074839.full</t>
  </si>
  <si>
    <t>HDR video reconstruction from events and LDR frames via spatiotemporal attention and exposure compensation</t>
  </si>
  <si>
    <t>https://www.spiedigitallibrary.org/journalIssue/Download?downloadType=journal%20article&amp;urlId=10.1117%2F1.OE.61.8.085105&amp;isResultClick=True</t>
  </si>
  <si>
    <t>Falcon Neuro: an event-based sensor on the International Space Station</t>
  </si>
  <si>
    <t>https://www.spiedigitallibrary.org/journals/optical-engineering/volume-61/issue-05/053101/Event-based-imaging-polarimeter/10.1117/1.OE.61.5.053101.full</t>
  </si>
  <si>
    <t>Event-based imaging polarimeter</t>
  </si>
  <si>
    <t>https://www.spiedigitallibrary.org/journals/optical-engineering/volume-61/issue-7/074103/Experimental-methods-to-predict-dynamic-vision-sensor-event-camera-performance/10.1117/1.OE.61.7.074103.short</t>
  </si>
  <si>
    <t>Experimental methods to predict dynamic vision sensor event camera performance</t>
  </si>
  <si>
    <t>https://www.springerprofessional.de/asynchronous-corner-tracking-algorithm-based-on-lifetime-of-even/18677506</t>
  </si>
  <si>
    <t>Asynchronous Corner Tracking Algorithm based on Lifetime of Events for DAVIS Cameras</t>
  </si>
  <si>
    <t>ISCV 2020</t>
  </si>
  <si>
    <t>https://www.tangramvision.com/blog/sensoria-obscura-event-cameras-part-i</t>
  </si>
  <si>
    <t>https://www.tangramvision.com/blog/sensoria-obscura-event-cameras-part-ii</t>
  </si>
  <si>
    <t>https://www.techrxiv.org/articles/preprint/Brain_Inspired_Computing_A_Systematic_Survey_and_Future_Trends/21837027</t>
  </si>
  <si>
    <t>Brain Inspired Computing: A Systematic Survey and Future Trends</t>
  </si>
  <si>
    <t>https://www.techrxiv.org/articles/preprint/Traffic_sign_detection_and_recognition_using_event_camera_image_reconstruction/21739610</t>
  </si>
  <si>
    <t>Traffic sign detection and recognition using event camera image reconstruction</t>
  </si>
  <si>
    <t>https://www.techrxiv.org/articles/System_integration_of_neuromorphic_visual_DVS_processing_SpiNNaker_and_servomotor_modules_into_an_autonomous_robot_controlled_by_a_Spiking_Neural_Network/11854254</t>
  </si>
  <si>
    <t>https://www.therobotreport.com/acceleration-robotics-launches-robotcore-ros-2-hardware</t>
  </si>
  <si>
    <t>https://www.tindie.com/stores/dirksavage88</t>
  </si>
  <si>
    <t>https://www.tinyml.org/event/tinyml-neuromorphic-engineering-forum</t>
  </si>
  <si>
    <t>https://www.ugr.es/~cvrlab</t>
  </si>
  <si>
    <t>https://www.ugr.es/~fbarranco/docs/IWANN_Barranco_et_al_2015.pdf</t>
  </si>
  <si>
    <t>https://www.webofscience.com/wos/woscc/full-record/WOS:000848467200108</t>
  </si>
  <si>
    <t>A Preliminary Investigation For Event Camera-Based Visible Light Communication Using The Propeller-type Rotary LED Transmitter</t>
  </si>
  <si>
    <t>ICC Workshops 2022</t>
  </si>
  <si>
    <t>https://www.webofscience.com/wos/woscc/full-record/WOS:000853359700010</t>
  </si>
  <si>
    <t>Research on Event Accumulator Settings for Event-Based SLAM</t>
  </si>
  <si>
    <t>ICRCA 2022</t>
  </si>
  <si>
    <t>https://www.webofscience.com/wos/woscc/full-record/WOS:000853380900031</t>
  </si>
  <si>
    <t>Event-Based Dense Reconstruction Pipeline</t>
  </si>
  <si>
    <t>ICRAS 2022</t>
  </si>
  <si>
    <t>https://www.webofscience.com/wos/woscc/full-record/WOS:000853846800021</t>
  </si>
  <si>
    <t>UAV human teleoperation using event-based and frame-based cameras</t>
  </si>
  <si>
    <t>AIRPHARO 2021</t>
  </si>
  <si>
    <t>https://www.westernsydney.edu.au/bens/home/reproducible_research/atis_planes</t>
  </si>
  <si>
    <t>https://www.westernsydney.edu.au/icns</t>
  </si>
  <si>
    <t>https://www.westernsydney.edu.au/icns/astrosite):</t>
  </si>
  <si>
    <t>https://www.westernsydney.edu.au/icns/reproducible_research/publication_support_materials/space_imaging</t>
  </si>
  <si>
    <t>https://www.westernsydney.edu.au/icns/research/research_streams/perception/sky_mapping_satellite_tracking</t>
  </si>
  <si>
    <t>https://www.westernsydney.edu.au/icns/resources/research_videos/rocket_launch_from_a_neuromorphic_camera_-_events_vs._frames</t>
  </si>
  <si>
    <t>https://www.ybh1998.space/wp-content/uploads/2024/06/EventPS_Real-Time_Photometric_Stereo_Using_an_Event_Camera.pdf</t>
  </si>
  <si>
    <t>EventPS: Real-Time Photometric Stereo Using an Event Camera</t>
  </si>
  <si>
    <t>https://www.youtube.com/@neuromorphicworkshoptellur6476/featured</t>
  </si>
  <si>
    <t>Video</t>
  </si>
  <si>
    <t>https://www.youtube.com/@SavageGoodsT/featured</t>
  </si>
  <si>
    <t>https://www.youtube.com/channel/UCuuIEatPpBZQkQ_kSoeZtCQ/videos</t>
  </si>
  <si>
    <t>https://www.youtube.com/watch?v=0DKatczR6jE</t>
  </si>
  <si>
    <t>https://www.youtube.com/watch?v=135fH21QXtg</t>
  </si>
  <si>
    <t>https://www.youtube.com/watch?v=8PZmb2z2bXw&amp;index=39&amp;list=PL659671AC92E70F19</t>
  </si>
  <si>
    <t>https://www.youtube.com/watch?v=aRB5mDNfrHM</t>
  </si>
  <si>
    <t>https://www.youtube.com/watch?v=CzigSCViLhM</t>
  </si>
  <si>
    <t>https://www.youtube.com/watch?v=DFwz8JeqDk0</t>
  </si>
  <si>
    <t>https://www.youtube.com/watch?v=eS-3PP-8sek&amp;ab_channel=KAISTUrbanRoboticsLab</t>
  </si>
  <si>
    <t>https://www.youtube.com/watch?v=g0R-mC43CX0</t>
  </si>
  <si>
    <t>https://www.youtube.com/watch?v=GvKfJrMGNCs</t>
  </si>
  <si>
    <t>https://www.youtube.com/watch?v=MjX3z-6n3iA</t>
  </si>
  <si>
    <t>https://www.youtube.com/watch?v=oLUNYxYZPyA</t>
  </si>
  <si>
    <t>Latency Correction for Event-guided Deblurring and Frame Interpolation</t>
  </si>
  <si>
    <t>https://www.youtube.com/watch?v=PLHhEj52c-4</t>
  </si>
  <si>
    <t>https://www.youtube.com/watch?v=u9G_oT8psac&amp;list=PL-Kzs2T7Hx3K-IDKsgUwPUnzHmk8Pcsek&amp;index=4</t>
  </si>
  <si>
    <t>https://www.youtube.com/watch?v=wK37140c7_Y</t>
  </si>
  <si>
    <t>Event-based Visible and Infrared Fusion via Multi-task Collaboration</t>
  </si>
  <si>
    <t>https://www.youtube.com/watch?v=y0bMZnUJt14</t>
  </si>
  <si>
    <t>EvDiG: Event-guided Direct and Global Components Separation</t>
  </si>
  <si>
    <t>https://www.youtube.com/watch?v=Y97Sg4YTRh0</t>
  </si>
  <si>
    <t>Event-aided Direct Sparse Odometry</t>
  </si>
  <si>
    <t>https://www.zdnet.com/article/high-speed-motion-capture-using-a-single-event-camera</t>
  </si>
  <si>
    <t>https://www.zhaw.ch/en/lsfm/institutes-centres/icls/cognitive-computing-in-life-sciences/research-group-neuromorphic-computing</t>
  </si>
  <si>
    <t>https://www.zora.uzh.ch/id/eprint/277708/1/zuwang-thesis.pdf</t>
  </si>
  <si>
    <t>Exploiting Temporal and Spatial Correlations for Efficient Visual Processing</t>
  </si>
  <si>
    <t>https://xlx-creater.github.io/E-ENF/</t>
  </si>
  <si>
    <t>"Seeing'' Electric Network Frequency from Events</t>
  </si>
  <si>
    <t>https://youtu.be/-7EneYIfinM</t>
  </si>
  <si>
    <t>https://youtu.be/1zqJpiheaaI</t>
  </si>
  <si>
    <t>https://youtu.be/2RBKNhxHvdw</t>
  </si>
  <si>
    <t>https://youtu.be/4oa7e4hsrYo</t>
  </si>
  <si>
    <t>https://youtu.be/8D9gtHqteEQ</t>
  </si>
  <si>
    <t>https://youtu.be/9mYTbZM9odc</t>
  </si>
  <si>
    <t>https://youtu.be/A1NKZnPdYfo</t>
  </si>
  <si>
    <t>https://youtu.be/bmCMsWF_ORg</t>
  </si>
  <si>
    <t>https://youtu.be/BzykucxFddI</t>
  </si>
  <si>
    <t>https://youtu.be/CnGPGiZuFRI</t>
  </si>
  <si>
    <t>https://youtu.be/CoocgoUhxvU</t>
  </si>
  <si>
    <t>https://youtu.be/cT5Gn1R43Cs?t=1884</t>
  </si>
  <si>
    <t>EventGAN: Leveraging Large Scale Image Datasets for Event Cameras</t>
  </si>
  <si>
    <t>ICCP 2021</t>
  </si>
  <si>
    <t>https://youtu.be/CzigSCViLhM?si=0ukM-dhI82MbrSir</t>
  </si>
  <si>
    <t>https://youtu.be/D6rv6q9XyWU</t>
  </si>
  <si>
    <t>https://youtu.be/eQ7reEN9PrA</t>
  </si>
  <si>
    <t>https://youtu.be/eWBEJOr056E</t>
  </si>
  <si>
    <t>https://youtu.be/feBozLYZhB8</t>
  </si>
  <si>
    <t>https://youtu.be/fw9-gNg6cM8</t>
  </si>
  <si>
    <t>Multi-Bracket High Dynamic Range Imaging with Event Cameras</t>
  </si>
  <si>
    <t>https://youtu.be/g08IW-qRomM</t>
  </si>
  <si>
    <t>https://youtu.be/hrfsDOL18pw</t>
  </si>
  <si>
    <t>https://youtu.be/HV9_FhS-f88</t>
  </si>
  <si>
    <t>https://youtu.be/igsJHem8sFM</t>
  </si>
  <si>
    <t>https://youtu.be/jhQgElvtb1s</t>
  </si>
  <si>
    <t>https://youtu.be/Ji1MzE4QbM4</t>
  </si>
  <si>
    <t>https://youtu.be/JpJFBZ97KX0</t>
  </si>
  <si>
    <t>https://youtu.be/KyS_h8i9HpM</t>
  </si>
  <si>
    <t>https://youtu.be/mskBdueW9Hc</t>
  </si>
  <si>
    <t>https://youtu.be/n6qTkw5U7YI</t>
  </si>
  <si>
    <t>https://youtu.be/ngJpY1lcbdw</t>
  </si>
  <si>
    <t>https://youtu.be/nUb2ZRPdbWk</t>
  </si>
  <si>
    <t>https://youtu.be/O1ow7c_OlDQ</t>
  </si>
  <si>
    <t>https://youtu.be/o7Bxg9XlHmg</t>
  </si>
  <si>
    <t>https://youtu.be/q5ua91n13TA</t>
  </si>
  <si>
    <t>https://youtu.be/Rrkwxp8J18c</t>
  </si>
  <si>
    <t>https://youtu.be/Rvv9IQLYjCQ</t>
  </si>
  <si>
    <t>https://youtu.be/sbJAi6SXOQw</t>
  </si>
  <si>
    <t>https://youtu.be/ST6Z-3SlNS4</t>
  </si>
  <si>
    <t>https://youtu.be/tgvM4ELesgI</t>
  </si>
  <si>
    <t>https://youtu.be/Th4TM4SsFGY</t>
  </si>
  <si>
    <t>https://youtu.be/Tzy4WF6Qp-Y</t>
  </si>
  <si>
    <t>https://youtu.be/uX6XknBGg0w</t>
  </si>
  <si>
    <t>https://youtu.be/VEJxdNok-K0</t>
  </si>
  <si>
    <t>https://youtu.be/XeQYNYESJtQ</t>
  </si>
  <si>
    <t>https://youtu.be/XLMhTbNoHR0</t>
  </si>
  <si>
    <t>https://youtu.be/Xnl6x_xvucs</t>
  </si>
  <si>
    <t>https://youtu.be/xS-7xYRYSLc</t>
  </si>
  <si>
    <t>https://youtu.be/Y0mIb_MehK8</t>
  </si>
  <si>
    <t>https://youtu.be/yGDVlN-L1TU</t>
  </si>
  <si>
    <t>https://youtu.be/YkI7AfBDBKE</t>
  </si>
  <si>
    <t>https://youtu.be/z8uJh_xUq7A</t>
  </si>
  <si>
    <t>https://youtu.be/ze8Wgou9yA4</t>
  </si>
  <si>
    <t>https://youtu.be/ZyD1YPW1h4U</t>
  </si>
  <si>
    <t>https://zaguan.unizar.es/record/129983?ln=en</t>
  </si>
  <si>
    <t>Efficient scene understanding from video data</t>
  </si>
  <si>
    <t>https://zenodo.org/record/3816654#.XxHQ9hFS9hE</t>
  </si>
  <si>
    <t>https://zenodo.org/record/5069951#.Yyx-oNJBxhF</t>
  </si>
  <si>
    <t>https://zenodo.org/record/5924071#.YyyGC9JBxhE</t>
  </si>
  <si>
    <t>https://zenodo.org/record/6602940</t>
  </si>
  <si>
    <t>Stabilizing Event Data on Flapping-wing Robots for Simpler Perception</t>
  </si>
  <si>
    <t>ICRAW 2022</t>
  </si>
  <si>
    <t>https://zenodo.org/record/6602940/files/Workshop_Flapping_Wing_Challenges.pdf</t>
  </si>
  <si>
    <t>https://zhangjiqing.com/publication/iccv21_fe108_tracking</t>
  </si>
  <si>
    <t>https://zhangjiqing.com/publication/in-the-blink-of-an-eye-event-based-emotion-recognition/</t>
  </si>
  <si>
    <t>In the Blink of an Eye: Event-based Emotion Recognition</t>
  </si>
  <si>
    <t>SIGGRAPH 2023</t>
  </si>
  <si>
    <t>https://zhangjiqing.com/publication/stnet</t>
  </si>
  <si>
    <t>Spiking Transformers for Event-based Single Object Tracking</t>
  </si>
  <si>
    <t>Conference Papers</t>
  </si>
  <si>
    <t>Totals</t>
  </si>
  <si>
    <t>CVPR</t>
  </si>
  <si>
    <t>CVPRW</t>
  </si>
  <si>
    <t>ECCV / ICCV</t>
  </si>
  <si>
    <t>ECCVW / ICCVW</t>
  </si>
  <si>
    <t>BMVC</t>
  </si>
  <si>
    <t>WACV + W</t>
  </si>
  <si>
    <t>3DV</t>
  </si>
  <si>
    <t>ICCP</t>
  </si>
  <si>
    <t>ICIP</t>
  </si>
  <si>
    <t>ICASSP</t>
  </si>
  <si>
    <t>IJCAI</t>
  </si>
  <si>
    <t>IJCNN</t>
  </si>
  <si>
    <t>NeurIPS</t>
  </si>
  <si>
    <t>NeurIPS-W</t>
  </si>
  <si>
    <t>AAAI</t>
  </si>
  <si>
    <t>RSS</t>
  </si>
  <si>
    <t>ICRA + W</t>
  </si>
  <si>
    <t>IROS + W</t>
  </si>
  <si>
    <t>CoRL + W</t>
  </si>
  <si>
    <t>-</t>
  </si>
  <si>
    <t>TPAMI</t>
  </si>
  <si>
    <t>IJCV</t>
  </si>
  <si>
    <t>TIP</t>
  </si>
  <si>
    <t>TCSVT</t>
  </si>
  <si>
    <t>TCI</t>
  </si>
  <si>
    <t>TIM</t>
  </si>
  <si>
    <t>TCYB</t>
  </si>
  <si>
    <t>IEEE SPM special issue</t>
  </si>
  <si>
    <t>RAL</t>
  </si>
  <si>
    <t>TRO</t>
  </si>
  <si>
    <t>IJRR</t>
  </si>
  <si>
    <t>ISCAS</t>
  </si>
  <si>
    <t>TNNLS</t>
  </si>
  <si>
    <t>FNINS</t>
  </si>
  <si>
    <t>EBCCSP</t>
  </si>
  <si>
    <t>Sensors</t>
  </si>
  <si>
    <t>SPIE</t>
  </si>
  <si>
    <t>BioCAS</t>
  </si>
  <si>
    <t>Vision+Robotics</t>
  </si>
  <si>
    <t>Year instances in the List of EBVR</t>
  </si>
  <si>
    <t>Year instances in the first column of this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</si>
</sst>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shrinkToFit="0" vertical="center" wrapText="0"/>
    </xf>
    <xf borderId="0" fillId="3" fontId="2" numFmtId="0" xfId="0" applyAlignment="1" applyFill="1" applyFont="1">
      <alignment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4" fontId="2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4" fontId="2" numFmtId="0" xfId="0" applyAlignment="1" applyFont="1">
      <alignment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r>
              <a:rPr b="0" i="0">
                <a:solidFill>
                  <a:srgbClr val="000000"/>
                </a:solidFill>
                <a:latin typeface="Arial"/>
              </a:rPr>
              <a:t>Papers in Computer Vision and Robotics venues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'Chart Data'!$E$1:$N$1</c:f>
            </c:strRef>
          </c:cat>
          <c:val>
            <c:numRef>
              <c:f>'Chart Data'!$E$41:$N$41</c:f>
              <c:numCache/>
            </c:numRef>
          </c:val>
        </c:ser>
        <c:axId val="313216875"/>
        <c:axId val="660920329"/>
      </c:barChart>
      <c:catAx>
        <c:axId val="313216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660920329"/>
      </c:catAx>
      <c:valAx>
        <c:axId val="660920329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31321687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28575</xdr:colOff>
      <xdr:row>2</xdr:row>
      <xdr:rowOff>123825</xdr:rowOff>
    </xdr:from>
    <xdr:ext cx="3810000" cy="2857500"/>
    <xdr:graphicFrame>
      <xdr:nvGraphicFramePr>
        <xdr:cNvPr id="202657518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rxiv.org/abs/2310.00730" TargetMode="External"/><Relationship Id="rId391" Type="http://schemas.openxmlformats.org/officeDocument/2006/relationships/hyperlink" Target="https://arxiv.org/abs/2309.17054" TargetMode="External"/><Relationship Id="rId390" Type="http://schemas.openxmlformats.org/officeDocument/2006/relationships/hyperlink" Target="https://arxiv.org/abs/2309.16990" TargetMode="External"/><Relationship Id="rId2180" Type="http://schemas.openxmlformats.org/officeDocument/2006/relationships/hyperlink" Target="https://link.springer.com/chapter/10.1007/978-3-030-80119-9_44" TargetMode="External"/><Relationship Id="rId2181" Type="http://schemas.openxmlformats.org/officeDocument/2006/relationships/hyperlink" Target="https://link.springer.com/chapter/10.1007/978-3-031-04098-6_4" TargetMode="External"/><Relationship Id="rId2182" Type="http://schemas.openxmlformats.org/officeDocument/2006/relationships/hyperlink" Target="https://link.springer.com/chapter/10.1007/978-3-031-04098-6_8" TargetMode="External"/><Relationship Id="rId2183" Type="http://schemas.openxmlformats.org/officeDocument/2006/relationships/hyperlink" Target="https://link.springer.com/chapter/10.1007/978-3-031-04881-4_32" TargetMode="External"/><Relationship Id="rId385" Type="http://schemas.openxmlformats.org/officeDocument/2006/relationships/hyperlink" Target="https://arxiv.org/abs/2309.09947" TargetMode="External"/><Relationship Id="rId2184" Type="http://schemas.openxmlformats.org/officeDocument/2006/relationships/hyperlink" Target="https://link.springer.com/chapter/10.1007/978-3-031-13324-4_9" TargetMode="External"/><Relationship Id="rId384" Type="http://schemas.openxmlformats.org/officeDocument/2006/relationships/hyperlink" Target="https://arxiv.org/abs/2309.08596" TargetMode="External"/><Relationship Id="rId2185" Type="http://schemas.openxmlformats.org/officeDocument/2006/relationships/hyperlink" Target="https://link.springer.com/chapter/10.1007/978-3-031-15934-3_51" TargetMode="External"/><Relationship Id="rId383" Type="http://schemas.openxmlformats.org/officeDocument/2006/relationships/hyperlink" Target="https://arxiv.org/abs/2309.07054" TargetMode="External"/><Relationship Id="rId2186" Type="http://schemas.openxmlformats.org/officeDocument/2006/relationships/hyperlink" Target="https://link.springer.com/chapter/10.1007/978-3-031-20868-3_20" TargetMode="External"/><Relationship Id="rId382" Type="http://schemas.openxmlformats.org/officeDocument/2006/relationships/hyperlink" Target="https://arxiv.org/abs/2309.06652" TargetMode="External"/><Relationship Id="rId2187" Type="http://schemas.openxmlformats.org/officeDocument/2006/relationships/hyperlink" Target="https://link.springer.com/chapter/10.1007/978-3-031-25056-9_1" TargetMode="External"/><Relationship Id="rId389" Type="http://schemas.openxmlformats.org/officeDocument/2006/relationships/hyperlink" Target="https://arxiv.org/abs/2309.16987" TargetMode="External"/><Relationship Id="rId2188" Type="http://schemas.openxmlformats.org/officeDocument/2006/relationships/hyperlink" Target="https://link.springer.com/chapter/10.1007/978-3-031-25056-9_5" TargetMode="External"/><Relationship Id="rId388" Type="http://schemas.openxmlformats.org/officeDocument/2006/relationships/hyperlink" Target="https://arxiv.org/abs/2309.16949" TargetMode="External"/><Relationship Id="rId2189" Type="http://schemas.openxmlformats.org/officeDocument/2006/relationships/hyperlink" Target="https://link.springer.com/chapter/10.1007/978-3-031-26431-3_7" TargetMode="External"/><Relationship Id="rId387" Type="http://schemas.openxmlformats.org/officeDocument/2006/relationships/hyperlink" Target="https://arxiv.org/abs/2309.15627" TargetMode="External"/><Relationship Id="rId386" Type="http://schemas.openxmlformats.org/officeDocument/2006/relationships/hyperlink" Target="https://arxiv.org/abs/2309.11891" TargetMode="External"/><Relationship Id="rId381" Type="http://schemas.openxmlformats.org/officeDocument/2006/relationships/hyperlink" Target="https://arxiv.org/abs/2309.05450" TargetMode="External"/><Relationship Id="rId380" Type="http://schemas.openxmlformats.org/officeDocument/2006/relationships/hyperlink" Target="https://arxiv.org/abs/2309.01159" TargetMode="External"/><Relationship Id="rId379" Type="http://schemas.openxmlformats.org/officeDocument/2006/relationships/hyperlink" Target="https://arxiv.org/abs/2308.13711" TargetMode="External"/><Relationship Id="rId2170" Type="http://schemas.openxmlformats.org/officeDocument/2006/relationships/hyperlink" Target="https://link.springer.com/article/10.1007/s10514-023-10111-x" TargetMode="External"/><Relationship Id="rId2171" Type="http://schemas.openxmlformats.org/officeDocument/2006/relationships/hyperlink" Target="https://link.springer.com/article/10.1007/s11042-023-15743-w" TargetMode="External"/><Relationship Id="rId2172" Type="http://schemas.openxmlformats.org/officeDocument/2006/relationships/hyperlink" Target="https://link.springer.com/article/10.1007/s11263-024-02011-z" TargetMode="External"/><Relationship Id="rId374" Type="http://schemas.openxmlformats.org/officeDocument/2006/relationships/hyperlink" Target="https://arxiv.org/abs/2308.04402" TargetMode="External"/><Relationship Id="rId2173" Type="http://schemas.openxmlformats.org/officeDocument/2006/relationships/hyperlink" Target="https://link.springer.com/article/10.1007/s11263-024-02197-2" TargetMode="External"/><Relationship Id="rId373" Type="http://schemas.openxmlformats.org/officeDocument/2006/relationships/hyperlink" Target="https://arxiv.org/abs/2308.04369" TargetMode="External"/><Relationship Id="rId2174" Type="http://schemas.openxmlformats.org/officeDocument/2006/relationships/hyperlink" Target="https://link.springer.com/article/10.1007/s11263-025-02418-2" TargetMode="External"/><Relationship Id="rId372" Type="http://schemas.openxmlformats.org/officeDocument/2006/relationships/hyperlink" Target="https://arxiv.org/abs/2308.03135" TargetMode="External"/><Relationship Id="rId2175" Type="http://schemas.openxmlformats.org/officeDocument/2006/relationships/hyperlink" Target="https://link.springer.com/article/10.1007/s11340-023-00966-7" TargetMode="External"/><Relationship Id="rId371" Type="http://schemas.openxmlformats.org/officeDocument/2006/relationships/hyperlink" Target="https://arxiv.org/abs/2307.15942" TargetMode="External"/><Relationship Id="rId2176" Type="http://schemas.openxmlformats.org/officeDocument/2006/relationships/hyperlink" Target="https://link.springer.com/article/10.1007/s11554-024-01528-3" TargetMode="External"/><Relationship Id="rId378" Type="http://schemas.openxmlformats.org/officeDocument/2006/relationships/hyperlink" Target="https://arxiv.org/abs/2308.11937" TargetMode="External"/><Relationship Id="rId2177" Type="http://schemas.openxmlformats.org/officeDocument/2006/relationships/hyperlink" Target="https://link.springer.com/article/10.1007/s11633-022-1370-z" TargetMode="External"/><Relationship Id="rId377" Type="http://schemas.openxmlformats.org/officeDocument/2006/relationships/hyperlink" Target="https://arxiv.org/abs/2308.09993" TargetMode="External"/><Relationship Id="rId2178" Type="http://schemas.openxmlformats.org/officeDocument/2006/relationships/hyperlink" Target="https://link.springer.com/article/10.1007/s12204-024-2699-y" TargetMode="External"/><Relationship Id="rId376" Type="http://schemas.openxmlformats.org/officeDocument/2006/relationships/hyperlink" Target="https://arxiv.org/abs/2308.09383" TargetMode="External"/><Relationship Id="rId2179" Type="http://schemas.openxmlformats.org/officeDocument/2006/relationships/hyperlink" Target="https://link.springer.com/article/10.1007/s42486-024-00153-0" TargetMode="External"/><Relationship Id="rId375" Type="http://schemas.openxmlformats.org/officeDocument/2006/relationships/hyperlink" Target="https://arxiv.org/abs/2308.07802" TargetMode="External"/><Relationship Id="rId2190" Type="http://schemas.openxmlformats.org/officeDocument/2006/relationships/hyperlink" Target="https://link.springer.com/chapter/10.1007/978-3-031-44198-1_19" TargetMode="External"/><Relationship Id="rId2191" Type="http://schemas.openxmlformats.org/officeDocument/2006/relationships/hyperlink" Target="https://link.springer.com/chapter/10.1007/978-3-031-44240-7_4" TargetMode="External"/><Relationship Id="rId2192" Type="http://schemas.openxmlformats.org/officeDocument/2006/relationships/hyperlink" Target="https://link.springer.com/chapter/10.1007/978-3-031-47966-3_7" TargetMode="External"/><Relationship Id="rId2193" Type="http://schemas.openxmlformats.org/officeDocument/2006/relationships/hyperlink" Target="https://link.springer.com/chapter/10.1007/978-3-031-59057-3_24" TargetMode="External"/><Relationship Id="rId2194" Type="http://schemas.openxmlformats.org/officeDocument/2006/relationships/hyperlink" Target="https://link.springer.com/chapter/10.1007/978-981-19-7742-8_3" TargetMode="External"/><Relationship Id="rId396" Type="http://schemas.openxmlformats.org/officeDocument/2006/relationships/hyperlink" Target="https://arxiv.org/abs/2310.14194" TargetMode="External"/><Relationship Id="rId2195" Type="http://schemas.openxmlformats.org/officeDocument/2006/relationships/hyperlink" Target="https://link.springer.com/chapter/10.1007/978-981-19-7867-8_15" TargetMode="External"/><Relationship Id="rId395" Type="http://schemas.openxmlformats.org/officeDocument/2006/relationships/hyperlink" Target="https://arxiv.org/abs/2310.09692" TargetMode="External"/><Relationship Id="rId2196" Type="http://schemas.openxmlformats.org/officeDocument/2006/relationships/hyperlink" Target="https://link.springer.com/chapter/10.1007/978-981-19-9379-4_6" TargetMode="External"/><Relationship Id="rId394" Type="http://schemas.openxmlformats.org/officeDocument/2006/relationships/hyperlink" Target="https://arxiv.org/abs/2310.07189" TargetMode="External"/><Relationship Id="rId2197" Type="http://schemas.openxmlformats.org/officeDocument/2006/relationships/hyperlink" Target="https://link.springer.com/chapter/10.1007/978-981-95-0011-6_22" TargetMode="External"/><Relationship Id="rId393" Type="http://schemas.openxmlformats.org/officeDocument/2006/relationships/hyperlink" Target="https://arxiv.org/abs/2310.02361" TargetMode="External"/><Relationship Id="rId2198" Type="http://schemas.openxmlformats.org/officeDocument/2006/relationships/hyperlink" Target="https://link.springer.com/chapter/10.1007/978-981-99-1645-0_46" TargetMode="External"/><Relationship Id="rId2199" Type="http://schemas.openxmlformats.org/officeDocument/2006/relationships/hyperlink" Target="https://link.springer.com/chapter/10.1007/978-981-99-6498-7_6" TargetMode="External"/><Relationship Id="rId399" Type="http://schemas.openxmlformats.org/officeDocument/2006/relationships/hyperlink" Target="https://arxiv.org/abs/2310.16321" TargetMode="External"/><Relationship Id="rId398" Type="http://schemas.openxmlformats.org/officeDocument/2006/relationships/hyperlink" Target="https://arxiv.org/abs/2310.15750" TargetMode="External"/><Relationship Id="rId397" Type="http://schemas.openxmlformats.org/officeDocument/2006/relationships/hyperlink" Target="https://arxiv.org/abs/2310.14944" TargetMode="External"/><Relationship Id="rId1730" Type="http://schemas.openxmlformats.org/officeDocument/2006/relationships/hyperlink" Target="https://doi.org/10.1109/TVCG.2024.3372039" TargetMode="External"/><Relationship Id="rId1731" Type="http://schemas.openxmlformats.org/officeDocument/2006/relationships/hyperlink" Target="https://doi.org/10.1109/TVLSI.2025.3600953" TargetMode="External"/><Relationship Id="rId1732" Type="http://schemas.openxmlformats.org/officeDocument/2006/relationships/hyperlink" Target="https://doi.org/10.1109/TVLSI.2025.3633693" TargetMode="External"/><Relationship Id="rId1733" Type="http://schemas.openxmlformats.org/officeDocument/2006/relationships/hyperlink" Target="https://doi.org/10.1109/USBEREIT65494.2025.11054254" TargetMode="External"/><Relationship Id="rId1734" Type="http://schemas.openxmlformats.org/officeDocument/2006/relationships/hyperlink" Target="https://doi.org/10.1109/YAC57282.2022.10023860" TargetMode="External"/><Relationship Id="rId1735" Type="http://schemas.openxmlformats.org/officeDocument/2006/relationships/hyperlink" Target="https://doi.org/10.1111/2041-210x.70224" TargetMode="External"/><Relationship Id="rId1736" Type="http://schemas.openxmlformats.org/officeDocument/2006/relationships/hyperlink" Target="https://doi.org/10.1117/1.APN.3.5.056002" TargetMode="External"/><Relationship Id="rId1737" Type="http://schemas.openxmlformats.org/officeDocument/2006/relationships/hyperlink" Target="https://doi.org/10.1117/1.JEI.33.1.013017" TargetMode="External"/><Relationship Id="rId1738" Type="http://schemas.openxmlformats.org/officeDocument/2006/relationships/hyperlink" Target="https://doi.org/10.1117/1.JEI.34.3.033041" TargetMode="External"/><Relationship Id="rId1739" Type="http://schemas.openxmlformats.org/officeDocument/2006/relationships/hyperlink" Target="https://doi.org/10.1117/1.JEI.34.4.043024" TargetMode="External"/><Relationship Id="rId1720" Type="http://schemas.openxmlformats.org/officeDocument/2006/relationships/hyperlink" Target="https://doi.org/10.1109/tpami.2025.3604385" TargetMode="External"/><Relationship Id="rId1721" Type="http://schemas.openxmlformats.org/officeDocument/2006/relationships/hyperlink" Target="https://doi.org/10.1109/TPAMI.2025.3615144" TargetMode="External"/><Relationship Id="rId1722" Type="http://schemas.openxmlformats.org/officeDocument/2006/relationships/hyperlink" Target="https://doi.org/10.1109/TPAMI.2025.3645734" TargetMode="External"/><Relationship Id="rId1723" Type="http://schemas.openxmlformats.org/officeDocument/2006/relationships/hyperlink" Target="https://doi.org/10.1109/TRO.2021.3062252" TargetMode="External"/><Relationship Id="rId1724" Type="http://schemas.openxmlformats.org/officeDocument/2006/relationships/hyperlink" Target="https://doi.org/10.1109/TRO.2023.3333108" TargetMode="External"/><Relationship Id="rId1725" Type="http://schemas.openxmlformats.org/officeDocument/2006/relationships/hyperlink" Target="https://doi.org/10.1109/TRO.2024.3355370" TargetMode="External"/><Relationship Id="rId1726" Type="http://schemas.openxmlformats.org/officeDocument/2006/relationships/hyperlink" Target="https://doi.org/10.1109/TRO.2024.3502215" TargetMode="External"/><Relationship Id="rId1727" Type="http://schemas.openxmlformats.org/officeDocument/2006/relationships/hyperlink" Target="https://doi.org/10.1109/TRO.2025.3584544" TargetMode="External"/><Relationship Id="rId1728" Type="http://schemas.openxmlformats.org/officeDocument/2006/relationships/hyperlink" Target="https://doi.org/10.1109/TVCG.2023.3320271" TargetMode="External"/><Relationship Id="rId1729" Type="http://schemas.openxmlformats.org/officeDocument/2006/relationships/hyperlink" Target="https://doi.org/10.1109/TVCG.2024.3360468" TargetMode="External"/><Relationship Id="rId1752" Type="http://schemas.openxmlformats.org/officeDocument/2006/relationships/hyperlink" Target="https://doi.org/10.1117/12.3013389" TargetMode="External"/><Relationship Id="rId1753" Type="http://schemas.openxmlformats.org/officeDocument/2006/relationships/hyperlink" Target="https://doi.org/10.1117/12.3016236" TargetMode="External"/><Relationship Id="rId1754" Type="http://schemas.openxmlformats.org/officeDocument/2006/relationships/hyperlink" Target="https://doi.org/10.1117/12.3026253" TargetMode="External"/><Relationship Id="rId1755" Type="http://schemas.openxmlformats.org/officeDocument/2006/relationships/hyperlink" Target="https://doi.org/10.1117/12.3027694" TargetMode="External"/><Relationship Id="rId1756" Type="http://schemas.openxmlformats.org/officeDocument/2006/relationships/hyperlink" Target="https://doi.org/10.1117/12.3028285" TargetMode="External"/><Relationship Id="rId1757" Type="http://schemas.openxmlformats.org/officeDocument/2006/relationships/hyperlink" Target="https://doi.org/10.1117/12.3029595" TargetMode="External"/><Relationship Id="rId1758" Type="http://schemas.openxmlformats.org/officeDocument/2006/relationships/hyperlink" Target="https://doi.org/10.1117/12.3031306" TargetMode="External"/><Relationship Id="rId1759" Type="http://schemas.openxmlformats.org/officeDocument/2006/relationships/hyperlink" Target="https://doi.org/10.1117/12.3035979" TargetMode="External"/><Relationship Id="rId1750" Type="http://schemas.openxmlformats.org/officeDocument/2006/relationships/hyperlink" Target="https://doi.org/10.1117/12.3013043" TargetMode="External"/><Relationship Id="rId1751" Type="http://schemas.openxmlformats.org/officeDocument/2006/relationships/hyperlink" Target="https://doi.org/10.1117/12.3013188" TargetMode="External"/><Relationship Id="rId1741" Type="http://schemas.openxmlformats.org/officeDocument/2006/relationships/hyperlink" Target="https://doi.org/10.1117/1.OE.60.5.053101" TargetMode="External"/><Relationship Id="rId1742" Type="http://schemas.openxmlformats.org/officeDocument/2006/relationships/hyperlink" Target="https://doi.org/10.1117/12.2618894" TargetMode="External"/><Relationship Id="rId1743" Type="http://schemas.openxmlformats.org/officeDocument/2006/relationships/hyperlink" Target="https://doi.org/10.1117/12.2672301" TargetMode="External"/><Relationship Id="rId1744" Type="http://schemas.openxmlformats.org/officeDocument/2006/relationships/hyperlink" Target="https://doi.org/10.1117/12.2676802" TargetMode="External"/><Relationship Id="rId1745" Type="http://schemas.openxmlformats.org/officeDocument/2006/relationships/hyperlink" Target="https://doi.org/10.1117/12.2677036" TargetMode="External"/><Relationship Id="rId1746" Type="http://schemas.openxmlformats.org/officeDocument/2006/relationships/hyperlink" Target="https://doi.org/10.1117/12.2679990" TargetMode="External"/><Relationship Id="rId1747" Type="http://schemas.openxmlformats.org/officeDocument/2006/relationships/hyperlink" Target="https://doi.org/10.1117/12.2680949" TargetMode="External"/><Relationship Id="rId1748" Type="http://schemas.openxmlformats.org/officeDocument/2006/relationships/hyperlink" Target="https://doi.org/10.1117/12.2681645" TargetMode="External"/><Relationship Id="rId1749" Type="http://schemas.openxmlformats.org/officeDocument/2006/relationships/hyperlink" Target="https://doi.org/10.1117/12.3006325" TargetMode="External"/><Relationship Id="rId1740" Type="http://schemas.openxmlformats.org/officeDocument/2006/relationships/hyperlink" Target="https://doi.org/10.1117/1.NPh.12.S1.S14608" TargetMode="External"/><Relationship Id="rId1710" Type="http://schemas.openxmlformats.org/officeDocument/2006/relationships/hyperlink" Target="https://doi.org/10.1109/TPAMI.2024.3469571" TargetMode="External"/><Relationship Id="rId1711" Type="http://schemas.openxmlformats.org/officeDocument/2006/relationships/hyperlink" Target="https://doi.org/10.1109/TPAMI.2024.3477591" TargetMode="External"/><Relationship Id="rId1712" Type="http://schemas.openxmlformats.org/officeDocument/2006/relationships/hyperlink" Target="https://doi.org/10.1109/TPAMI.2024.3510627" TargetMode="External"/><Relationship Id="rId1713" Type="http://schemas.openxmlformats.org/officeDocument/2006/relationships/hyperlink" Target="https://doi.org/10.1109/TPAMI.2025.3526280" TargetMode="External"/><Relationship Id="rId1714" Type="http://schemas.openxmlformats.org/officeDocument/2006/relationships/hyperlink" Target="https://doi.org/10.1109/TPAMI.2025.3536016" TargetMode="External"/><Relationship Id="rId1715" Type="http://schemas.openxmlformats.org/officeDocument/2006/relationships/hyperlink" Target="https://doi.org/10.1109/TPAMI.2025.3545936" TargetMode="External"/><Relationship Id="rId1716" Type="http://schemas.openxmlformats.org/officeDocument/2006/relationships/hyperlink" Target="https://doi.org/10.1109/TPAMI.2025.3556561" TargetMode="External"/><Relationship Id="rId1717" Type="http://schemas.openxmlformats.org/officeDocument/2006/relationships/hyperlink" Target="https://doi.org/10.1109/TPAMI.2025.3565102" TargetMode="External"/><Relationship Id="rId1718" Type="http://schemas.openxmlformats.org/officeDocument/2006/relationships/hyperlink" Target="https://doi.org/10.1109/TPAMI.2025.3568333" TargetMode="External"/><Relationship Id="rId1719" Type="http://schemas.openxmlformats.org/officeDocument/2006/relationships/hyperlink" Target="https://doi.org/10.1109/tpami.2025.3595008" TargetMode="External"/><Relationship Id="rId1700" Type="http://schemas.openxmlformats.org/officeDocument/2006/relationships/hyperlink" Target="https://doi.org/10.1109/TPAMI.2022.3172212" TargetMode="External"/><Relationship Id="rId1701" Type="http://schemas.openxmlformats.org/officeDocument/2006/relationships/hyperlink" Target="https://doi.org/10.1109/TPAMI.2022.3231334" TargetMode="External"/><Relationship Id="rId1702" Type="http://schemas.openxmlformats.org/officeDocument/2006/relationships/hyperlink" Target="https://doi.org/10.1109/TPAMI.2023.3240397" TargetMode="External"/><Relationship Id="rId1703" Type="http://schemas.openxmlformats.org/officeDocument/2006/relationships/hyperlink" Target="https://doi.org/10.1109/TPAMI.2023.3241201" TargetMode="External"/><Relationship Id="rId1704" Type="http://schemas.openxmlformats.org/officeDocument/2006/relationships/hyperlink" Target="https://doi.org/10.1109/TPAMI.2023.3304486" TargetMode="External"/><Relationship Id="rId1705" Type="http://schemas.openxmlformats.org/officeDocument/2006/relationships/hyperlink" Target="https://doi.org/10.1109/TPAMI.2023.3328188" TargetMode="External"/><Relationship Id="rId1706" Type="http://schemas.openxmlformats.org/officeDocument/2006/relationships/hyperlink" Target="https://doi.org/10.1109/TPAMI.2024.3359606" TargetMode="External"/><Relationship Id="rId1707" Type="http://schemas.openxmlformats.org/officeDocument/2006/relationships/hyperlink" Target="https://doi.org/10.1109/TPAMI.2024.3361671" TargetMode="External"/><Relationship Id="rId1708" Type="http://schemas.openxmlformats.org/officeDocument/2006/relationships/hyperlink" Target="https://doi.org/10.1109/tpami.2024.3386813" TargetMode="External"/><Relationship Id="rId1709" Type="http://schemas.openxmlformats.org/officeDocument/2006/relationships/hyperlink" Target="https://doi.org/10.1109/TPAMI.2024.3396116" TargetMode="External"/><Relationship Id="rId40" Type="http://schemas.openxmlformats.org/officeDocument/2006/relationships/hyperlink" Target="http://doi.org/10.1109/TCI.2019.2948787" TargetMode="External"/><Relationship Id="rId42" Type="http://schemas.openxmlformats.org/officeDocument/2006/relationships/hyperlink" Target="http://doi.org/10.1177/02783649241273554" TargetMode="External"/><Relationship Id="rId41" Type="http://schemas.openxmlformats.org/officeDocument/2006/relationships/hyperlink" Target="http://doi.org/10.1109/WACV.2016.7477561" TargetMode="External"/><Relationship Id="rId44" Type="http://schemas.openxmlformats.org/officeDocument/2006/relationships/hyperlink" Target="http://doi.org/10.5220/0013126600003912" TargetMode="External"/><Relationship Id="rId43" Type="http://schemas.openxmlformats.org/officeDocument/2006/relationships/hyperlink" Target="http://doi.org/10.20944/preprints202405.1094.v1" TargetMode="External"/><Relationship Id="rId46" Type="http://schemas.openxmlformats.org/officeDocument/2006/relationships/hyperlink" Target="http://doi.org/10.5772/intechopen.1006712" TargetMode="External"/><Relationship Id="rId45" Type="http://schemas.openxmlformats.org/officeDocument/2006/relationships/hyperlink" Target="http://doi.org/10.5220/0013388400003912" TargetMode="External"/><Relationship Id="rId48" Type="http://schemas.openxmlformats.org/officeDocument/2006/relationships/hyperlink" Target="http://dx.doi.org/10.1109/ICIP.2016.7532633" TargetMode="External"/><Relationship Id="rId47" Type="http://schemas.openxmlformats.org/officeDocument/2006/relationships/hyperlink" Target="http://dx.doi.org/10.1109/ICIP.2015.7350936" TargetMode="External"/><Relationship Id="rId49" Type="http://schemas.openxmlformats.org/officeDocument/2006/relationships/hyperlink" Target="http://dx.doi.org/10.1109/ICRA.2015.7139876" TargetMode="External"/><Relationship Id="rId31" Type="http://schemas.openxmlformats.org/officeDocument/2006/relationships/hyperlink" Target="http://bmvc2018.org/contents/papers/0280.pdf" TargetMode="External"/><Relationship Id="rId30" Type="http://schemas.openxmlformats.org/officeDocument/2006/relationships/hyperlink" Target="http://arxiv.org/pdf/2503.23725" TargetMode="External"/><Relationship Id="rId33" Type="http://schemas.openxmlformats.org/officeDocument/2006/relationships/hyperlink" Target="http://ci.idm.pku.edu.cn/CVPR21a.pdf" TargetMode="External"/><Relationship Id="rId32" Type="http://schemas.openxmlformats.org/officeDocument/2006/relationships/hyperlink" Target="http://bmvc2018.org/contents/papers/0814.pdf" TargetMode="External"/><Relationship Id="rId35" Type="http://schemas.openxmlformats.org/officeDocument/2006/relationships/hyperlink" Target="http://doi.org/10.1088/1361-6501/adc1e7" TargetMode="External"/><Relationship Id="rId34" Type="http://schemas.openxmlformats.org/officeDocument/2006/relationships/hyperlink" Target="http://doi.org/10.1007/978-3-319-46466-4_21" TargetMode="External"/><Relationship Id="rId37" Type="http://schemas.openxmlformats.org/officeDocument/2006/relationships/hyperlink" Target="http://doi.org/10.1088/2634-4386/adc6b4" TargetMode="External"/><Relationship Id="rId36" Type="http://schemas.openxmlformats.org/officeDocument/2006/relationships/hyperlink" Target="http://doi.org/10.1088/1742-6596/3109/1/012072" TargetMode="External"/><Relationship Id="rId39" Type="http://schemas.openxmlformats.org/officeDocument/2006/relationships/hyperlink" Target="http://doi.org/10.1109/CVPRW.2017.51" TargetMode="External"/><Relationship Id="rId38" Type="http://schemas.openxmlformats.org/officeDocument/2006/relationships/hyperlink" Target="http://doi.org/10.1088/2634-4386/addb6c" TargetMode="External"/><Relationship Id="rId2203" Type="http://schemas.openxmlformats.org/officeDocument/2006/relationships/hyperlink" Target="https://mdpi-res.com/bookfiles/book/3836/Visual_Servoing_in_Robotics.pdf?v=1759280678" TargetMode="External"/><Relationship Id="rId2204" Type="http://schemas.openxmlformats.org/officeDocument/2006/relationships/hyperlink" Target="https://mediatum.ub.tum.de/doc/1445947/1445947.pdf" TargetMode="External"/><Relationship Id="rId20" Type="http://schemas.openxmlformats.org/officeDocument/2006/relationships/hyperlink" Target="http://arxiv.org/abs/2408.07996" TargetMode="External"/><Relationship Id="rId2205" Type="http://schemas.openxmlformats.org/officeDocument/2006/relationships/hyperlink" Target="https://mediatum.ub.tum.de/doc/1755556/orqeucbq37bm6595kqv2m729a.Thesis_Final_Corrected_v2.pdf" TargetMode="External"/><Relationship Id="rId2206" Type="http://schemas.openxmlformats.org/officeDocument/2006/relationships/hyperlink" Target="https://medium.com/@adnanmasood/trade-off-between-movement-quality-and-inference-speed-in-vision-language-action-models-for-robotic-52af173ff1bd" TargetMode="External"/><Relationship Id="rId22" Type="http://schemas.openxmlformats.org/officeDocument/2006/relationships/hyperlink" Target="http://arxiv.org/abs/2411.03303" TargetMode="External"/><Relationship Id="rId2207" Type="http://schemas.openxmlformats.org/officeDocument/2006/relationships/hyperlink" Target="https://medium.com/@ian_25476/the-complete-guide-to-vision-language-action-models-how-robots-are-learning-to-think-f1a788d003ed" TargetMode="External"/><Relationship Id="rId21" Type="http://schemas.openxmlformats.org/officeDocument/2006/relationships/hyperlink" Target="http://arxiv.org/abs/2410.06698" TargetMode="External"/><Relationship Id="rId2208" Type="http://schemas.openxmlformats.org/officeDocument/2006/relationships/hyperlink" Target="https://medium.com/@LawrencewleKnight/how-vision-language-action-models-are-revolutionizing-robotic-control-a627bbc0c249" TargetMode="External"/><Relationship Id="rId24" Type="http://schemas.openxmlformats.org/officeDocument/2006/relationships/hyperlink" Target="http://arxiv.org/abs/2504.05830" TargetMode="External"/><Relationship Id="rId2209" Type="http://schemas.openxmlformats.org/officeDocument/2006/relationships/hyperlink" Target="https://medium.com/@vikramsetty169/event-cameras-everything-you-need-to-know-c5dd4281eb9b" TargetMode="External"/><Relationship Id="rId23" Type="http://schemas.openxmlformats.org/officeDocument/2006/relationships/hyperlink" Target="http://arxiv.org/abs/2504.04124" TargetMode="External"/><Relationship Id="rId26" Type="http://schemas.openxmlformats.org/officeDocument/2006/relationships/hyperlink" Target="http://arxiv.org/abs/2505.11165" TargetMode="External"/><Relationship Id="rId25" Type="http://schemas.openxmlformats.org/officeDocument/2006/relationships/hyperlink" Target="http://arxiv.org/abs/2504.12576" TargetMode="External"/><Relationship Id="rId28" Type="http://schemas.openxmlformats.org/officeDocument/2006/relationships/hyperlink" Target="http://arxiv.org/abs/2507.22438" TargetMode="External"/><Relationship Id="rId27" Type="http://schemas.openxmlformats.org/officeDocument/2006/relationships/hyperlink" Target="http://arxiv.org/abs/2506.18443" TargetMode="External"/><Relationship Id="rId29" Type="http://schemas.openxmlformats.org/officeDocument/2006/relationships/hyperlink" Target="http://arxiv.org/abs/2507.22733" TargetMode="External"/><Relationship Id="rId2200" Type="http://schemas.openxmlformats.org/officeDocument/2006/relationships/hyperlink" Target="https://livrepository.liverpool.ac.uk/3184244/1/201135223_Sep2024.pdf" TargetMode="External"/><Relationship Id="rId2201" Type="http://schemas.openxmlformats.org/officeDocument/2006/relationships/hyperlink" Target="https://m.youtube.com/watch?v=RDu5eldW8i8" TargetMode="External"/><Relationship Id="rId2202" Type="http://schemas.openxmlformats.org/officeDocument/2006/relationships/hyperlink" Target="https://mavmatrix.uta.edu/cgi/viewcontent.cgi?article=1531&amp;context=cse_theses" TargetMode="External"/><Relationship Id="rId11" Type="http://schemas.openxmlformats.org/officeDocument/2006/relationships/hyperlink" Target="http://arxiv.org/abs/2208.10581" TargetMode="External"/><Relationship Id="rId10" Type="http://schemas.openxmlformats.org/officeDocument/2006/relationships/hyperlink" Target="http://arxiv.org/abs/2208.08721" TargetMode="External"/><Relationship Id="rId13" Type="http://schemas.openxmlformats.org/officeDocument/2006/relationships/hyperlink" Target="http://arxiv.org/abs/2209.08323" TargetMode="External"/><Relationship Id="rId12" Type="http://schemas.openxmlformats.org/officeDocument/2006/relationships/hyperlink" Target="http://arxiv.org/abs/2209.04362" TargetMode="External"/><Relationship Id="rId15" Type="http://schemas.openxmlformats.org/officeDocument/2006/relationships/hyperlink" Target="http://arxiv.org/abs/2209.12160" TargetMode="External"/><Relationship Id="rId14" Type="http://schemas.openxmlformats.org/officeDocument/2006/relationships/hyperlink" Target="http://arxiv.org/abs/2209.08602" TargetMode="External"/><Relationship Id="rId17" Type="http://schemas.openxmlformats.org/officeDocument/2006/relationships/hyperlink" Target="http://arxiv.org/abs/2211.00509" TargetMode="External"/><Relationship Id="rId16" Type="http://schemas.openxmlformats.org/officeDocument/2006/relationships/hyperlink" Target="http://arxiv.org/abs/2210.01244" TargetMode="External"/><Relationship Id="rId19" Type="http://schemas.openxmlformats.org/officeDocument/2006/relationships/hyperlink" Target="http://arxiv.org/abs/2407.20446" TargetMode="External"/><Relationship Id="rId18" Type="http://schemas.openxmlformats.org/officeDocument/2006/relationships/hyperlink" Target="http://arxiv.org/abs/2305.02888" TargetMode="External"/><Relationship Id="rId84" Type="http://schemas.openxmlformats.org/officeDocument/2006/relationships/hyperlink" Target="http://rpg.ifi.uzh.ch/CVPR19_event_vision_workshop_files/docs/2019CVPRW_Asynchronous_Convolutional_Networks_for_Object_Detection_in_Neuromorphic_Cameras.pdf" TargetMode="External"/><Relationship Id="rId1774" Type="http://schemas.openxmlformats.org/officeDocument/2006/relationships/hyperlink" Target="https://doi.org/10.1142/S1793005726500067" TargetMode="External"/><Relationship Id="rId83" Type="http://schemas.openxmlformats.org/officeDocument/2006/relationships/hyperlink" Target="http://rllab.snu.ac.kr/publications/papers/2022_iccas_eventpointnet.pdf" TargetMode="External"/><Relationship Id="rId1775" Type="http://schemas.openxmlformats.org/officeDocument/2006/relationships/hyperlink" Target="https://doi.org/10.1145/3474085.3475229" TargetMode="External"/><Relationship Id="rId86" Type="http://schemas.openxmlformats.org/officeDocument/2006/relationships/hyperlink" Target="http://rpg.ifi.uzh.ch/CVPR19_event_vision_workshop_files/docs/2019CVPRW_DHP19_Dynamic_Vision_Sensor_3D_Human_Pose_Dataset.pdf" TargetMode="External"/><Relationship Id="rId1776" Type="http://schemas.openxmlformats.org/officeDocument/2006/relationships/hyperlink" Target="https://doi.org/10.1145/3503161.3548142" TargetMode="External"/><Relationship Id="rId85" Type="http://schemas.openxmlformats.org/officeDocument/2006/relationships/hyperlink" Target="http://rpg.ifi.uzh.ch/CVPR19_event_vision_workshop_files/docs/2019CVPRW_DET_A%20High-resolution_DVS%20Dataset_for_Lane%20Extraction.pdf" TargetMode="External"/><Relationship Id="rId1777" Type="http://schemas.openxmlformats.org/officeDocument/2006/relationships/hyperlink" Target="https://doi.org/10.1145/3546790.3546805" TargetMode="External"/><Relationship Id="rId88" Type="http://schemas.openxmlformats.org/officeDocument/2006/relationships/hyperlink" Target="http://rpg.ifi.uzh.ch/CVPR19_event_vision_workshop_files/docs/2019CVPRW_EvSegNet_Semantic_Segmentation_for_Event-based_Cameras.pdf" TargetMode="External"/><Relationship Id="rId1778" Type="http://schemas.openxmlformats.org/officeDocument/2006/relationships/hyperlink" Target="https://doi.org/10.1145/3546790.3546813" TargetMode="External"/><Relationship Id="rId87" Type="http://schemas.openxmlformats.org/officeDocument/2006/relationships/hyperlink" Target="http://rpg.ifi.uzh.ch/CVPR19_event_vision_workshop_files/docs/2019CVPRW_Event-based_attention_and_tracking_on_neuromorphic_hardware.pdf" TargetMode="External"/><Relationship Id="rId1779" Type="http://schemas.openxmlformats.org/officeDocument/2006/relationships/hyperlink" Target="https://doi.org/10.1145/3546790.3546817" TargetMode="External"/><Relationship Id="rId89" Type="http://schemas.openxmlformats.org/officeDocument/2006/relationships/hyperlink" Target="http://rpg.ifi.uzh.ch/CVPR19_event_vision_workshop_files/docs/2019CVPRW_Learning_Event-based_Height_from_Plane_and_Parallax.pdf" TargetMode="External"/><Relationship Id="rId80" Type="http://schemas.openxmlformats.org/officeDocument/2006/relationships/hyperlink" Target="http://openaccess.thecvf.com/content_WACVW_2020/papers/w5/Ramesh_Boosted_Kernelized_Correlation_Filters_for_Event-based_Face_Detection_WACVW_2020_paper.pdf" TargetMode="External"/><Relationship Id="rId82" Type="http://schemas.openxmlformats.org/officeDocument/2006/relationships/hyperlink" Target="http://people.csail.mit.edu/yuan_wz/OtherProj/Event_ICRA16.pdf" TargetMode="External"/><Relationship Id="rId81" Type="http://schemas.openxmlformats.org/officeDocument/2006/relationships/hyperlink" Target="http://paperreading.club/page?id=136659" TargetMode="External"/><Relationship Id="rId1770" Type="http://schemas.openxmlformats.org/officeDocument/2006/relationships/hyperlink" Target="https://doi.org/10.1117/12.3063005" TargetMode="External"/><Relationship Id="rId1771" Type="http://schemas.openxmlformats.org/officeDocument/2006/relationships/hyperlink" Target="https://doi.org/10.1117/12.3064182" TargetMode="External"/><Relationship Id="rId1772" Type="http://schemas.openxmlformats.org/officeDocument/2006/relationships/hyperlink" Target="https://doi.org/10.1117/12.3068939" TargetMode="External"/><Relationship Id="rId1773" Type="http://schemas.openxmlformats.org/officeDocument/2006/relationships/hyperlink" Target="https://doi.org/10.1142/S0218126624300083" TargetMode="External"/><Relationship Id="rId73" Type="http://schemas.openxmlformats.org/officeDocument/2006/relationships/hyperlink" Target="http://openaccess.thecvf.com/content_CVPRW_2020/html/w6/Low_SOFEA_A_Non-Iterative_and_Robust_Optical_Flow_Estimation_Algorithm_for_CVPRW_2020_paper.html" TargetMode="External"/><Relationship Id="rId1763" Type="http://schemas.openxmlformats.org/officeDocument/2006/relationships/hyperlink" Target="https://doi.org/10.1117/12.3053247" TargetMode="External"/><Relationship Id="rId72" Type="http://schemas.openxmlformats.org/officeDocument/2006/relationships/hyperlink" Target="http://openaccess.thecvf.com/content_CVPRW_2019/papers/EventVision/Chaney_Learning_Event-Based_Height_From_Plane_and_Parallax_CVPRW_2019_paper.pdf" TargetMode="External"/><Relationship Id="rId1764" Type="http://schemas.openxmlformats.org/officeDocument/2006/relationships/hyperlink" Target="https://doi.org/10.1117/12.3053313" TargetMode="External"/><Relationship Id="rId75" Type="http://schemas.openxmlformats.org/officeDocument/2006/relationships/hyperlink" Target="http://openaccess.thecvf.com/content_ICCVW_2019/html/PBDL/Wang_Event-Driven_Video_Frame_Synthesis_ICCVW_2019_paper.html" TargetMode="External"/><Relationship Id="rId1765" Type="http://schemas.openxmlformats.org/officeDocument/2006/relationships/hyperlink" Target="https://doi.org/10.1117/12.3053794" TargetMode="External"/><Relationship Id="rId74" Type="http://schemas.openxmlformats.org/officeDocument/2006/relationships/hyperlink" Target="http://openaccess.thecvf.com/content_ICCV_2019/html/Bi_Graph-Based_Object_Classification_for_Neuromorphic_Vision_Sensing_ICCV_2019_paper.html" TargetMode="External"/><Relationship Id="rId1766" Type="http://schemas.openxmlformats.org/officeDocument/2006/relationships/hyperlink" Target="https://doi.org/10.1117/12.3054029" TargetMode="External"/><Relationship Id="rId77" Type="http://schemas.openxmlformats.org/officeDocument/2006/relationships/hyperlink" Target="http://openaccess.thecvf.com/content_WACV_2020/papers/Bagchi_Event-based_Star_Tracking_via_Multiresolution_Progressive_Hough_Transforms_WACV_2020_paper.pdf" TargetMode="External"/><Relationship Id="rId1767" Type="http://schemas.openxmlformats.org/officeDocument/2006/relationships/hyperlink" Target="https://doi.org/10.1117/12.3055039" TargetMode="External"/><Relationship Id="rId76" Type="http://schemas.openxmlformats.org/officeDocument/2006/relationships/hyperlink" Target="http://openaccess.thecvf.com/content_ICCVW_2019/papers/CEFRL/Gao_Event-Based_Incremental_Broad_Learning_System_for_Object_Classification_ICCVW_2019_paper.pdf" TargetMode="External"/><Relationship Id="rId1768" Type="http://schemas.openxmlformats.org/officeDocument/2006/relationships/hyperlink" Target="https://doi.org/10.1117/12.3057689" TargetMode="External"/><Relationship Id="rId79" Type="http://schemas.openxmlformats.org/officeDocument/2006/relationships/hyperlink" Target="http://openaccess.thecvf.com/content_WACV_2020/papers/Seok_Robust_Feature_Tracking_in_DVS_Event_Stream_using_Bezier_Mapping_WACV_2020_paper.pdf" TargetMode="External"/><Relationship Id="rId1769" Type="http://schemas.openxmlformats.org/officeDocument/2006/relationships/hyperlink" Target="https://doi.org/10.1117/12.3062298" TargetMode="External"/><Relationship Id="rId78" Type="http://schemas.openxmlformats.org/officeDocument/2006/relationships/hyperlink" Target="http://openaccess.thecvf.com/content_WACV_2020/papers/Nagata_QR-code_Reconstruction_from_Event_Data_via_Optimization_in_Code_Subspace_WACV_2020_paper.pdf" TargetMode="External"/><Relationship Id="rId71" Type="http://schemas.openxmlformats.org/officeDocument/2006/relationships/hyperlink" Target="http://openaccess.thecvf.com/content_CVPR_2020/papers/Mitrokhin_Learning_Visual_Motion_Segmentation_Using_Event_Surfaces_CVPR_2020_paper.pdf" TargetMode="External"/><Relationship Id="rId70" Type="http://schemas.openxmlformats.org/officeDocument/2006/relationships/hyperlink" Target="http://openaccess.thecvf.com/content_CVPR_2020/papers/Han_Neuromorphic_Camera_Guided_High_Dynamic_Range_Imaging_CVPR_2020_paper.pdf" TargetMode="External"/><Relationship Id="rId1760" Type="http://schemas.openxmlformats.org/officeDocument/2006/relationships/hyperlink" Target="https://doi.org/10.1117/12.3037556" TargetMode="External"/><Relationship Id="rId1761" Type="http://schemas.openxmlformats.org/officeDocument/2006/relationships/hyperlink" Target="https://doi.org/10.1117/12.3041873" TargetMode="External"/><Relationship Id="rId1762" Type="http://schemas.openxmlformats.org/officeDocument/2006/relationships/hyperlink" Target="https://doi.org/10.1117/12.3052785" TargetMode="External"/><Relationship Id="rId62" Type="http://schemas.openxmlformats.org/officeDocument/2006/relationships/hyperlink" Target="http://jos.org.cn/jos/article/abstract/7023" TargetMode="External"/><Relationship Id="rId1796" Type="http://schemas.openxmlformats.org/officeDocument/2006/relationships/hyperlink" Target="https://doi.org/10.1145/3731715.3733428" TargetMode="External"/><Relationship Id="rId61" Type="http://schemas.openxmlformats.org/officeDocument/2006/relationships/hyperlink" Target="http://image-sensors-world.blogspot.com/2022/12/2023-international-solid-state-circuits.html" TargetMode="External"/><Relationship Id="rId1797" Type="http://schemas.openxmlformats.org/officeDocument/2006/relationships/hyperlink" Target="https://doi.org/10.1145/3746027.3754912" TargetMode="External"/><Relationship Id="rId64" Type="http://schemas.openxmlformats.org/officeDocument/2006/relationships/hyperlink" Target="http://openaccess.thecvf.com/content_cvpr_2018/papers/Maqueda_Event-Based_Vision_Meets_CVPR_2018_paper.pdf" TargetMode="External"/><Relationship Id="rId1798" Type="http://schemas.openxmlformats.org/officeDocument/2006/relationships/hyperlink" Target="https://doi.org/10.1145/3746027.3754995" TargetMode="External"/><Relationship Id="rId63" Type="http://schemas.openxmlformats.org/officeDocument/2006/relationships/hyperlink" Target="http://openaccess.thecvf.com/content_cvpr_2018/papers/Andreopoulos_A_Low_Power_CVPR_2018_paper.pdf" TargetMode="External"/><Relationship Id="rId1799" Type="http://schemas.openxmlformats.org/officeDocument/2006/relationships/hyperlink" Target="https://doi.org/10.1145/3746027.3755163" TargetMode="External"/><Relationship Id="rId66" Type="http://schemas.openxmlformats.org/officeDocument/2006/relationships/hyperlink" Target="http://openaccess.thecvf.com/content_CVPR_2019/html/Sekikawa_EventNet_Asynchronous_Recursive_Event_Processing_CVPR_2019_paper.html" TargetMode="External"/><Relationship Id="rId65" Type="http://schemas.openxmlformats.org/officeDocument/2006/relationships/hyperlink" Target="http://openaccess.thecvf.com/content_cvpr_2018/papers/Sironi_HATS_Histograms_of_CVPR_2018_paper.pdf" TargetMode="External"/><Relationship Id="rId68" Type="http://schemas.openxmlformats.org/officeDocument/2006/relationships/hyperlink" Target="http://openaccess.thecvf.com/content_CVPR_2019/html/Wang_EV-Gait_Event-Based_Robust_Gait_Recognition_Using_Dynamic_Vision_Sensors_CVPR_2019_paper.html" TargetMode="External"/><Relationship Id="rId67" Type="http://schemas.openxmlformats.org/officeDocument/2006/relationships/hyperlink" Target="http://openaccess.thecvf.com/content_CVPR_2019/html/Stoffregen_Event_Cameras_Contrast_Maximization_and_Reward_Functions_An_Analysis_CVPR_2019_paper.html" TargetMode="External"/><Relationship Id="rId60" Type="http://schemas.openxmlformats.org/officeDocument/2006/relationships/hyperlink" Target="http://ieeexplore.ieee.org/document/9622228" TargetMode="External"/><Relationship Id="rId69" Type="http://schemas.openxmlformats.org/officeDocument/2006/relationships/hyperlink" Target="http://openaccess.thecvf.com/content_CVPR_2019/html/Zhu_Unsupervised_Event-Based_Learning_of_Optical_Flow_Depth_and_Egomotion_CVPR_2019_paper.html" TargetMode="External"/><Relationship Id="rId1790" Type="http://schemas.openxmlformats.org/officeDocument/2006/relationships/hyperlink" Target="https://doi.org/10.1145/3689061.3689067" TargetMode="External"/><Relationship Id="rId1791" Type="http://schemas.openxmlformats.org/officeDocument/2006/relationships/hyperlink" Target="https://doi.org/10.1145/3715675.3715800" TargetMode="External"/><Relationship Id="rId1792" Type="http://schemas.openxmlformats.org/officeDocument/2006/relationships/hyperlink" Target="https://doi.org/10.1145/3719010" TargetMode="External"/><Relationship Id="rId1793" Type="http://schemas.openxmlformats.org/officeDocument/2006/relationships/hyperlink" Target="https://doi.org/10.1145/3728423.3759404" TargetMode="External"/><Relationship Id="rId1794" Type="http://schemas.openxmlformats.org/officeDocument/2006/relationships/hyperlink" Target="https://doi.org/10.1145/3731715.3733331" TargetMode="External"/><Relationship Id="rId1795" Type="http://schemas.openxmlformats.org/officeDocument/2006/relationships/hyperlink" Target="https://doi.org/10.1145/3731715.3733352" TargetMode="External"/><Relationship Id="rId51" Type="http://schemas.openxmlformats.org/officeDocument/2006/relationships/hyperlink" Target="http://dx.doi.org/10.1109/TCI.2020.2964255" TargetMode="External"/><Relationship Id="rId1785" Type="http://schemas.openxmlformats.org/officeDocument/2006/relationships/hyperlink" Target="https://doi.org/10.1145/3584954.3584962" TargetMode="External"/><Relationship Id="rId50" Type="http://schemas.openxmlformats.org/officeDocument/2006/relationships/hyperlink" Target="http://dx.doi.org/10.1109/LRA.2018.2849882" TargetMode="External"/><Relationship Id="rId1786" Type="http://schemas.openxmlformats.org/officeDocument/2006/relationships/hyperlink" Target="https://doi.org/10.1145/3589737.3605978" TargetMode="External"/><Relationship Id="rId53" Type="http://schemas.openxmlformats.org/officeDocument/2006/relationships/hyperlink" Target="http://dx.doi.org/10.1155/2022/2673191" TargetMode="External"/><Relationship Id="rId1787" Type="http://schemas.openxmlformats.org/officeDocument/2006/relationships/hyperlink" Target="https://doi.org/10.1145/3606038.3616164" TargetMode="External"/><Relationship Id="rId52" Type="http://schemas.openxmlformats.org/officeDocument/2006/relationships/hyperlink" Target="http://dx.doi.org/10.1109/TPAMI.2017.2769655" TargetMode="External"/><Relationship Id="rId1788" Type="http://schemas.openxmlformats.org/officeDocument/2006/relationships/hyperlink" Target="https://doi.org/10.1145/3636534.3694737" TargetMode="External"/><Relationship Id="rId55" Type="http://schemas.openxmlformats.org/officeDocument/2006/relationships/hyperlink" Target="http://dx.doi.org/10.15607/RSS.2015.XI.036" TargetMode="External"/><Relationship Id="rId1789" Type="http://schemas.openxmlformats.org/officeDocument/2006/relationships/hyperlink" Target="https://doi.org/10.1145/3649902.3653471" TargetMode="External"/><Relationship Id="rId54" Type="http://schemas.openxmlformats.org/officeDocument/2006/relationships/hyperlink" Target="http://dx.doi.org/10.1299/mej.24-00447" TargetMode="External"/><Relationship Id="rId57" Type="http://schemas.openxmlformats.org/officeDocument/2006/relationships/hyperlink" Target="http://hdl.handle.net/2268.2/20133" TargetMode="External"/><Relationship Id="rId56" Type="http://schemas.openxmlformats.org/officeDocument/2006/relationships/hyperlink" Target="http://dx.doi.org/10.3389/frobt.2025.1674421" TargetMode="External"/><Relationship Id="rId59" Type="http://schemas.openxmlformats.org/officeDocument/2006/relationships/hyperlink" Target="http://ieeexplore.ieee.org/document/9444460" TargetMode="External"/><Relationship Id="rId58" Type="http://schemas.openxmlformats.org/officeDocument/2006/relationships/hyperlink" Target="http://html.rhhz.net/jqr/html/20220510.htm" TargetMode="External"/><Relationship Id="rId1780" Type="http://schemas.openxmlformats.org/officeDocument/2006/relationships/hyperlink" Target="https://doi.org/10.1145/3572864.3580333" TargetMode="External"/><Relationship Id="rId1781" Type="http://schemas.openxmlformats.org/officeDocument/2006/relationships/hyperlink" Target="https://doi.org/10.1145/3581783.3612093" TargetMode="External"/><Relationship Id="rId1782" Type="http://schemas.openxmlformats.org/officeDocument/2006/relationships/hyperlink" Target="https://doi.org/10.1145/3581783.3612462" TargetMode="External"/><Relationship Id="rId1783" Type="http://schemas.openxmlformats.org/officeDocument/2006/relationships/hyperlink" Target="https://doi.org/10.1145/3581783.3612505" TargetMode="External"/><Relationship Id="rId1784" Type="http://schemas.openxmlformats.org/officeDocument/2006/relationships/hyperlink" Target="https://doi.org/10.1145/3584361" TargetMode="External"/><Relationship Id="rId2269" Type="http://schemas.openxmlformats.org/officeDocument/2006/relationships/hyperlink" Target="https://openaccess.thecvf.com/content/CVPR2023/papers/Cho_Learning_Adaptive_Dense_Event_Stereo_From_the_Image_Domain_CVPR_2023_paper.pdf" TargetMode="External"/><Relationship Id="rId349" Type="http://schemas.openxmlformats.org/officeDocument/2006/relationships/hyperlink" Target="https://arxiv.org/abs/2305.06382" TargetMode="External"/><Relationship Id="rId348" Type="http://schemas.openxmlformats.org/officeDocument/2006/relationships/hyperlink" Target="https://arxiv.org/abs/2305.05925" TargetMode="External"/><Relationship Id="rId347" Type="http://schemas.openxmlformats.org/officeDocument/2006/relationships/hyperlink" Target="https://arxiv.org/abs/2305.04017" TargetMode="External"/><Relationship Id="rId346" Type="http://schemas.openxmlformats.org/officeDocument/2006/relationships/hyperlink" Target="https://arxiv.org/abs/2305.00718" TargetMode="External"/><Relationship Id="rId2260" Type="http://schemas.openxmlformats.org/officeDocument/2006/relationships/hyperlink" Target="https://openaccess.thecvf.com/content/CVPR2021/html/Takatani_Event-Based_Bispectral_Photometry_Using_Temporally_Modulated_Illumination_CVPR_2021_paper.html" TargetMode="External"/><Relationship Id="rId341" Type="http://schemas.openxmlformats.org/officeDocument/2006/relationships/hyperlink" Target="https://arxiv.org/abs/2304.11857" TargetMode="External"/><Relationship Id="rId2261" Type="http://schemas.openxmlformats.org/officeDocument/2006/relationships/hyperlink" Target="https://openaccess.thecvf.com/content/CVPR2021/html/Zou_Learning_To_Reconstruct_High_Speed_and_High_Dynamic_Range_Videos_CVPR_2021_paper.html" TargetMode="External"/><Relationship Id="rId340" Type="http://schemas.openxmlformats.org/officeDocument/2006/relationships/hyperlink" Target="https://arxiv.org/abs/2304.10211" TargetMode="External"/><Relationship Id="rId2262" Type="http://schemas.openxmlformats.org/officeDocument/2006/relationships/hyperlink" Target="https://openaccess.thecvf.com/content/CVPR2021/papers/Jing_Turning_Frequency_to_Resolution_Video_Super-Resolution_via_Event_Cameras_CVPR_2021_paper.pdf" TargetMode="External"/><Relationship Id="rId2263" Type="http://schemas.openxmlformats.org/officeDocument/2006/relationships/hyperlink" Target="https://openaccess.thecvf.com/content/CVPR2021W/AI4Space/papers/Sikorski_Event-Based_Spacecraft_Landing_Using_Time-To-Contact_CVPRW_2021_paper.pdf" TargetMode="External"/><Relationship Id="rId2264" Type="http://schemas.openxmlformats.org/officeDocument/2006/relationships/hyperlink" Target="https://openaccess.thecvf.com/content/CVPR2021W/EventVision/papers/Cannici_N-ROD_A_Neuromorphic_Dataset_for_Synthetic-to-Real_Domain_Adaptation_CVPRW_2021_paper.pdf" TargetMode="External"/><Relationship Id="rId345" Type="http://schemas.openxmlformats.org/officeDocument/2006/relationships/hyperlink" Target="https://arxiv.org/abs/2305.00126" TargetMode="External"/><Relationship Id="rId2265" Type="http://schemas.openxmlformats.org/officeDocument/2006/relationships/hyperlink" Target="https://openaccess.thecvf.com/content/CVPR2022/papers/Liao_Synthetic_Aperture_Imaging_With_Events_and_Frames_CVPR_2022_paper.pdf" TargetMode="External"/><Relationship Id="rId344" Type="http://schemas.openxmlformats.org/officeDocument/2006/relationships/hyperlink" Target="https://arxiv.org/abs/2304.14714" TargetMode="External"/><Relationship Id="rId2266" Type="http://schemas.openxmlformats.org/officeDocument/2006/relationships/hyperlink" Target="https://openaccess.thecvf.com/content/CVPR2022/papers/Zhang_Discrete_Time_Convolution_for_Fast_Event-Based_Stereo_CVPR_2022_paper.pdf" TargetMode="External"/><Relationship Id="rId343" Type="http://schemas.openxmlformats.org/officeDocument/2006/relationships/hyperlink" Target="https://arxiv.org/abs/2304.14688" TargetMode="External"/><Relationship Id="rId2267" Type="http://schemas.openxmlformats.org/officeDocument/2006/relationships/hyperlink" Target="https://openaccess.thecvf.com/content/CVPR2022/papers/Zhou_EvUnroll_Neuromorphic_Events_Based_Rolling_Shutter_Image_Correction_CVPR_2022_paper.pdf" TargetMode="External"/><Relationship Id="rId342" Type="http://schemas.openxmlformats.org/officeDocument/2006/relationships/hyperlink" Target="https://arxiv.org/abs/2304.13455" TargetMode="External"/><Relationship Id="rId2268" Type="http://schemas.openxmlformats.org/officeDocument/2006/relationships/hyperlink" Target="https://openaccess.thecvf.com/content/CVPR2023/papers/Cao_Event-Guided_Person_Re-Identification_via_Sparse-Dense_Complementary_Learning_CVPR_2023_paper.pdf" TargetMode="External"/><Relationship Id="rId2258" Type="http://schemas.openxmlformats.org/officeDocument/2006/relationships/hyperlink" Target="https://openaccess.thecvf.com//content/WACV2025/papers/Weerakoon_NeuroViG_-_Integrating_Event_Cameras_for_Resource-Efficient_Video_Grounding_WACV_2025_paper.pdf" TargetMode="External"/><Relationship Id="rId2259" Type="http://schemas.openxmlformats.org/officeDocument/2006/relationships/hyperlink" Target="https://openaccess.thecvf.com/content/CVPR2021/html/Chen_Indoor_Lighting_Estimation_Using_an_Event_Camera_CVPR_2021_paper.html" TargetMode="External"/><Relationship Id="rId338" Type="http://schemas.openxmlformats.org/officeDocument/2006/relationships/hyperlink" Target="https://arxiv.org/abs/2304.08908" TargetMode="External"/><Relationship Id="rId337" Type="http://schemas.openxmlformats.org/officeDocument/2006/relationships/hyperlink" Target="https://arxiv.org/abs/2304.07543" TargetMode="External"/><Relationship Id="rId336" Type="http://schemas.openxmlformats.org/officeDocument/2006/relationships/hyperlink" Target="https://arxiv.org/abs/2304.07139" TargetMode="External"/><Relationship Id="rId335" Type="http://schemas.openxmlformats.org/officeDocument/2006/relationships/hyperlink" Target="https://arxiv.org/abs/2304.06930" TargetMode="External"/><Relationship Id="rId339" Type="http://schemas.openxmlformats.org/officeDocument/2006/relationships/hyperlink" Target="https://arxiv.org/abs/2304.09793" TargetMode="External"/><Relationship Id="rId330" Type="http://schemas.openxmlformats.org/officeDocument/2006/relationships/hyperlink" Target="https://arxiv.org/abs/2304.04559" TargetMode="External"/><Relationship Id="rId2250" Type="http://schemas.openxmlformats.org/officeDocument/2006/relationships/hyperlink" Target="https://openaccess.thecvf.com//content/ICCV2025/papers/Wan_Event-aided_Dense_and_Continuous_Point_Tracking_Everywhere_and_Anytime_ICCV_2025_paper.pdf" TargetMode="External"/><Relationship Id="rId2251" Type="http://schemas.openxmlformats.org/officeDocument/2006/relationships/hyperlink" Target="https://openaccess.thecvf.com//content/ICCV2025/papers/Wang_SAMPLE_Semantic_Alignment_through_Temporal-Adaptive_Multimodal_Prompt_Learning_for_Event-Based_ICCV_2025_paper.pdf" TargetMode="External"/><Relationship Id="rId2252" Type="http://schemas.openxmlformats.org/officeDocument/2006/relationships/hyperlink" Target="https://openaccess.thecvf.com//content/ICCV2025/papers/Yang_Event-guided_HDR_Reconstruction_with_Diffusion_Priors_ICCV_2025_paper.pdf" TargetMode="External"/><Relationship Id="rId2253" Type="http://schemas.openxmlformats.org/officeDocument/2006/relationships/hyperlink" Target="https://openaccess.thecvf.com//content/ICCV2025/papers/Zhang_Enhanced_Event-based_Dense_Stereo_via_Cross-Sensor_Knowledge_Distillation_ICCV_2025_paper.pdf" TargetMode="External"/><Relationship Id="rId334" Type="http://schemas.openxmlformats.org/officeDocument/2006/relationships/hyperlink" Target="https://arxiv.org/abs/2304.06793" TargetMode="External"/><Relationship Id="rId2254" Type="http://schemas.openxmlformats.org/officeDocument/2006/relationships/hyperlink" Target="https://openaccess.thecvf.com//content/ICCV2025/papers/Zhou_Event-based_Visual_Vibrometry_ICCV_2025_paper.pdf" TargetMode="External"/><Relationship Id="rId333" Type="http://schemas.openxmlformats.org/officeDocument/2006/relationships/hyperlink" Target="https://arxiv.org/abs/2304.06534" TargetMode="External"/><Relationship Id="rId2255" Type="http://schemas.openxmlformats.org/officeDocument/2006/relationships/hyperlink" Target="https://openaccess.thecvf.com//content/ICCV2025/papers/Zhu_Depth_Any_Event_Stream_Enhancing_Event-based_Monocular_Depth_Estimation_via_ICCV_2025_paper.pdf" TargetMode="External"/><Relationship Id="rId332" Type="http://schemas.openxmlformats.org/officeDocument/2006/relationships/hyperlink" Target="https://arxiv.org/abs/2304.06351" TargetMode="External"/><Relationship Id="rId2256" Type="http://schemas.openxmlformats.org/officeDocument/2006/relationships/hyperlink" Target="https://openaccess.thecvf.com//content/ICCV2025/papers/Zhu_Separation_for_Better_Integration_Disentangling_Edge_and_Motion_in_Event-based_ICCV_2025_paper.pdf" TargetMode="External"/><Relationship Id="rId331" Type="http://schemas.openxmlformats.org/officeDocument/2006/relationships/hyperlink" Target="https://arxiv.org/abs/2304.04706" TargetMode="External"/><Relationship Id="rId2257" Type="http://schemas.openxmlformats.org/officeDocument/2006/relationships/hyperlink" Target="https://openaccess.thecvf.com//content/WACV2025/papers/Cho_Unifying_Low-Resolution_and_High-Resolution_Alignment_by_Event_Cameras_for_Space-Time_WACV_2025_paper.pdf" TargetMode="External"/><Relationship Id="rId370" Type="http://schemas.openxmlformats.org/officeDocument/2006/relationships/hyperlink" Target="https://arxiv.org/abs/2307.15829" TargetMode="External"/><Relationship Id="rId369" Type="http://schemas.openxmlformats.org/officeDocument/2006/relationships/hyperlink" Target="https://arxiv.org/abs/2307.14124" TargetMode="External"/><Relationship Id="rId368" Type="http://schemas.openxmlformats.org/officeDocument/2006/relationships/hyperlink" Target="https://arxiv.org/abs/2307.12900" TargetMode="External"/><Relationship Id="rId2280" Type="http://schemas.openxmlformats.org/officeDocument/2006/relationships/hyperlink" Target="https://openaccess.thecvf.com/content/CVPR2024/papers/Jiang_EVS-assisted_Joint_Deblurring_Rolling-Shutter_Correction_and_Video_Frame_Interpolation_through_CVPR_2024_paper.pdf" TargetMode="External"/><Relationship Id="rId2281" Type="http://schemas.openxmlformats.org/officeDocument/2006/relationships/hyperlink" Target="https://openaccess.thecvf.com/content/CVPR2024/papers/Li_3D_Feature_Tracking_via_Event_Camera_CVPR_2024_paper.pdf" TargetMode="External"/><Relationship Id="rId2282" Type="http://schemas.openxmlformats.org/officeDocument/2006/relationships/hyperlink" Target="https://openaccess.thecvf.com/content/CVPR2024/papers/Liu_Video_Frame_Interpolation_via_Direct_Synthesis_with_the_Event-based_Reference_CVPR_2024_paper.pdf" TargetMode="External"/><Relationship Id="rId363" Type="http://schemas.openxmlformats.org/officeDocument/2006/relationships/hyperlink" Target="https://arxiv.org/abs/2306.12073" TargetMode="External"/><Relationship Id="rId2283" Type="http://schemas.openxmlformats.org/officeDocument/2006/relationships/hyperlink" Target="https://openaccess.thecvf.com/content/CVPR2024/papers/Luo_Efficient_Meshflow_and_Optical_Flow_Estimation_from_Event_Cameras_CVPR_2024_paper.pdf" TargetMode="External"/><Relationship Id="rId362" Type="http://schemas.openxmlformats.org/officeDocument/2006/relationships/hyperlink" Target="https://arxiv.org/abs/2306.11546" TargetMode="External"/><Relationship Id="rId2284" Type="http://schemas.openxmlformats.org/officeDocument/2006/relationships/hyperlink" Target="https://openaccess.thecvf.com/content/CVPR2025/papers/Dampfhoffer_Graph_Neural_Network_Combining_Event_Stream_and_Periodic_Aggregation_for_CVPR_2025_paper.pdf" TargetMode="External"/><Relationship Id="rId361" Type="http://schemas.openxmlformats.org/officeDocument/2006/relationships/hyperlink" Target="https://arxiv.org/abs/2306.06354" TargetMode="External"/><Relationship Id="rId2285" Type="http://schemas.openxmlformats.org/officeDocument/2006/relationships/hyperlink" Target="https://openaccess.thecvf.com/content/CVPR2025/papers/Li_Active_Event-based_Stereo_Vision_CVPR_2025_paper.pdf" TargetMode="External"/><Relationship Id="rId360" Type="http://schemas.openxmlformats.org/officeDocument/2006/relationships/hyperlink" Target="https://arxiv.org/abs/2306.05103" TargetMode="External"/><Relationship Id="rId2286" Type="http://schemas.openxmlformats.org/officeDocument/2006/relationships/hyperlink" Target="https://openaccess.thecvf.com/content/CVPR2025/papers/Liu_EDCFlow_Exploring_Temporally_Dense_Difference_Maps_for_Event-based_Optical_Flow_CVPR_2025_paper.pdf" TargetMode="External"/><Relationship Id="rId367" Type="http://schemas.openxmlformats.org/officeDocument/2006/relationships/hyperlink" Target="https://arxiv.org/abs/2307.08228" TargetMode="External"/><Relationship Id="rId2287" Type="http://schemas.openxmlformats.org/officeDocument/2006/relationships/hyperlink" Target="https://openaccess.thecvf.com/content/CVPR2025/papers/Xie_Diffusion-based_Event_Generation_for_High-Quality_Image_Deblurring_CVPR_2025_paper.pdf" TargetMode="External"/><Relationship Id="rId366" Type="http://schemas.openxmlformats.org/officeDocument/2006/relationships/hyperlink" Target="https://arxiv.org/abs/2307.04129" TargetMode="External"/><Relationship Id="rId2288" Type="http://schemas.openxmlformats.org/officeDocument/2006/relationships/hyperlink" Target="https://openaccess.thecvf.com/content/CVPR2025W/EventVision/html/Aitsam_Event-Driven_Dynamic_Attention_for_Multi-Object_Tracking_on_Neuromorphic_Hardware_CVPRW_2025_paper.html" TargetMode="External"/><Relationship Id="rId365" Type="http://schemas.openxmlformats.org/officeDocument/2006/relationships/hyperlink" Target="https://arxiv.org/abs/2307.01047" TargetMode="External"/><Relationship Id="rId2289" Type="http://schemas.openxmlformats.org/officeDocument/2006/relationships/hyperlink" Target="https://openaccess.thecvf.com/content/CVPR2025W/EventVision/html/Bose_Demo__Point-Feature_Tracking_for_Pixel_Processor_Arrays_CVPRW_2025_paper.html" TargetMode="External"/><Relationship Id="rId364" Type="http://schemas.openxmlformats.org/officeDocument/2006/relationships/hyperlink" Target="https://arxiv.org/abs/2306.15507" TargetMode="External"/><Relationship Id="rId95" Type="http://schemas.openxmlformats.org/officeDocument/2006/relationships/hyperlink" Target="http://rpg.ifi.uzh.ch/docs/CORL18_Rebecq.pdf" TargetMode="External"/><Relationship Id="rId94" Type="http://schemas.openxmlformats.org/officeDocument/2006/relationships/hyperlink" Target="http://rpg.ifi.uzh.ch/docs/BMVC17_Rebecq.pdf" TargetMode="External"/><Relationship Id="rId97" Type="http://schemas.openxmlformats.org/officeDocument/2006/relationships/hyperlink" Target="http://rpg.ifi.uzh.ch/docs/CVPR20_Gehrig.pdf" TargetMode="External"/><Relationship Id="rId96" Type="http://schemas.openxmlformats.org/officeDocument/2006/relationships/hyperlink" Target="http://rpg.ifi.uzh.ch/docs/CVPR19_Rebecq.pdf" TargetMode="External"/><Relationship Id="rId99" Type="http://schemas.openxmlformats.org/officeDocument/2006/relationships/hyperlink" Target="http://rpg.ifi.uzh.ch/docs/ECCV18_Gehrig.pdf" TargetMode="External"/><Relationship Id="rId98" Type="http://schemas.openxmlformats.org/officeDocument/2006/relationships/hyperlink" Target="http://rpg.ifi.uzh.ch/docs/CVPRW19_Scheerlinck.pdf" TargetMode="External"/><Relationship Id="rId91" Type="http://schemas.openxmlformats.org/officeDocument/2006/relationships/hyperlink" Target="http://rpg.ifi.uzh.ch/CVPR19_event_vision_workshop_files/docs/2019CVPRW_Star_Tracking_using_an_Event_Camera.pdf" TargetMode="External"/><Relationship Id="rId90" Type="http://schemas.openxmlformats.org/officeDocument/2006/relationships/hyperlink" Target="http://rpg.ifi.uzh.ch/CVPR19_event_vision_workshop_files/docs/2019CVPRW_Real-Time_6DOF_Pose_Relocalization_for_Event_Cameras.pdf" TargetMode="External"/><Relationship Id="rId93" Type="http://schemas.openxmlformats.org/officeDocument/2006/relationships/hyperlink" Target="http://rpg.ifi.uzh.ch/docs/BMVC17_Mueggler.pdf" TargetMode="External"/><Relationship Id="rId92" Type="http://schemas.openxmlformats.org/officeDocument/2006/relationships/hyperlink" Target="http://rpg.ifi.uzh.ch/davis_data.html" TargetMode="External"/><Relationship Id="rId359" Type="http://schemas.openxmlformats.org/officeDocument/2006/relationships/hyperlink" Target="https://arxiv.org/abs/2306.03369" TargetMode="External"/><Relationship Id="rId358" Type="http://schemas.openxmlformats.org/officeDocument/2006/relationships/hyperlink" Target="https://arxiv.org/abs/2306.01891" TargetMode="External"/><Relationship Id="rId357" Type="http://schemas.openxmlformats.org/officeDocument/2006/relationships/hyperlink" Target="https://arxiv.org/abs/2306.01188" TargetMode="External"/><Relationship Id="rId2270" Type="http://schemas.openxmlformats.org/officeDocument/2006/relationships/hyperlink" Target="https://openaccess.thecvf.com/content/CVPR2023/papers/Erbach_EvShutter_Transforming_Events_for_Unconstrained_Rolling_Shutter_Correction_CVPR_2023_paper.pdf" TargetMode="External"/><Relationship Id="rId2271" Type="http://schemas.openxmlformats.org/officeDocument/2006/relationships/hyperlink" Target="https://openaccess.thecvf.com/content/CVPR2023/papers/Hamaguchi_Hierarchical_Neural_Memory_Network_for_Low_Latency_Event_Processing_CVPR_2023_paper.pdf" TargetMode="External"/><Relationship Id="rId352" Type="http://schemas.openxmlformats.org/officeDocument/2006/relationships/hyperlink" Target="https://arxiv.org/abs/2305.10198" TargetMode="External"/><Relationship Id="rId2272" Type="http://schemas.openxmlformats.org/officeDocument/2006/relationships/hyperlink" Target="https://openaccess.thecvf.com/content/CVPR2023/papers/Huang_Progressive_Spatio-Temporal_Alignment_for_Efficient_Event-Based_Motion_Estimation_CVPR_2023_paper.pdf" TargetMode="External"/><Relationship Id="rId351" Type="http://schemas.openxmlformats.org/officeDocument/2006/relationships/hyperlink" Target="https://arxiv.org/abs/2305.08962" TargetMode="External"/><Relationship Id="rId2273" Type="http://schemas.openxmlformats.org/officeDocument/2006/relationships/hyperlink" Target="https://openaccess.thecvf.com/content/CVPR2023/papers/Lou_All-in-Focus_Imaging_From_Event_Focal_Stack_CVPR_2023_paper.pdf" TargetMode="External"/><Relationship Id="rId350" Type="http://schemas.openxmlformats.org/officeDocument/2006/relationships/hyperlink" Target="https://arxiv.org/abs/2305.07853" TargetMode="External"/><Relationship Id="rId2274" Type="http://schemas.openxmlformats.org/officeDocument/2006/relationships/hyperlink" Target="https://openaccess.thecvf.com/content/CVPR2023/papers/Mei_Deep_Polarization_Reconstruction_With_PDAVIS_Events_CVPR_2023_paper.pdf" TargetMode="External"/><Relationship Id="rId2275" Type="http://schemas.openxmlformats.org/officeDocument/2006/relationships/hyperlink" Target="https://openaccess.thecvf.com/content/CVPR2023/papers/Nagata_Tangentially_Elongated_Gaussian_Belief_Propagation_for_Event-Based_Incremental_Optical_Flow_CVPR_2023_paper.pdf" TargetMode="External"/><Relationship Id="rId356" Type="http://schemas.openxmlformats.org/officeDocument/2006/relationships/hyperlink" Target="https://arxiv.org/abs/2305.18371" TargetMode="External"/><Relationship Id="rId2276" Type="http://schemas.openxmlformats.org/officeDocument/2006/relationships/hyperlink" Target="https://openaccess.thecvf.com/content/CVPR2023/papers/Yang_Learning_Event_Guided_High_Dynamic_Range_Video_Reconstruction_CVPR_2023_paper.pdf" TargetMode="External"/><Relationship Id="rId355" Type="http://schemas.openxmlformats.org/officeDocument/2006/relationships/hyperlink" Target="https://arxiv.org/abs/2305.18008" TargetMode="External"/><Relationship Id="rId2277" Type="http://schemas.openxmlformats.org/officeDocument/2006/relationships/hyperlink" Target="https://openaccess.thecvf.com/content/CVPR2023/papers/Zhang_Frame-Event_Alignment_and_Fusion_Network_for_High_Frame_Rate_Tracking_CVPR_2023_paper.pdf" TargetMode="External"/><Relationship Id="rId354" Type="http://schemas.openxmlformats.org/officeDocument/2006/relationships/hyperlink" Target="https://arxiv.org/abs/2305.15078" TargetMode="External"/><Relationship Id="rId2278" Type="http://schemas.openxmlformats.org/officeDocument/2006/relationships/hyperlink" Target="https://openaccess.thecvf.com/content/CVPR2023/supplemental/Han_High-Fidelity_Event-Radiance_Recovery_CVPR_2023_supplemental.pdf" TargetMode="External"/><Relationship Id="rId353" Type="http://schemas.openxmlformats.org/officeDocument/2006/relationships/hyperlink" Target="https://arxiv.org/abs/2305.14392" TargetMode="External"/><Relationship Id="rId2279" Type="http://schemas.openxmlformats.org/officeDocument/2006/relationships/hyperlink" Target="https://openaccess.thecvf.com/content/CVPR2024/papers/Gao_SD2EventSelf-supervised_Learning_of_Dynamic_Detectors_and_Contextual_Descriptors_for_Event_CVPR_2024_paper.pdf" TargetMode="External"/><Relationship Id="rId2225" Type="http://schemas.openxmlformats.org/officeDocument/2006/relationships/hyperlink" Target="https://ojs.aaai.org/index.php/AAAI/article/view/32154/34309" TargetMode="External"/><Relationship Id="rId2226" Type="http://schemas.openxmlformats.org/officeDocument/2006/relationships/hyperlink" Target="https://ojs.aaai.org/index.php/AAAI/article/view/32237/34392" TargetMode="External"/><Relationship Id="rId2227" Type="http://schemas.openxmlformats.org/officeDocument/2006/relationships/hyperlink" Target="https://ojs.aaai.org/index.php/AAAI/article/view/32238/34393" TargetMode="External"/><Relationship Id="rId2228" Type="http://schemas.openxmlformats.org/officeDocument/2006/relationships/hyperlink" Target="https://ojs.aaai.org/index.php/AAAI/article/view/32292/34447" TargetMode="External"/><Relationship Id="rId2229" Type="http://schemas.openxmlformats.org/officeDocument/2006/relationships/hyperlink" Target="https://ojs.aaai.org/index.php/AAAI/article/view/32508/34663" TargetMode="External"/><Relationship Id="rId305" Type="http://schemas.openxmlformats.org/officeDocument/2006/relationships/hyperlink" Target="https://arxiv.org/abs/2303.00308" TargetMode="External"/><Relationship Id="rId304" Type="http://schemas.openxmlformats.org/officeDocument/2006/relationships/hyperlink" Target="https://arxiv.org/abs/2302.14444" TargetMode="External"/><Relationship Id="rId303" Type="http://schemas.openxmlformats.org/officeDocument/2006/relationships/hyperlink" Target="https://arxiv.org/abs/2302.14430" TargetMode="External"/><Relationship Id="rId302" Type="http://schemas.openxmlformats.org/officeDocument/2006/relationships/hyperlink" Target="https://arxiv.org/abs/2302.13796" TargetMode="External"/><Relationship Id="rId309" Type="http://schemas.openxmlformats.org/officeDocument/2006/relationships/hyperlink" Target="https://arxiv.org/abs/2303.03856" TargetMode="External"/><Relationship Id="rId308" Type="http://schemas.openxmlformats.org/officeDocument/2006/relationships/hyperlink" Target="https://arxiv.org/abs/2303.02862" TargetMode="External"/><Relationship Id="rId307" Type="http://schemas.openxmlformats.org/officeDocument/2006/relationships/hyperlink" Target="https://arxiv.org/abs/2303.02672" TargetMode="External"/><Relationship Id="rId306" Type="http://schemas.openxmlformats.org/officeDocument/2006/relationships/hyperlink" Target="https://arxiv.org/abs/2303.02025" TargetMode="External"/><Relationship Id="rId2220" Type="http://schemas.openxmlformats.org/officeDocument/2006/relationships/hyperlink" Target="https://nfr-icra26.fcladera.com" TargetMode="External"/><Relationship Id="rId301" Type="http://schemas.openxmlformats.org/officeDocument/2006/relationships/hyperlink" Target="https://arxiv.org/abs/2302.08890" TargetMode="External"/><Relationship Id="rId2221" Type="http://schemas.openxmlformats.org/officeDocument/2006/relationships/hyperlink" Target="https://nips.cc/virtual/2023/79294" TargetMode="External"/><Relationship Id="rId300" Type="http://schemas.openxmlformats.org/officeDocument/2006/relationships/hyperlink" Target="https://arxiv.org/abs/2302.07957" TargetMode="External"/><Relationship Id="rId2222" Type="http://schemas.openxmlformats.org/officeDocument/2006/relationships/hyperlink" Target="https://npucvr.github.io/RPEFlow/" TargetMode="External"/><Relationship Id="rId2223" Type="http://schemas.openxmlformats.org/officeDocument/2006/relationships/hyperlink" Target="https://ojs.aaai.org/index.php/AAAI/article/view/16171" TargetMode="External"/><Relationship Id="rId2224" Type="http://schemas.openxmlformats.org/officeDocument/2006/relationships/hyperlink" Target="https://ojs.aaai.org/index.php/AAAI/article/view/30545" TargetMode="External"/><Relationship Id="rId2214" Type="http://schemas.openxmlformats.org/officeDocument/2006/relationships/hyperlink" Target="https://neural-fields-beyond-cams.github.io/accepted_papers/15.pdf" TargetMode="External"/><Relationship Id="rId2215" Type="http://schemas.openxmlformats.org/officeDocument/2006/relationships/hyperlink" Target="https://neurips.cc/virtual/2023/poster/69919" TargetMode="External"/><Relationship Id="rId2216" Type="http://schemas.openxmlformats.org/officeDocument/2006/relationships/hyperlink" Target="https://neurips.cc/virtual/2023/poster/69938" TargetMode="External"/><Relationship Id="rId2217" Type="http://schemas.openxmlformats.org/officeDocument/2006/relationships/hyperlink" Target="https://neurips.cc/virtual/2023/poster/73538" TargetMode="External"/><Relationship Id="rId2218" Type="http://schemas.openxmlformats.org/officeDocument/2006/relationships/hyperlink" Target="https://neuromorphicrobotics.com/" TargetMode="External"/><Relationship Id="rId2219" Type="http://schemas.openxmlformats.org/officeDocument/2006/relationships/hyperlink" Target="https://news.ycombinator.com/item?id=28895747" TargetMode="External"/><Relationship Id="rId2210" Type="http://schemas.openxmlformats.org/officeDocument/2006/relationships/hyperlink" Target="https://medium.com/tangram-visions/event-cameras-where-are-they-now-293343754bfd" TargetMode="External"/><Relationship Id="rId2211" Type="http://schemas.openxmlformats.org/officeDocument/2006/relationships/hyperlink" Target="https://microsoft.github.io/AirSim/event_sim" TargetMode="External"/><Relationship Id="rId2212" Type="http://schemas.openxmlformats.org/officeDocument/2006/relationships/hyperlink" Target="https://nail-hnu.github.io/EvSLAM/index.html" TargetMode="External"/><Relationship Id="rId2213" Type="http://schemas.openxmlformats.org/officeDocument/2006/relationships/hyperlink" Target="https://nanocad.ee.ucla.edu/" TargetMode="External"/><Relationship Id="rId2247" Type="http://schemas.openxmlformats.org/officeDocument/2006/relationships/hyperlink" Target="https://openaccess.thecvf.com//content/ICCV2025/papers/Meng_Diffusion-Based_Extreme_High-speed_Scenes_Reconstruction_with_the_Complementary_Vision_Sensor_ICCV_2025_paper.pdf" TargetMode="External"/><Relationship Id="rId2248" Type="http://schemas.openxmlformats.org/officeDocument/2006/relationships/hyperlink" Target="https://openaccess.thecvf.com//content/ICCV2025/papers/Sun_EVDM_Event-based_Real-world_Video_Deblurring_with_Mamba_ICCV_2025_paper.pdf" TargetMode="External"/><Relationship Id="rId2249" Type="http://schemas.openxmlformats.org/officeDocument/2006/relationships/hyperlink" Target="https://openaccess.thecvf.com//content/ICCV2025/papers/Torbunov_EvRT-DETR_Latent_Space_Adaptation_of_Image_Detectors_for_Event-based_Vision_ICCV_2025_paper.pdf" TargetMode="External"/><Relationship Id="rId327" Type="http://schemas.openxmlformats.org/officeDocument/2006/relationships/hyperlink" Target="https://arxiv.org/abs/2304.03494" TargetMode="External"/><Relationship Id="rId326" Type="http://schemas.openxmlformats.org/officeDocument/2006/relationships/hyperlink" Target="https://arxiv.org/abs/2304.02695" TargetMode="External"/><Relationship Id="rId325" Type="http://schemas.openxmlformats.org/officeDocument/2006/relationships/hyperlink" Target="https://arxiv.org/abs/2303.17479" TargetMode="External"/><Relationship Id="rId324" Type="http://schemas.openxmlformats.org/officeDocument/2006/relationships/hyperlink" Target="https://arxiv.org/abs/2303.14114" TargetMode="External"/><Relationship Id="rId329" Type="http://schemas.openxmlformats.org/officeDocument/2006/relationships/hyperlink" Target="https://arxiv.org/abs/2304.04108" TargetMode="External"/><Relationship Id="rId328" Type="http://schemas.openxmlformats.org/officeDocument/2006/relationships/hyperlink" Target="https://arxiv.org/abs/2304.04019" TargetMode="External"/><Relationship Id="rId2240" Type="http://schemas.openxmlformats.org/officeDocument/2006/relationships/hyperlink" Target="https://openaccess.thecvf.com//content/ICCV2025/papers/Baek_EVOLVE_Event-Guided_Deformable_Feature_Transfer_and_Dual-Memory_Refinement_for_Low-Light_ICCV_2025_paper.pdf" TargetMode="External"/><Relationship Id="rId2241" Type="http://schemas.openxmlformats.org/officeDocument/2006/relationships/hyperlink" Target="https://openaccess.thecvf.com//content/ICCV2025/papers/Cao_Exploiting_Frequency_Dynamics_for_Enhanced_Multimodal_Event-based_Action_Recognition_ICCV_2025_paper.pdf" TargetMode="External"/><Relationship Id="rId2242" Type="http://schemas.openxmlformats.org/officeDocument/2006/relationships/hyperlink" Target="https://openaccess.thecvf.com//content/ICCV2025/papers/Han_MATE_Motion-Augmented_Temporal_Consistency_for_Event-based_Point_Tracking_ICCV_2025_paper.pdf" TargetMode="External"/><Relationship Id="rId323" Type="http://schemas.openxmlformats.org/officeDocument/2006/relationships/hyperlink" Target="https://arxiv.org/abs/2303.13767" TargetMode="External"/><Relationship Id="rId2243" Type="http://schemas.openxmlformats.org/officeDocument/2006/relationships/hyperlink" Target="https://openaccess.thecvf.com//content/ICCV2025/papers/Kim_Event-guided_Unified_Framework_for_Low-light_Video_Enhancement_Frame_Interpolation_and_ICCV_2025_paper.pdf" TargetMode="External"/><Relationship Id="rId322" Type="http://schemas.openxmlformats.org/officeDocument/2006/relationships/hyperlink" Target="https://arxiv.org/abs/2303.13077" TargetMode="External"/><Relationship Id="rId2244" Type="http://schemas.openxmlformats.org/officeDocument/2006/relationships/hyperlink" Target="https://openaccess.thecvf.com//content/ICCV2025/papers/Liang_Efficient_Event_Camera_Data_Pretraining_with_Adaptive_Prompt_Fusion_ICCV_2025_paper.pdf" TargetMode="External"/><Relationship Id="rId321" Type="http://schemas.openxmlformats.org/officeDocument/2006/relationships/hyperlink" Target="https://arxiv.org/abs/2303.12424" TargetMode="External"/><Relationship Id="rId2245" Type="http://schemas.openxmlformats.org/officeDocument/2006/relationships/hyperlink" Target="https://openaccess.thecvf.com//content/ICCV2025/papers/Liang_EventUPS_Uncalibrated_Photometric_Stereo_Using_an_Event_Camera_ICCV_2025_paper.pdf" TargetMode="External"/><Relationship Id="rId320" Type="http://schemas.openxmlformats.org/officeDocument/2006/relationships/hyperlink" Target="https://arxiv.org/abs/2303.10770" TargetMode="External"/><Relationship Id="rId2246" Type="http://schemas.openxmlformats.org/officeDocument/2006/relationships/hyperlink" Target="https://openaccess.thecvf.com//content/ICCV2025/papers/Liu_E-NeMF_Event-based_Neural_Motion_Field_for_Novel_Space-time_View_Synthesis_ICCV_2025_paper.pdf" TargetMode="External"/><Relationship Id="rId2236" Type="http://schemas.openxmlformats.org/officeDocument/2006/relationships/hyperlink" Target="https://onlinelibrary.wiley.com/doi/abs/10.1002/advs.202304355" TargetMode="External"/><Relationship Id="rId2237" Type="http://schemas.openxmlformats.org/officeDocument/2006/relationships/hyperlink" Target="https://open-neuromorphic.org/blog/strategic-vision-open-neuromorphic" TargetMode="External"/><Relationship Id="rId2238" Type="http://schemas.openxmlformats.org/officeDocument/2006/relationships/hyperlink" Target="https://openaccess.thecvf.com//content/CVPR2025/papers/Yu_Active_Hyperspectral_Imaging_Using_an_Event_Camera_CVPR_2025_paper.pdf" TargetMode="External"/><Relationship Id="rId2239" Type="http://schemas.openxmlformats.org/officeDocument/2006/relationships/hyperlink" Target="https://openaccess.thecvf.com//content/CVPR2025/papers/Yu_EventPSR_Surface_Normal_and_Reflectance_Estimation_from_Photometric_Stereo_Using_CVPR_2025_paper.pdf" TargetMode="External"/><Relationship Id="rId316" Type="http://schemas.openxmlformats.org/officeDocument/2006/relationships/hyperlink" Target="https://arxiv.org/abs/2303.09681" TargetMode="External"/><Relationship Id="rId315" Type="http://schemas.openxmlformats.org/officeDocument/2006/relationships/hyperlink" Target="https://arxiv.org/abs/2303.08977" TargetMode="External"/><Relationship Id="rId314" Type="http://schemas.openxmlformats.org/officeDocument/2006/relationships/hyperlink" Target="https://arxiv.org/abs/2303.07716" TargetMode="External"/><Relationship Id="rId313" Type="http://schemas.openxmlformats.org/officeDocument/2006/relationships/hyperlink" Target="https://arxiv.org/abs/2303.07609" TargetMode="External"/><Relationship Id="rId319" Type="http://schemas.openxmlformats.org/officeDocument/2006/relationships/hyperlink" Target="https://arxiv.org/abs/2303.10632" TargetMode="External"/><Relationship Id="rId318" Type="http://schemas.openxmlformats.org/officeDocument/2006/relationships/hyperlink" Target="https://arxiv.org/abs/2303.10575" TargetMode="External"/><Relationship Id="rId317" Type="http://schemas.openxmlformats.org/officeDocument/2006/relationships/hyperlink" Target="https://arxiv.org/abs/2303.09919" TargetMode="External"/><Relationship Id="rId2230" Type="http://schemas.openxmlformats.org/officeDocument/2006/relationships/hyperlink" Target="https://ojs.aaai.org/index.php/AAAI/article/view/32967/35122" TargetMode="External"/><Relationship Id="rId2231" Type="http://schemas.openxmlformats.org/officeDocument/2006/relationships/hyperlink" Target="https://ojs.aaai.org/index.php/AAAI/article/view/32983/35138" TargetMode="External"/><Relationship Id="rId312" Type="http://schemas.openxmlformats.org/officeDocument/2006/relationships/hyperlink" Target="https://arxiv.org/abs/2303.07169" TargetMode="External"/><Relationship Id="rId2232" Type="http://schemas.openxmlformats.org/officeDocument/2006/relationships/hyperlink" Target="https://ojs.aaai.org/index.php/AAAI/article/view/33003/35158" TargetMode="External"/><Relationship Id="rId311" Type="http://schemas.openxmlformats.org/officeDocument/2006/relationships/hyperlink" Target="https://arxiv.org/abs/2303.05214" TargetMode="External"/><Relationship Id="rId2233" Type="http://schemas.openxmlformats.org/officeDocument/2006/relationships/hyperlink" Target="https://ojs.aaai.org/index.php/AAAI/article/view/33005/35160" TargetMode="External"/><Relationship Id="rId310" Type="http://schemas.openxmlformats.org/officeDocument/2006/relationships/hyperlink" Target="https://arxiv.org/abs/2303.04670" TargetMode="External"/><Relationship Id="rId2234" Type="http://schemas.openxmlformats.org/officeDocument/2006/relationships/hyperlink" Target="https://ojs.aaai.org/index.php/AAAI/article/view/33141/35296" TargetMode="External"/><Relationship Id="rId2235" Type="http://schemas.openxmlformats.org/officeDocument/2006/relationships/hyperlink" Target="https://omilab.naist.jp/papers/MIRU2024-IS-2-114.pdf" TargetMode="External"/><Relationship Id="rId297" Type="http://schemas.openxmlformats.org/officeDocument/2006/relationships/hyperlink" Target="https://arxiv.org/abs/2301.06855" TargetMode="External"/><Relationship Id="rId296" Type="http://schemas.openxmlformats.org/officeDocument/2006/relationships/hyperlink" Target="https://arxiv.org/abs/2301.06648" TargetMode="External"/><Relationship Id="rId295" Type="http://schemas.openxmlformats.org/officeDocument/2006/relationships/hyperlink" Target="https://arxiv.org/abs/2301.05191" TargetMode="External"/><Relationship Id="rId294" Type="http://schemas.openxmlformats.org/officeDocument/2006/relationships/hyperlink" Target="https://arxiv.org/abs/2301.00618" TargetMode="External"/><Relationship Id="rId299" Type="http://schemas.openxmlformats.org/officeDocument/2006/relationships/hyperlink" Target="https://arxiv.org/abs/2302.07667" TargetMode="External"/><Relationship Id="rId298" Type="http://schemas.openxmlformats.org/officeDocument/2006/relationships/hyperlink" Target="https://arxiv.org/abs/2302.06279" TargetMode="External"/><Relationship Id="rId271" Type="http://schemas.openxmlformats.org/officeDocument/2006/relationships/hyperlink" Target="https://arxiv.org/abs/2210.08927" TargetMode="External"/><Relationship Id="rId270" Type="http://schemas.openxmlformats.org/officeDocument/2006/relationships/hyperlink" Target="https://arxiv.org/abs/2210.06270" TargetMode="External"/><Relationship Id="rId269" Type="http://schemas.openxmlformats.org/officeDocument/2006/relationships/hyperlink" Target="https://arxiv.org/abs/2210.00975" TargetMode="External"/><Relationship Id="rId264" Type="http://schemas.openxmlformats.org/officeDocument/2006/relationships/hyperlink" Target="https://arxiv.org/abs/2209.09359" TargetMode="External"/><Relationship Id="rId263" Type="http://schemas.openxmlformats.org/officeDocument/2006/relationships/hyperlink" Target="https://arxiv.org/abs/2209.07034" TargetMode="External"/><Relationship Id="rId262" Type="http://schemas.openxmlformats.org/officeDocument/2006/relationships/hyperlink" Target="https://arxiv.org/abs/2209.04634" TargetMode="External"/><Relationship Id="rId261" Type="http://schemas.openxmlformats.org/officeDocument/2006/relationships/hyperlink" Target="https://arxiv.org/abs/2209.02205" TargetMode="External"/><Relationship Id="rId268" Type="http://schemas.openxmlformats.org/officeDocument/2006/relationships/hyperlink" Target="https://arxiv.org/abs/2209.14915" TargetMode="External"/><Relationship Id="rId267" Type="http://schemas.openxmlformats.org/officeDocument/2006/relationships/hyperlink" Target="https://arxiv.org/abs/2209.13300" TargetMode="External"/><Relationship Id="rId266" Type="http://schemas.openxmlformats.org/officeDocument/2006/relationships/hyperlink" Target="https://arxiv.org/abs/2209.11945" TargetMode="External"/><Relationship Id="rId265" Type="http://schemas.openxmlformats.org/officeDocument/2006/relationships/hyperlink" Target="https://arxiv.org/abs/2209.10385" TargetMode="External"/><Relationship Id="rId260" Type="http://schemas.openxmlformats.org/officeDocument/2006/relationships/hyperlink" Target="https://arxiv.org/abs/2209.02000" TargetMode="External"/><Relationship Id="rId259" Type="http://schemas.openxmlformats.org/officeDocument/2006/relationships/hyperlink" Target="https://arxiv.org/abs/2209.01080" TargetMode="External"/><Relationship Id="rId258" Type="http://schemas.openxmlformats.org/officeDocument/2006/relationships/hyperlink" Target="https://arxiv.org/abs/2208.11865" TargetMode="External"/><Relationship Id="rId2290" Type="http://schemas.openxmlformats.org/officeDocument/2006/relationships/hyperlink" Target="https://openaccess.thecvf.com/content/CVPR2025W/EventVision/html/Bulzomi_Real-Time_Pedestrian_Detection_at_the_Edge_on_a_Fully_Asynchronous_CVPRW_2025_paper.html" TargetMode="External"/><Relationship Id="rId2291" Type="http://schemas.openxmlformats.org/officeDocument/2006/relationships/hyperlink" Target="https://openaccess.thecvf.com/content/CVPR2025W/EventVision/html/Cladera_Looking_into_the_Shadow_Recording_a_Total_Solar_Eclipse_with_CVPRW_2025_paper.html" TargetMode="External"/><Relationship Id="rId2292" Type="http://schemas.openxmlformats.org/officeDocument/2006/relationships/hyperlink" Target="https://openaccess.thecvf.com/content/CVPR2025W/EventVision/html/Hoffmann_Live_Demonstration_NeuroTouch_-_A_Neuromorphic_Vision-based_Tactile_Sensor_for_CVPRW_2025_paper.html" TargetMode="External"/><Relationship Id="rId2293" Type="http://schemas.openxmlformats.org/officeDocument/2006/relationships/hyperlink" Target="https://openaccess.thecvf.com/content/CVPR2025W/EventVision/html/Sengupta_Quadrocular_Neuromorphic_Stereo_Triangulation_and_Asynchronous_Data_Fusion_for_3D_CVPRW_2025_paper.html" TargetMode="External"/><Relationship Id="rId253" Type="http://schemas.openxmlformats.org/officeDocument/2006/relationships/hyperlink" Target="https://arxiv.org/abs/2207.09108" TargetMode="External"/><Relationship Id="rId2294" Type="http://schemas.openxmlformats.org/officeDocument/2006/relationships/hyperlink" Target="https://openaccess.thecvf.com/content/CVPR2025W/EventVision/html/Shiba_Augmented_Reality_Applications_Using_Active_Markers_With_An_Event_Camera_CVPRW_2025_paper.html" TargetMode="External"/><Relationship Id="rId252" Type="http://schemas.openxmlformats.org/officeDocument/2006/relationships/hyperlink" Target="https://arxiv.org/abs/2207.01009" TargetMode="External"/><Relationship Id="rId2295" Type="http://schemas.openxmlformats.org/officeDocument/2006/relationships/hyperlink" Target="https://openaccess.thecvf.com/content/CVPR2025W/EventVision/html/Tang_E-BARF_Bundle_Adjusting_Neural_Radiance_Fields_from_a_Moving_Event_CVPRW_2025_paper.html" TargetMode="External"/><Relationship Id="rId251" Type="http://schemas.openxmlformats.org/officeDocument/2006/relationships/hyperlink" Target="https://arxiv.org/abs/2206.13673" TargetMode="External"/><Relationship Id="rId2296" Type="http://schemas.openxmlformats.org/officeDocument/2006/relationships/hyperlink" Target="https://openaccess.thecvf.com/content/CVPR2025W/EventVision/html/Valerdi_Best_Linear_Unbiased_Estimation_for_2D_and_3D_Flow_with_CVPRW_2025_paper.html" TargetMode="External"/><Relationship Id="rId250" Type="http://schemas.openxmlformats.org/officeDocument/2006/relationships/hyperlink" Target="https://arxiv.org/abs/2206.11896" TargetMode="External"/><Relationship Id="rId2297" Type="http://schemas.openxmlformats.org/officeDocument/2006/relationships/hyperlink" Target="https://openaccess.thecvf.com/content/CVPR2025W/EventVision/html/Wu_BRAT_Bidirectional_Relative_Positional_Attention_Transformer_for_Event-based_Eye_tracking_CVPRW_2025_paper.html" TargetMode="External"/><Relationship Id="rId257" Type="http://schemas.openxmlformats.org/officeDocument/2006/relationships/hyperlink" Target="https://arxiv.org/abs/2208.11602" TargetMode="External"/><Relationship Id="rId2298" Type="http://schemas.openxmlformats.org/officeDocument/2006/relationships/hyperlink" Target="https://openaccess.thecvf.com/content/CVPR2025W/EventVision/html/Wzorek_Live_Demonstration_Real-time_event-data_processing_with_Graph_Convolutional_Neural_Networks_CVPRW_2025_paper.html" TargetMode="External"/><Relationship Id="rId256" Type="http://schemas.openxmlformats.org/officeDocument/2006/relationships/hyperlink" Target="https://arxiv.org/abs/2208.11300" TargetMode="External"/><Relationship Id="rId2299" Type="http://schemas.openxmlformats.org/officeDocument/2006/relationships/hyperlink" Target="https://openaccess.thecvf.com/content/CVPR2025W/EventVision/html/Zhang_Event-based_Tracking_and_Imaging_of_Randomly_Moving_Objects_in_Dense_CVPRW_2025_paper.html" TargetMode="External"/><Relationship Id="rId255" Type="http://schemas.openxmlformats.org/officeDocument/2006/relationships/hyperlink" Target="https://arxiv.org/abs/2208.09127" TargetMode="External"/><Relationship Id="rId254" Type="http://schemas.openxmlformats.org/officeDocument/2006/relationships/hyperlink" Target="https://arxiv.org/abs/2207.10720" TargetMode="External"/><Relationship Id="rId293" Type="http://schemas.openxmlformats.org/officeDocument/2006/relationships/hyperlink" Target="https://arxiv.org/abs/2212.12218.pdf" TargetMode="External"/><Relationship Id="rId292" Type="http://schemas.openxmlformats.org/officeDocument/2006/relationships/hyperlink" Target="https://arxiv.org/abs/2212.10368" TargetMode="External"/><Relationship Id="rId291" Type="http://schemas.openxmlformats.org/officeDocument/2006/relationships/hyperlink" Target="https://arxiv.org/abs/2212.08384" TargetMode="External"/><Relationship Id="rId290" Type="http://schemas.openxmlformats.org/officeDocument/2006/relationships/hyperlink" Target="https://arxiv.org/abs/2212.07181" TargetMode="External"/><Relationship Id="rId286" Type="http://schemas.openxmlformats.org/officeDocument/2006/relationships/hyperlink" Target="https://arxiv.org/abs/2211.13726v3" TargetMode="External"/><Relationship Id="rId285" Type="http://schemas.openxmlformats.org/officeDocument/2006/relationships/hyperlink" Target="https://arxiv.org/abs/2211.12826" TargetMode="External"/><Relationship Id="rId284" Type="http://schemas.openxmlformats.org/officeDocument/2006/relationships/hyperlink" Target="https://arxiv.org/abs/2211.12324" TargetMode="External"/><Relationship Id="rId283" Type="http://schemas.openxmlformats.org/officeDocument/2006/relationships/hyperlink" Target="https://arxiv.org/abs/2211.12244" TargetMode="External"/><Relationship Id="rId289" Type="http://schemas.openxmlformats.org/officeDocument/2006/relationships/hyperlink" Target="https://arxiv.org/abs/2212.03177" TargetMode="External"/><Relationship Id="rId288" Type="http://schemas.openxmlformats.org/officeDocument/2006/relationships/hyperlink" Target="https://arxiv.org/abs/2212.02791" TargetMode="External"/><Relationship Id="rId287" Type="http://schemas.openxmlformats.org/officeDocument/2006/relationships/hyperlink" Target="https://arxiv.org/abs/2211.13788" TargetMode="External"/><Relationship Id="rId282" Type="http://schemas.openxmlformats.org/officeDocument/2006/relationships/hyperlink" Target="https://arxiv.org/abs/2211.12222" TargetMode="External"/><Relationship Id="rId281" Type="http://schemas.openxmlformats.org/officeDocument/2006/relationships/hyperlink" Target="https://arxiv.org/abs/2211.12156" TargetMode="External"/><Relationship Id="rId280" Type="http://schemas.openxmlformats.org/officeDocument/2006/relationships/hyperlink" Target="https://arxiv.org/abs/2211.10754" TargetMode="External"/><Relationship Id="rId275" Type="http://schemas.openxmlformats.org/officeDocument/2006/relationships/hyperlink" Target="https://arxiv.org/abs/2211.04166" TargetMode="External"/><Relationship Id="rId274" Type="http://schemas.openxmlformats.org/officeDocument/2006/relationships/hyperlink" Target="https://arxiv.org/abs/2211.00198" TargetMode="External"/><Relationship Id="rId273" Type="http://schemas.openxmlformats.org/officeDocument/2006/relationships/hyperlink" Target="https://arxiv.org/abs/2210.15362" TargetMode="External"/><Relationship Id="rId272" Type="http://schemas.openxmlformats.org/officeDocument/2006/relationships/hyperlink" Target="https://arxiv.org/abs/2210.13929" TargetMode="External"/><Relationship Id="rId279" Type="http://schemas.openxmlformats.org/officeDocument/2006/relationships/hyperlink" Target="https://arxiv.org/abs/2211.09939" TargetMode="External"/><Relationship Id="rId278" Type="http://schemas.openxmlformats.org/officeDocument/2006/relationships/hyperlink" Target="https://arxiv.org/abs/2211.09648" TargetMode="External"/><Relationship Id="rId277" Type="http://schemas.openxmlformats.org/officeDocument/2006/relationships/hyperlink" Target="https://arxiv.org/abs/2211.07761" TargetMode="External"/><Relationship Id="rId276" Type="http://schemas.openxmlformats.org/officeDocument/2006/relationships/hyperlink" Target="https://arxiv.org/abs/2211.07365" TargetMode="External"/><Relationship Id="rId1851" Type="http://schemas.openxmlformats.org/officeDocument/2006/relationships/hyperlink" Target="https://doi.org/10.3389/fnbot.2025.1648713" TargetMode="External"/><Relationship Id="rId1852" Type="http://schemas.openxmlformats.org/officeDocument/2006/relationships/hyperlink" Target="https://doi.org/10.3389/fncir.2021.610446" TargetMode="External"/><Relationship Id="rId1853" Type="http://schemas.openxmlformats.org/officeDocument/2006/relationships/hyperlink" Target="https://doi.org/10.3389/fnins.2016.00184" TargetMode="External"/><Relationship Id="rId1854" Type="http://schemas.openxmlformats.org/officeDocument/2006/relationships/hyperlink" Target="https://doi.org/10.3389/fnins.2016.00498" TargetMode="External"/><Relationship Id="rId1855" Type="http://schemas.openxmlformats.org/officeDocument/2006/relationships/hyperlink" Target="https://doi.org/10.3389/fnins.2019.01338" TargetMode="External"/><Relationship Id="rId1856" Type="http://schemas.openxmlformats.org/officeDocument/2006/relationships/hyperlink" Target="https://doi.org/10.3389/fnins.2020.00135" TargetMode="External"/><Relationship Id="rId1857" Type="http://schemas.openxmlformats.org/officeDocument/2006/relationships/hyperlink" Target="https://doi.org/10.3389/fnins.2020.00275" TargetMode="External"/><Relationship Id="rId1858" Type="http://schemas.openxmlformats.org/officeDocument/2006/relationships/hyperlink" Target="https://doi.org/10.3389/fnins.2020.00551" TargetMode="External"/><Relationship Id="rId1859" Type="http://schemas.openxmlformats.org/officeDocument/2006/relationships/hyperlink" Target="https://doi.org/10.3389/fnins.2022.1079357" TargetMode="External"/><Relationship Id="rId1850" Type="http://schemas.openxmlformats.org/officeDocument/2006/relationships/hyperlink" Target="https://doi.org/10.3389/fnbot.2025.1537673" TargetMode="External"/><Relationship Id="rId1840" Type="http://schemas.openxmlformats.org/officeDocument/2006/relationships/hyperlink" Target="https://doi.org/10.23919/EuRAD65285.2025.11234249" TargetMode="External"/><Relationship Id="rId1841" Type="http://schemas.openxmlformats.org/officeDocument/2006/relationships/hyperlink" Target="https://doi.org/10.23919/FUSION59988.2024.10706315" TargetMode="External"/><Relationship Id="rId1842" Type="http://schemas.openxmlformats.org/officeDocument/2006/relationships/hyperlink" Target="https://doi.org/10.2514/1.A35474" TargetMode="External"/><Relationship Id="rId1843" Type="http://schemas.openxmlformats.org/officeDocument/2006/relationships/hyperlink" Target="https://doi.org/10.2514/1.C038412" TargetMode="External"/><Relationship Id="rId1844" Type="http://schemas.openxmlformats.org/officeDocument/2006/relationships/hyperlink" Target="https://doi.org/10.2514/1.J065669" TargetMode="External"/><Relationship Id="rId1845" Type="http://schemas.openxmlformats.org/officeDocument/2006/relationships/hyperlink" Target="https://doi.org/10.2514/6.2025-0475" TargetMode="External"/><Relationship Id="rId1846" Type="http://schemas.openxmlformats.org/officeDocument/2006/relationships/hyperlink" Target="https://doi.org/10.2514/6.2025-1217" TargetMode="External"/><Relationship Id="rId1847" Type="http://schemas.openxmlformats.org/officeDocument/2006/relationships/hyperlink" Target="https://doi.org/10.33012/2025.20002" TargetMode="External"/><Relationship Id="rId1848" Type="http://schemas.openxmlformats.org/officeDocument/2006/relationships/hyperlink" Target="https://doi.org/10.3389/fmats.2023.1269992" TargetMode="External"/><Relationship Id="rId1849" Type="http://schemas.openxmlformats.org/officeDocument/2006/relationships/hyperlink" Target="https://doi.org/10.3389/fnbot.2023.1277160" TargetMode="External"/><Relationship Id="rId1873" Type="http://schemas.openxmlformats.org/officeDocument/2006/relationships/hyperlink" Target="https://doi.org/10.3390/electronics14132603" TargetMode="External"/><Relationship Id="rId1874" Type="http://schemas.openxmlformats.org/officeDocument/2006/relationships/hyperlink" Target="https://doi.org/10.3390/electronics14183712" TargetMode="External"/><Relationship Id="rId1875" Type="http://schemas.openxmlformats.org/officeDocument/2006/relationships/hyperlink" Target="https://doi.org/10.3390/info15080472" TargetMode="External"/><Relationship Id="rId1876" Type="http://schemas.openxmlformats.org/officeDocument/2006/relationships/hyperlink" Target="https://doi.org/10.3390/jimaging11110377" TargetMode="External"/><Relationship Id="rId1877" Type="http://schemas.openxmlformats.org/officeDocument/2006/relationships/hyperlink" Target="https://doi.org/10.3390/jimaging7020025" TargetMode="External"/><Relationship Id="rId1878" Type="http://schemas.openxmlformats.org/officeDocument/2006/relationships/hyperlink" Target="https://doi.org/10.3390/photonics12050426" TargetMode="External"/><Relationship Id="rId1879" Type="http://schemas.openxmlformats.org/officeDocument/2006/relationships/hyperlink" Target="https://doi.org/10.3390/proceedings2024110002" TargetMode="External"/><Relationship Id="rId1870" Type="http://schemas.openxmlformats.org/officeDocument/2006/relationships/hyperlink" Target="https://doi.org/10.3390/drones9030211" TargetMode="External"/><Relationship Id="rId1871" Type="http://schemas.openxmlformats.org/officeDocument/2006/relationships/hyperlink" Target="https://doi.org/10.3390/electronics14061078" TargetMode="External"/><Relationship Id="rId1872" Type="http://schemas.openxmlformats.org/officeDocument/2006/relationships/hyperlink" Target="https://doi.org/10.3390/electronics14061105" TargetMode="External"/><Relationship Id="rId1862" Type="http://schemas.openxmlformats.org/officeDocument/2006/relationships/hyperlink" Target="https://doi.org/10.3389/frobt.2023.994488" TargetMode="External"/><Relationship Id="rId1863" Type="http://schemas.openxmlformats.org/officeDocument/2006/relationships/hyperlink" Target="https://doi.org/10.3389/frobt.2024.1435197" TargetMode="External"/><Relationship Id="rId1864" Type="http://schemas.openxmlformats.org/officeDocument/2006/relationships/hyperlink" Target="https://doi.org/10.3389/frobt.2025.1629884" TargetMode="External"/><Relationship Id="rId1865" Type="http://schemas.openxmlformats.org/officeDocument/2006/relationships/hyperlink" Target="https://doi.org/10.3390/app15031314" TargetMode="External"/><Relationship Id="rId1866" Type="http://schemas.openxmlformats.org/officeDocument/2006/relationships/hyperlink" Target="https://doi.org/10.3390/app15137493" TargetMode="External"/><Relationship Id="rId1867" Type="http://schemas.openxmlformats.org/officeDocument/2006/relationships/hyperlink" Target="https://doi.org/10.3390/atmos17010024" TargetMode="External"/><Relationship Id="rId1868" Type="http://schemas.openxmlformats.org/officeDocument/2006/relationships/hyperlink" Target="https://doi.org/10.3390/biomimetics10090569" TargetMode="External"/><Relationship Id="rId1869" Type="http://schemas.openxmlformats.org/officeDocument/2006/relationships/hyperlink" Target="https://doi.org/10.3390/brainsci13010068" TargetMode="External"/><Relationship Id="rId1860" Type="http://schemas.openxmlformats.org/officeDocument/2006/relationships/hyperlink" Target="https://doi.org/10.3389/fnins.2024.1467935" TargetMode="External"/><Relationship Id="rId1861" Type="http://schemas.openxmlformats.org/officeDocument/2006/relationships/hyperlink" Target="https://doi.org/10.3389/fnins.2025.1735027" TargetMode="External"/><Relationship Id="rId1810" Type="http://schemas.openxmlformats.org/officeDocument/2006/relationships/hyperlink" Target="https://doi.org/10.1364/AO.539209" TargetMode="External"/><Relationship Id="rId1811" Type="http://schemas.openxmlformats.org/officeDocument/2006/relationships/hyperlink" Target="https://doi.org/10.1364/COSI.2025.CTh3B.2" TargetMode="External"/><Relationship Id="rId1812" Type="http://schemas.openxmlformats.org/officeDocument/2006/relationships/hyperlink" Target="https://doi.org/10.1364/OE.489717" TargetMode="External"/><Relationship Id="rId1813" Type="http://schemas.openxmlformats.org/officeDocument/2006/relationships/hyperlink" Target="https://doi.org/10.1364/OE.507688" TargetMode="External"/><Relationship Id="rId1814" Type="http://schemas.openxmlformats.org/officeDocument/2006/relationships/hyperlink" Target="https://doi.org/10.1364/OE.518323" TargetMode="External"/><Relationship Id="rId1815" Type="http://schemas.openxmlformats.org/officeDocument/2006/relationships/hyperlink" Target="https://doi.org/10.1364/OE.529263" TargetMode="External"/><Relationship Id="rId1816" Type="http://schemas.openxmlformats.org/officeDocument/2006/relationships/hyperlink" Target="https://doi.org/10.1364/OE.541659" TargetMode="External"/><Relationship Id="rId1817" Type="http://schemas.openxmlformats.org/officeDocument/2006/relationships/hyperlink" Target="https://doi.org/10.1364/OE.573814" TargetMode="External"/><Relationship Id="rId1818" Type="http://schemas.openxmlformats.org/officeDocument/2006/relationships/hyperlink" Target="https://doi.org/10.1364/OE.580891" TargetMode="External"/><Relationship Id="rId1819" Type="http://schemas.openxmlformats.org/officeDocument/2006/relationships/hyperlink" Target="https://doi.org/10.1364/OL.515700" TargetMode="External"/><Relationship Id="rId1800" Type="http://schemas.openxmlformats.org/officeDocument/2006/relationships/hyperlink" Target="https://doi.org/10.1145/3746027.3755380" TargetMode="External"/><Relationship Id="rId1801" Type="http://schemas.openxmlformats.org/officeDocument/2006/relationships/hyperlink" Target="https://doi.org/10.1145/3746027.3755404" TargetMode="External"/><Relationship Id="rId1802" Type="http://schemas.openxmlformats.org/officeDocument/2006/relationships/hyperlink" Target="https://doi.org/10.1145/3746027.3755486" TargetMode="External"/><Relationship Id="rId1803" Type="http://schemas.openxmlformats.org/officeDocument/2006/relationships/hyperlink" Target="https://doi.org/10.1145/3746027.3755551" TargetMode="External"/><Relationship Id="rId1804" Type="http://schemas.openxmlformats.org/officeDocument/2006/relationships/hyperlink" Target="https://doi.org/10.1145/3746027.3755846" TargetMode="External"/><Relationship Id="rId1805" Type="http://schemas.openxmlformats.org/officeDocument/2006/relationships/hyperlink" Target="https://doi.org/10.1145/3786332" TargetMode="External"/><Relationship Id="rId1806" Type="http://schemas.openxmlformats.org/officeDocument/2006/relationships/hyperlink" Target="https://doi.org/10.1155/2022/2673191" TargetMode="External"/><Relationship Id="rId1807" Type="http://schemas.openxmlformats.org/officeDocument/2006/relationships/hyperlink" Target="https://doi.org/10.1177/02783649241303525" TargetMode="External"/><Relationship Id="rId1808" Type="http://schemas.openxmlformats.org/officeDocument/2006/relationships/hyperlink" Target="https://doi.org/10.12086/oee.2024.240208" TargetMode="External"/><Relationship Id="rId1809" Type="http://schemas.openxmlformats.org/officeDocument/2006/relationships/hyperlink" Target="https://doi.org/10.1360/SSI-2021-0397" TargetMode="External"/><Relationship Id="rId1830" Type="http://schemas.openxmlformats.org/officeDocument/2006/relationships/hyperlink" Target="https://doi.org/10.21203/rs.3.rs-2120721/v1" TargetMode="External"/><Relationship Id="rId1831" Type="http://schemas.openxmlformats.org/officeDocument/2006/relationships/hyperlink" Target="https://doi.org/10.21203/rs.3.rs-6135923/v1" TargetMode="External"/><Relationship Id="rId1832" Type="http://schemas.openxmlformats.org/officeDocument/2006/relationships/hyperlink" Target="https://doi.org/10.21203/rs.3.rs-6619025/v1" TargetMode="External"/><Relationship Id="rId1833" Type="http://schemas.openxmlformats.org/officeDocument/2006/relationships/hyperlink" Target="https://doi.org/10.21203/rs.3.rs-7544738/v1" TargetMode="External"/><Relationship Id="rId1834" Type="http://schemas.openxmlformats.org/officeDocument/2006/relationships/hyperlink" Target="https://doi.org/10.21203/rs.3.rs-7551764/v1" TargetMode="External"/><Relationship Id="rId1835" Type="http://schemas.openxmlformats.org/officeDocument/2006/relationships/hyperlink" Target="https://doi.org/10.21203/rs.3.rs-8259501/v1" TargetMode="External"/><Relationship Id="rId1836" Type="http://schemas.openxmlformats.org/officeDocument/2006/relationships/hyperlink" Target="https://doi.org/10.2351/7.0001526" TargetMode="External"/><Relationship Id="rId1837" Type="http://schemas.openxmlformats.org/officeDocument/2006/relationships/hyperlink" Target="https://doi.org/10.2352/EI.2023.35.6.ISS-346" TargetMode="External"/><Relationship Id="rId1838" Type="http://schemas.openxmlformats.org/officeDocument/2006/relationships/hyperlink" Target="https://doi.org/10.2352/EI.2024.36.7.ISS-289" TargetMode="External"/><Relationship Id="rId1839" Type="http://schemas.openxmlformats.org/officeDocument/2006/relationships/hyperlink" Target="https://doi.org/10.23919/ACC53348.2022.9867354" TargetMode="External"/><Relationship Id="rId1820" Type="http://schemas.openxmlformats.org/officeDocument/2006/relationships/hyperlink" Target="https://doi.org/10.1364/OL.548088" TargetMode="External"/><Relationship Id="rId1821" Type="http://schemas.openxmlformats.org/officeDocument/2006/relationships/hyperlink" Target="https://doi.org/10.1364/OL.564294" TargetMode="External"/><Relationship Id="rId1822" Type="http://schemas.openxmlformats.org/officeDocument/2006/relationships/hyperlink" Target="https://doi.org/10.1364/OL.572204" TargetMode="External"/><Relationship Id="rId1823" Type="http://schemas.openxmlformats.org/officeDocument/2006/relationships/hyperlink" Target="https://doi.org/10.1364/OL.575121" TargetMode="External"/><Relationship Id="rId1824" Type="http://schemas.openxmlformats.org/officeDocument/2006/relationships/hyperlink" Target="https://doi.org/10.1364/PRJ.562782" TargetMode="External"/><Relationship Id="rId1825" Type="http://schemas.openxmlformats.org/officeDocument/2006/relationships/hyperlink" Target="https://doi.org/10.1587/transfun.2024VLP0013" TargetMode="External"/><Relationship Id="rId1826" Type="http://schemas.openxmlformats.org/officeDocument/2006/relationships/hyperlink" Target="https://doi.org/10.1609/aaai.v34i07.6625" TargetMode="External"/><Relationship Id="rId1827" Type="http://schemas.openxmlformats.org/officeDocument/2006/relationships/hyperlink" Target="https://doi.org/10.1609/aaai.v36i1.19923" TargetMode="External"/><Relationship Id="rId1828" Type="http://schemas.openxmlformats.org/officeDocument/2006/relationships/hyperlink" Target="https://doi.org/10.16383/j.aas.c240307" TargetMode="External"/><Relationship Id="rId1829" Type="http://schemas.openxmlformats.org/officeDocument/2006/relationships/hyperlink" Target="https://doi.org/10.20944/preprints202511.1384.v1" TargetMode="External"/><Relationship Id="rId2302" Type="http://schemas.openxmlformats.org/officeDocument/2006/relationships/hyperlink" Target="https://openaccess.thecvf.com/content/ICCV2021/html/Kim_N-ImageNet_Towards_Robust_Fine-Grained_Object_Recognition_With_Event_Cameras_ICCV_2021_paper.html" TargetMode="External"/><Relationship Id="rId2303" Type="http://schemas.openxmlformats.org/officeDocument/2006/relationships/hyperlink" Target="https://openaccess.thecvf.com/content/ICCV2021/html/Li_Event_Stream_Super-Resolution_via_Spatiotemporal_Constraint_Learning_ICCV_2021_paper.html" TargetMode="External"/><Relationship Id="rId2304" Type="http://schemas.openxmlformats.org/officeDocument/2006/relationships/hyperlink" Target="https://openaccess.thecvf.com/content/ICCV2021/html/Li_Graph-Based_Asynchronous_Event_Processing_for_Rapid_Object_Recognition_ICCV_2021_paper.html" TargetMode="External"/><Relationship Id="rId2305" Type="http://schemas.openxmlformats.org/officeDocument/2006/relationships/hyperlink" Target="https://openaccess.thecvf.com/content/ICCV2021/html/Mostafavi_Event-Intensity_Stereo_Estimating_Depth_by_the_Best_of_Both_Worlds_ICCV_2021_paper.html" TargetMode="External"/><Relationship Id="rId2306" Type="http://schemas.openxmlformats.org/officeDocument/2006/relationships/hyperlink" Target="https://openaccess.thecvf.com/content/ICCV2021/html/Shang_Bringing_Events_Into_Video_Deblurring_With_Non-Consecutively_Blurry_Frames_ICCV_2021_paper.html" TargetMode="External"/><Relationship Id="rId2307" Type="http://schemas.openxmlformats.org/officeDocument/2006/relationships/hyperlink" Target="https://openaccess.thecvf.com/content/ICCV2021/html/Wang_Dual_Transfer_Learning_for_Event-Based_End-Task_Prediction_via_Pluggable_Event_ICCV_2021_paper.html" TargetMode="External"/><Relationship Id="rId2308" Type="http://schemas.openxmlformats.org/officeDocument/2006/relationships/hyperlink" Target="https://openaccess.thecvf.com/content/ICCV2021/html/Weng_Event-Based_Video_Reconstruction_Using_Transformer_ICCV_2021_paper.html" TargetMode="External"/><Relationship Id="rId2309" Type="http://schemas.openxmlformats.org/officeDocument/2006/relationships/hyperlink" Target="https://openaccess.thecvf.com/content/ICCV2021/html/Xu_Motion_Deblurring_With_Real_Events_ICCV_2021_paper.html" TargetMode="External"/><Relationship Id="rId2300" Type="http://schemas.openxmlformats.org/officeDocument/2006/relationships/hyperlink" Target="https://openaccess.thecvf.com/content/ICCV2021/html/Gu_The_Spatio-Temporal_Poisson_Point_Process_A_Simple_Model_for_the_ICCV_2021_paper.html" TargetMode="External"/><Relationship Id="rId2301" Type="http://schemas.openxmlformats.org/officeDocument/2006/relationships/hyperlink" Target="https://openaccess.thecvf.com/content/ICCV2021/html/Han_EvIntSR-Net_Event_Guided_Multiple_Latent_Frames_Reconstruction_and_Super-Resolution_ICCV_2021_paper.html" TargetMode="External"/><Relationship Id="rId2324" Type="http://schemas.openxmlformats.org/officeDocument/2006/relationships/hyperlink" Target="https://openaccess.thecvf.com/content/ICCV2023/html/Ponghiran_Event-based_Temporally_Dense_Optical_Flow_Estimation_with_Sequential_Learning_ICCV_2023_paper.html" TargetMode="External"/><Relationship Id="rId2325" Type="http://schemas.openxmlformats.org/officeDocument/2006/relationships/hyperlink" Target="https://openaccess.thecvf.com/content/ICCV2023/html/Qi_E2NeRF_Event_Enhanced_Neural_Radiance_Fields_from_Blurry_Images_ICCV_2023_paper.html" TargetMode="External"/><Relationship Id="rId2326" Type="http://schemas.openxmlformats.org/officeDocument/2006/relationships/hyperlink" Target="https://openaccess.thecvf.com/content/ICCV2023/html/Wang_Unsupervised_Video_Deraining_with_An_Event_Camera_ICCV_2023_paper.html" TargetMode="External"/><Relationship Id="rId2327" Type="http://schemas.openxmlformats.org/officeDocument/2006/relationships/hyperlink" Target="https://openaccess.thecvf.com/content/ICCV2023/html/Wei_Temporal-Coded_Spiking_Neural_Networks_with_Dynamic_Firing_Threshold_Learning_with_ICCV_2023_paper.html" TargetMode="External"/><Relationship Id="rId2328" Type="http://schemas.openxmlformats.org/officeDocument/2006/relationships/hyperlink" Target="https://openaccess.thecvf.com/content/ICCV2023/html/Yang_Event_Camera_Data_Pre-training_ICCV_2023_paper.html" TargetMode="External"/><Relationship Id="rId2329" Type="http://schemas.openxmlformats.org/officeDocument/2006/relationships/hyperlink" Target="https://openaccess.thecvf.com/content/ICCV2023/html/Zhang_Generalizing_Event-Based_Motion_Deblurring_in_Real-World_Scenarios_ICCV_2023_paper.html" TargetMode="External"/><Relationship Id="rId2320" Type="http://schemas.openxmlformats.org/officeDocument/2006/relationships/hyperlink" Target="https://openaccess.thecvf.com/content/ICCV2023/html/Luo_Learning_Optical_Flow_from_Event_Camera_with_Rendered_Dataset_ICCV_2023_paper.html" TargetMode="External"/><Relationship Id="rId2321" Type="http://schemas.openxmlformats.org/officeDocument/2006/relationships/hyperlink" Target="https://openaccess.thecvf.com/content/ICCV2023/html/Ma_Deformable_Neural_Radiance_Fields_using_RGB_and_Event_Cameras_ICCV_2023_paper.html" TargetMode="External"/><Relationship Id="rId2322" Type="http://schemas.openxmlformats.org/officeDocument/2006/relationships/hyperlink" Target="https://openaccess.thecvf.com/content/ICCV2023/html/Nunes_Time-to-Contact_Map_by_Joint_Estimation_of_Up-to-Scale_Inverse_Depth_and_ICCV_2023_paper.html" TargetMode="External"/><Relationship Id="rId2323" Type="http://schemas.openxmlformats.org/officeDocument/2006/relationships/hyperlink" Target="https://openaccess.thecvf.com/content/ICCV2023/html/Peng_GET_Group_Event_Transformer_for_Event-Based_Vision_ICCV_2023_paper.html" TargetMode="External"/><Relationship Id="rId2313" Type="http://schemas.openxmlformats.org/officeDocument/2006/relationships/hyperlink" Target="https://openaccess.thecvf.com/content/ICCV2021/html/Zhu_NeuSpike-Net_High_Speed_Video_Reconstruction_via_Bio-Inspired_Neuromorphic_Cameras_ICCV_2021_paper.html" TargetMode="External"/><Relationship Id="rId2314" Type="http://schemas.openxmlformats.org/officeDocument/2006/relationships/hyperlink" Target="https://openaccess.thecvf.com/content/ICCV2021/html/Zou_EventHPE_Event-Based_3D_Human_Pose_and_Shape_Estimation_ICCV_2021_paper.html" TargetMode="External"/><Relationship Id="rId2315" Type="http://schemas.openxmlformats.org/officeDocument/2006/relationships/hyperlink" Target="https://openaccess.thecvf.com/content/ICCV2021W/GSP-CV/papers/Mondal_Moving_Object_Detection_for_Event-Based_Vision_Using_Graph_Spectral_Clustering_ICCVW_2021_paper.pdf" TargetMode="External"/><Relationship Id="rId2316" Type="http://schemas.openxmlformats.org/officeDocument/2006/relationships/hyperlink" Target="https://openaccess.thecvf.com/content/ICCV2023/html/Cho_Non-Coaxial_Event-Guided_Motion_Deblurring_with_Spatial_Alignment_ICCV_2023_paper.html" TargetMode="External"/><Relationship Id="rId2317" Type="http://schemas.openxmlformats.org/officeDocument/2006/relationships/hyperlink" Target="https://openaccess.thecvf.com/content/ICCV2023/html/Jian_Unsupervised_Domain_Adaptation_for_Training_Event-Based_Networks_Using_Contrastive_Learning_ICCV_2023_paper.html" TargetMode="External"/><Relationship Id="rId2318" Type="http://schemas.openxmlformats.org/officeDocument/2006/relationships/hyperlink" Target="https://openaccess.thecvf.com/content/ICCV2023/html/Liang_Coherent_Event_Guided_Low-Light_Video_Enhancement_ICCV_2023_paper.html" TargetMode="External"/><Relationship Id="rId2319" Type="http://schemas.openxmlformats.org/officeDocument/2006/relationships/hyperlink" Target="https://openaccess.thecvf.com/content/ICCV2023/html/Liu_TMA_Temporal_Motion_Aggregation_for_Event-based_Optical_Flow_ICCV_2023_paper.html" TargetMode="External"/><Relationship Id="rId2310" Type="http://schemas.openxmlformats.org/officeDocument/2006/relationships/hyperlink" Target="https://openaccess.thecvf.com/content/ICCV2021/html/Yao_Temporal-Wise_Attention_Spiking_Neural_Networks_for_Event_Streams_Classification_ICCV_2021_paper.html" TargetMode="External"/><Relationship Id="rId2311" Type="http://schemas.openxmlformats.org/officeDocument/2006/relationships/hyperlink" Target="https://openaccess.thecvf.com/content/ICCV2021/html/Yu_Training_Weakly_Supervised_Video_Frame_Interpolation_With_Events_ICCV_2021_paper.html" TargetMode="External"/><Relationship Id="rId2312" Type="http://schemas.openxmlformats.org/officeDocument/2006/relationships/hyperlink" Target="https://openaccess.thecvf.com/content/ICCV2021/html/Zhang_Object_Tracking_by_Jointly_Exploiting_Frame_and_Event_Domain_ICCV_2021_paper.html" TargetMode="External"/><Relationship Id="rId1895" Type="http://schemas.openxmlformats.org/officeDocument/2006/relationships/hyperlink" Target="https://doi.org/10.3390/s25216599" TargetMode="External"/><Relationship Id="rId1896" Type="http://schemas.openxmlformats.org/officeDocument/2006/relationships/hyperlink" Target="https://doi.org/10.3390/s25237276" TargetMode="External"/><Relationship Id="rId1897" Type="http://schemas.openxmlformats.org/officeDocument/2006/relationships/hyperlink" Target="https://doi.org/10.3390/s26010081" TargetMode="External"/><Relationship Id="rId1898" Type="http://schemas.openxmlformats.org/officeDocument/2006/relationships/hyperlink" Target="https://doi.org/10.3390/s26010188" TargetMode="External"/><Relationship Id="rId1899" Type="http://schemas.openxmlformats.org/officeDocument/2006/relationships/hyperlink" Target="https://doi.org/10.3390/signals6030039" TargetMode="External"/><Relationship Id="rId1890" Type="http://schemas.openxmlformats.org/officeDocument/2006/relationships/hyperlink" Target="https://doi.org/10.3390/s25103186" TargetMode="External"/><Relationship Id="rId1891" Type="http://schemas.openxmlformats.org/officeDocument/2006/relationships/hyperlink" Target="https://doi.org/10.3390/s25154540" TargetMode="External"/><Relationship Id="rId1892" Type="http://schemas.openxmlformats.org/officeDocument/2006/relationships/hyperlink" Target="https://doi.org/10.3390/s25175472" TargetMode="External"/><Relationship Id="rId1893" Type="http://schemas.openxmlformats.org/officeDocument/2006/relationships/hyperlink" Target="https://doi.org/10.3390/s25196048" TargetMode="External"/><Relationship Id="rId1894" Type="http://schemas.openxmlformats.org/officeDocument/2006/relationships/hyperlink" Target="https://doi.org/10.3390/s25216580" TargetMode="External"/><Relationship Id="rId1884" Type="http://schemas.openxmlformats.org/officeDocument/2006/relationships/hyperlink" Target="https://doi.org/10.3390/s24206527" TargetMode="External"/><Relationship Id="rId1885" Type="http://schemas.openxmlformats.org/officeDocument/2006/relationships/hyperlink" Target="https://doi.org/10.3390/s24237430" TargetMode="External"/><Relationship Id="rId1886" Type="http://schemas.openxmlformats.org/officeDocument/2006/relationships/hyperlink" Target="https://doi.org/10.3390/s24237752" TargetMode="External"/><Relationship Id="rId1887" Type="http://schemas.openxmlformats.org/officeDocument/2006/relationships/hyperlink" Target="https://doi.org/10.3390/s25010061" TargetMode="External"/><Relationship Id="rId1888" Type="http://schemas.openxmlformats.org/officeDocument/2006/relationships/hyperlink" Target="https://doi.org/10.3390/s25030887" TargetMode="External"/><Relationship Id="rId1889" Type="http://schemas.openxmlformats.org/officeDocument/2006/relationships/hyperlink" Target="https://doi.org/10.3390/s25103158" TargetMode="External"/><Relationship Id="rId1880" Type="http://schemas.openxmlformats.org/officeDocument/2006/relationships/hyperlink" Target="https://doi.org/10.3390/rs16030437" TargetMode="External"/><Relationship Id="rId1881" Type="http://schemas.openxmlformats.org/officeDocument/2006/relationships/hyperlink" Target="https://doi.org/10.3390/rs17173112" TargetMode="External"/><Relationship Id="rId1882" Type="http://schemas.openxmlformats.org/officeDocument/2006/relationships/hyperlink" Target="https://doi.org/10.3390/s23198327" TargetMode="External"/><Relationship Id="rId1883" Type="http://schemas.openxmlformats.org/officeDocument/2006/relationships/hyperlink" Target="https://doi.org/10.3390/s23249768" TargetMode="External"/><Relationship Id="rId1059" Type="http://schemas.openxmlformats.org/officeDocument/2006/relationships/hyperlink" Target="https://compphotolab.northwestern.edu/wordpress/wp-content/uploads/2020/04/cvpr2020-gef-compressed.pdf" TargetMode="External"/><Relationship Id="rId228" Type="http://schemas.openxmlformats.org/officeDocument/2006/relationships/hyperlink" Target="https://arxiv.org/abs/2203.10016" TargetMode="External"/><Relationship Id="rId227" Type="http://schemas.openxmlformats.org/officeDocument/2006/relationships/hyperlink" Target="https://arxiv.org/abs/2203.01935" TargetMode="External"/><Relationship Id="rId226" Type="http://schemas.openxmlformats.org/officeDocument/2006/relationships/hyperlink" Target="https://arxiv.org/abs/2203.01037" TargetMode="External"/><Relationship Id="rId225" Type="http://schemas.openxmlformats.org/officeDocument/2006/relationships/hyperlink" Target="https://arxiv.org/abs/2201.12285" TargetMode="External"/><Relationship Id="rId2380" Type="http://schemas.openxmlformats.org/officeDocument/2006/relationships/hyperlink" Target="https://openreview.net/pdf/eecaed959b7bd0ceaa4a0fe64f4828f5a8f12500.pdf" TargetMode="External"/><Relationship Id="rId229" Type="http://schemas.openxmlformats.org/officeDocument/2006/relationships/hyperlink" Target="https://arxiv.org/abs/2203.12321" TargetMode="External"/><Relationship Id="rId1050" Type="http://schemas.openxmlformats.org/officeDocument/2006/relationships/hyperlink" Target="https://bmvc2022.mpi-inf.mpg.de/603/" TargetMode="External"/><Relationship Id="rId2381" Type="http://schemas.openxmlformats.org/officeDocument/2006/relationships/hyperlink" Target="https://opg.optica.org/abstract.cfm?URI=3D-2022-3F2A.4" TargetMode="External"/><Relationship Id="rId220" Type="http://schemas.openxmlformats.org/officeDocument/2006/relationships/hyperlink" Target="https://arxiv.org/abs/2112.06988" TargetMode="External"/><Relationship Id="rId1051" Type="http://schemas.openxmlformats.org/officeDocument/2006/relationships/hyperlink" Target="https://bmvc2022.mpi-inf.mpg.de/785/" TargetMode="External"/><Relationship Id="rId2382" Type="http://schemas.openxmlformats.org/officeDocument/2006/relationships/hyperlink" Target="https://opg.optica.org/abstract.cfm?uri=ao-61-29-8826" TargetMode="External"/><Relationship Id="rId1052" Type="http://schemas.openxmlformats.org/officeDocument/2006/relationships/hyperlink" Target="https://bmvc2022.mpi-inf.mpg.de/938/" TargetMode="External"/><Relationship Id="rId2383" Type="http://schemas.openxmlformats.org/officeDocument/2006/relationships/hyperlink" Target="https://opg.optica.org/abstract.cfm?uri=ao-62-23-G128" TargetMode="External"/><Relationship Id="rId1053" Type="http://schemas.openxmlformats.org/officeDocument/2006/relationships/hyperlink" Target="https://bottle101.github.io/assets/publications/Report_RotatingWedgePrimEventCam.pdf" TargetMode="External"/><Relationship Id="rId2384" Type="http://schemas.openxmlformats.org/officeDocument/2006/relationships/hyperlink" Target="https://opg.optica.org/abstract.cfm?uri=COSI-2022-CM4A.2" TargetMode="External"/><Relationship Id="rId1054" Type="http://schemas.openxmlformats.org/officeDocument/2006/relationships/hyperlink" Target="https://cedric-scheerlinck.github.io/firenet" TargetMode="External"/><Relationship Id="rId2385" Type="http://schemas.openxmlformats.org/officeDocument/2006/relationships/hyperlink" Target="https://opg.optica.org/abstract.cfm?uri=oe-29-22-35864" TargetMode="External"/><Relationship Id="rId224" Type="http://schemas.openxmlformats.org/officeDocument/2006/relationships/hyperlink" Target="https://arxiv.org/abs/2201.10943" TargetMode="External"/><Relationship Id="rId1055" Type="http://schemas.openxmlformats.org/officeDocument/2006/relationships/hyperlink" Target="https://ceur-ws.org/Vol-3848/paper_4.pdf" TargetMode="External"/><Relationship Id="rId2386" Type="http://schemas.openxmlformats.org/officeDocument/2006/relationships/hyperlink" Target="https://opg.optica.org/ao/abstract.cfm?uri=ao-63-16-E35" TargetMode="External"/><Relationship Id="rId223" Type="http://schemas.openxmlformats.org/officeDocument/2006/relationships/hyperlink" Target="https://arxiv.org/abs/2201.07367" TargetMode="External"/><Relationship Id="rId1056" Type="http://schemas.openxmlformats.org/officeDocument/2006/relationships/hyperlink" Target="https://ci.idm.pku.edu.cn/Zhang_ECCV22e.pdf" TargetMode="External"/><Relationship Id="rId2387" Type="http://schemas.openxmlformats.org/officeDocument/2006/relationships/hyperlink" Target="https://opg.optica.org/ao/abstract.cfm?uri=ao-64-14-3897" TargetMode="External"/><Relationship Id="rId222" Type="http://schemas.openxmlformats.org/officeDocument/2006/relationships/hyperlink" Target="https://arxiv.org/abs/2112.13534" TargetMode="External"/><Relationship Id="rId1057" Type="http://schemas.openxmlformats.org/officeDocument/2006/relationships/hyperlink" Target="https://cje.ustb.edu.cn/en/article/doi/10.13374/j.issn2095-9389.2024.01.23.004" TargetMode="External"/><Relationship Id="rId2388" Type="http://schemas.openxmlformats.org/officeDocument/2006/relationships/hyperlink" Target="https://opg.optica.org/boe/abstract.cfm?URI=boe-15-9-5442" TargetMode="External"/><Relationship Id="rId221" Type="http://schemas.openxmlformats.org/officeDocument/2006/relationships/hyperlink" Target="https://arxiv.org/abs/2112.09379" TargetMode="External"/><Relationship Id="rId1058" Type="http://schemas.openxmlformats.org/officeDocument/2006/relationships/hyperlink" Target="https://cnrs.hal.science/hal-04497648/" TargetMode="External"/><Relationship Id="rId2389" Type="http://schemas.openxmlformats.org/officeDocument/2006/relationships/hyperlink" Target="https://opg.optica.org/oe/abstract.cfm?uri=oe-33-18-38449" TargetMode="External"/><Relationship Id="rId1048" Type="http://schemas.openxmlformats.org/officeDocument/2006/relationships/hyperlink" Target="https://bmvc2019.org/wp-content/uploads/papers/1140-paper.pdf" TargetMode="External"/><Relationship Id="rId2379" Type="http://schemas.openxmlformats.org/officeDocument/2006/relationships/hyperlink" Target="https://openreview.net/pdf/ec37f44a01df8ff7d357ab005b444ff286524eba.pdf" TargetMode="External"/><Relationship Id="rId1049" Type="http://schemas.openxmlformats.org/officeDocument/2006/relationships/hyperlink" Target="https://bmvc2022.mpi-inf.mpg.de/577/" TargetMode="External"/><Relationship Id="rId217" Type="http://schemas.openxmlformats.org/officeDocument/2006/relationships/hyperlink" Target="https://arxiv.org/abs/2111.12083" TargetMode="External"/><Relationship Id="rId216" Type="http://schemas.openxmlformats.org/officeDocument/2006/relationships/hyperlink" Target="https://arxiv.org/abs/2109.13751" TargetMode="External"/><Relationship Id="rId215" Type="http://schemas.openxmlformats.org/officeDocument/2006/relationships/hyperlink" Target="https://arxiv.org/abs/2109.13456" TargetMode="External"/><Relationship Id="rId214" Type="http://schemas.openxmlformats.org/officeDocument/2006/relationships/hyperlink" Target="https://arxiv.org/abs/2109.12894" TargetMode="External"/><Relationship Id="rId219" Type="http://schemas.openxmlformats.org/officeDocument/2006/relationships/hyperlink" Target="https://arxiv.org/abs/2112.06772" TargetMode="External"/><Relationship Id="rId218" Type="http://schemas.openxmlformats.org/officeDocument/2006/relationships/hyperlink" Target="https://arxiv.org/abs/2112.03596" TargetMode="External"/><Relationship Id="rId2370" Type="http://schemas.openxmlformats.org/officeDocument/2006/relationships/hyperlink" Target="https://openreview.net/pdf/242f76b1dc8cfdb76699c27cab085008cce4c759.pdf" TargetMode="External"/><Relationship Id="rId1040" Type="http://schemas.openxmlformats.org/officeDocument/2006/relationships/hyperlink" Target="https://arxiv.org/pdf/2512.09016" TargetMode="External"/><Relationship Id="rId2371" Type="http://schemas.openxmlformats.org/officeDocument/2006/relationships/hyperlink" Target="https://openreview.net/pdf/4301eed89c6096729b86f7bfa82e7b0e35ddce15.pdf" TargetMode="External"/><Relationship Id="rId1041" Type="http://schemas.openxmlformats.org/officeDocument/2006/relationships/hyperlink" Target="https://arxiv.org/pdf/2512.17323" TargetMode="External"/><Relationship Id="rId2372" Type="http://schemas.openxmlformats.org/officeDocument/2006/relationships/hyperlink" Target="https://openreview.net/pdf/559eee4a5b9499821edd9a0844b2f25dec883a46.pdf" TargetMode="External"/><Relationship Id="rId1042" Type="http://schemas.openxmlformats.org/officeDocument/2006/relationships/hyperlink" Target="https://arxiv.org/pdf/2601.02777" TargetMode="External"/><Relationship Id="rId2373" Type="http://schemas.openxmlformats.org/officeDocument/2006/relationships/hyperlink" Target="https://openreview.net/pdf/a4ffe6d5c4bc0c8bea029c7e7dd531a37d955652.pdf" TargetMode="External"/><Relationship Id="rId1043" Type="http://schemas.openxmlformats.org/officeDocument/2006/relationships/hyperlink" Target="https://arxiv.org/pdf/2601.06647" TargetMode="External"/><Relationship Id="rId2374" Type="http://schemas.openxmlformats.org/officeDocument/2006/relationships/hyperlink" Target="https://openreview.net/pdf/ba38507200ff943655bccd3db5735db18b7830d7.pdf" TargetMode="External"/><Relationship Id="rId213" Type="http://schemas.openxmlformats.org/officeDocument/2006/relationships/hyperlink" Target="https://arxiv.org/abs/2109.02618" TargetMode="External"/><Relationship Id="rId1044" Type="http://schemas.openxmlformats.org/officeDocument/2006/relationships/hyperlink" Target="https://arxiv.org/pdf/2601.10054" TargetMode="External"/><Relationship Id="rId2375" Type="http://schemas.openxmlformats.org/officeDocument/2006/relationships/hyperlink" Target="https://openreview.net/pdf/cc4eaeabc4ad5686aa702592dc45e87a141680d7.pdf" TargetMode="External"/><Relationship Id="rId212" Type="http://schemas.openxmlformats.org/officeDocument/2006/relationships/hyperlink" Target="https://arxiv.org/abs/2109.00210" TargetMode="External"/><Relationship Id="rId1045" Type="http://schemas.openxmlformats.org/officeDocument/2006/relationships/hyperlink" Target="https://arxiv.org/search/advanced?advanced=&amp;terms-0-operator=AND&amp;terms-0-term=event+camera&amp;terms-0-field=all&amp;classification-computer_science=y&amp;classification-physics_archives=all&amp;classification-include_cross_list=include&amp;date-filter_by=all_dates&amp;date-year=&amp;date-from_date=&amp;date-to_date=&amp;date-date_type=submitted_date&amp;abstracts=show&amp;size=50&amp;order=-announced_date_first" TargetMode="External"/><Relationship Id="rId2376" Type="http://schemas.openxmlformats.org/officeDocument/2006/relationships/hyperlink" Target="https://openreview.net/pdf/cf1c15b6c260e523c456d99a32068df6e6dbc376.pdf" TargetMode="External"/><Relationship Id="rId211" Type="http://schemas.openxmlformats.org/officeDocument/2006/relationships/hyperlink" Target="https://arxiv.org/abs/2107.04536" TargetMode="External"/><Relationship Id="rId1046" Type="http://schemas.openxmlformats.org/officeDocument/2006/relationships/hyperlink" Target="https://assets.researchsquare.com/files/rs-3909704/v1_covered_50f5e4e7-e931-4090-90e9-80a0ba3ca22f.pdf?c=1707994552" TargetMode="External"/><Relationship Id="rId2377" Type="http://schemas.openxmlformats.org/officeDocument/2006/relationships/hyperlink" Target="https://openreview.net/pdf/e835a861d6dc56ce776bdfd886b4655ecf5982a5.pdf" TargetMode="External"/><Relationship Id="rId210" Type="http://schemas.openxmlformats.org/officeDocument/2006/relationships/hyperlink" Target="https://arxiv.org/abs/2106.01862" TargetMode="External"/><Relationship Id="rId1047" Type="http://schemas.openxmlformats.org/officeDocument/2006/relationships/hyperlink" Target="https://blog.bakingai.com/mobility-vla-robot-navigation" TargetMode="External"/><Relationship Id="rId2378" Type="http://schemas.openxmlformats.org/officeDocument/2006/relationships/hyperlink" Target="https://openreview.net/pdf/e92cccd4e31bcb7c87f8c3e8bd4c96238e66c3cd.pdf" TargetMode="External"/><Relationship Id="rId249" Type="http://schemas.openxmlformats.org/officeDocument/2006/relationships/hyperlink" Target="https://arxiv.org/abs/2206.11541" TargetMode="External"/><Relationship Id="rId248" Type="http://schemas.openxmlformats.org/officeDocument/2006/relationships/hyperlink" Target="https://arxiv.org/abs/2206.11220" TargetMode="External"/><Relationship Id="rId247" Type="http://schemas.openxmlformats.org/officeDocument/2006/relationships/hyperlink" Target="https://arxiv.org/abs/2206.09243" TargetMode="External"/><Relationship Id="rId1070" Type="http://schemas.openxmlformats.org/officeDocument/2006/relationships/hyperlink" Target="https://cvpr.thecvf.com/virtual/2025/poster/34482" TargetMode="External"/><Relationship Id="rId1071" Type="http://schemas.openxmlformats.org/officeDocument/2006/relationships/hyperlink" Target="https://cvpr.thecvf.com/virtual/2025/poster/35079" TargetMode="External"/><Relationship Id="rId1072" Type="http://schemas.openxmlformats.org/officeDocument/2006/relationships/hyperlink" Target="https://cyberleninka.ru/article/n/neuromorphic-localization-microscopy-for-cell-biology" TargetMode="External"/><Relationship Id="rId242" Type="http://schemas.openxmlformats.org/officeDocument/2006/relationships/hyperlink" Target="https://arxiv.org/abs/2205.09845" TargetMode="External"/><Relationship Id="rId1073" Type="http://schemas.openxmlformats.org/officeDocument/2006/relationships/hyperlink" Target="https://deepblue.lib.umich.edu/handle/2027.42/177658" TargetMode="External"/><Relationship Id="rId241" Type="http://schemas.openxmlformats.org/officeDocument/2006/relationships/hyperlink" Target="https://arxiv.org/abs/2205.08090" TargetMode="External"/><Relationship Id="rId1074" Type="http://schemas.openxmlformats.org/officeDocument/2006/relationships/hyperlink" Target="https://developer.nvidia.com/isaac/manipulator" TargetMode="External"/><Relationship Id="rId240" Type="http://schemas.openxmlformats.org/officeDocument/2006/relationships/hyperlink" Target="https://arxiv.org/abs/2205.07657" TargetMode="External"/><Relationship Id="rId1075" Type="http://schemas.openxmlformats.org/officeDocument/2006/relationships/hyperlink" Target="https://diglib.eg.org/server/api/core/bitstreams/36c8b02b-63f5-4bc4-bcec-7e8db4265d98/content" TargetMode="External"/><Relationship Id="rId1076" Type="http://schemas.openxmlformats.org/officeDocument/2006/relationships/hyperlink" Target="https://direct.mit.edu/neco/article-abstract/27/3/561/8055/What-Can-Neuromorphic-Event-Driven-Precise-Timing?redirectedFrom=fulltext" TargetMode="External"/><Relationship Id="rId246" Type="http://schemas.openxmlformats.org/officeDocument/2006/relationships/hyperlink" Target="https://arxiv.org/abs/2206.06506" TargetMode="External"/><Relationship Id="rId1077" Type="http://schemas.openxmlformats.org/officeDocument/2006/relationships/hyperlink" Target="https://dirksavage88.medium.com" TargetMode="External"/><Relationship Id="rId245" Type="http://schemas.openxmlformats.org/officeDocument/2006/relationships/hyperlink" Target="https://arxiv.org/abs/2206.06178" TargetMode="External"/><Relationship Id="rId1078" Type="http://schemas.openxmlformats.org/officeDocument/2006/relationships/hyperlink" Target="https://discourse.openrobotics.org/t/event-cameras-benefits-and-challenges-within-aerial-robotics/45136" TargetMode="External"/><Relationship Id="rId244" Type="http://schemas.openxmlformats.org/officeDocument/2006/relationships/hyperlink" Target="https://arxiv.org/abs/2206.04511" TargetMode="External"/><Relationship Id="rId1079" Type="http://schemas.openxmlformats.org/officeDocument/2006/relationships/hyperlink" Target="https://discourse.ros.org/t/event-cameras-benefits-and-challenges-within-aerial-robotics/45136" TargetMode="External"/><Relationship Id="rId243" Type="http://schemas.openxmlformats.org/officeDocument/2006/relationships/hyperlink" Target="https://arxiv.org/abs/2206.04341" TargetMode="External"/><Relationship Id="rId239" Type="http://schemas.openxmlformats.org/officeDocument/2006/relationships/hyperlink" Target="https://arxiv.org/abs/2205.06836" TargetMode="External"/><Relationship Id="rId238" Type="http://schemas.openxmlformats.org/officeDocument/2006/relationships/hyperlink" Target="https://arxiv.org/abs/2205.04339" TargetMode="External"/><Relationship Id="rId237" Type="http://schemas.openxmlformats.org/officeDocument/2006/relationships/hyperlink" Target="https://arxiv.org/abs/2205.03467" TargetMode="External"/><Relationship Id="rId236" Type="http://schemas.openxmlformats.org/officeDocument/2006/relationships/hyperlink" Target="https://arxiv.org/abs/2204.06183" TargetMode="External"/><Relationship Id="rId2390" Type="http://schemas.openxmlformats.org/officeDocument/2006/relationships/hyperlink" Target="https://opg.optica.org/oe/fulltext.cfm?uri=oe-32-9-15390&amp;id=548894" TargetMode="External"/><Relationship Id="rId1060" Type="http://schemas.openxmlformats.org/officeDocument/2006/relationships/hyperlink" Target="https://conference.sdo.esoc.esa.int/proceedings/sdc9/paper/197/SDC9-paper197.pdf" TargetMode="External"/><Relationship Id="rId2391" Type="http://schemas.openxmlformats.org/officeDocument/2006/relationships/hyperlink" Target="https://opg.optica.org/optica/abstract.cfm?URI=optica-11-5-606" TargetMode="External"/><Relationship Id="rId1061" Type="http://schemas.openxmlformats.org/officeDocument/2006/relationships/hyperlink" Target="https://controls.papercept.net/images/temp/SICE/files/0180.pdf" TargetMode="External"/><Relationship Id="rId2392" Type="http://schemas.openxmlformats.org/officeDocument/2006/relationships/hyperlink" Target="https://orcid.org/0000-0002-3831-6778" TargetMode="External"/><Relationship Id="rId231" Type="http://schemas.openxmlformats.org/officeDocument/2006/relationships/hyperlink" Target="https://arxiv.org/abs/2203.13859" TargetMode="External"/><Relationship Id="rId1062" Type="http://schemas.openxmlformats.org/officeDocument/2006/relationships/hyperlink" Target="https://controls.papercept.net/images/temp/SICE/files/0322.pdf" TargetMode="External"/><Relationship Id="rId2393" Type="http://schemas.openxmlformats.org/officeDocument/2006/relationships/hyperlink" Target="https://paperguide.ai/papers/top/research-papers-neuromorphic-computing" TargetMode="External"/><Relationship Id="rId230" Type="http://schemas.openxmlformats.org/officeDocument/2006/relationships/hyperlink" Target="https://arxiv.org/abs/2203.13093" TargetMode="External"/><Relationship Id="rId1063" Type="http://schemas.openxmlformats.org/officeDocument/2006/relationships/hyperlink" Target="https://criticalplayground.org/news/the-camera-that-sees-change-2" TargetMode="External"/><Relationship Id="rId2394" Type="http://schemas.openxmlformats.org/officeDocument/2006/relationships/hyperlink" Target="https://paperpile.com/?welcome" TargetMode="External"/><Relationship Id="rId1064" Type="http://schemas.openxmlformats.org/officeDocument/2006/relationships/hyperlink" Target="https://cse.buffalo.edu/~jsyuan/papers/2019/WACV_2019_Qinyi.pdf" TargetMode="External"/><Relationship Id="rId2395" Type="http://schemas.openxmlformats.org/officeDocument/2006/relationships/hyperlink" Target="https://paperpile.com/g/academic-research-databases/" TargetMode="External"/><Relationship Id="rId1065" Type="http://schemas.openxmlformats.org/officeDocument/2006/relationships/hyperlink" Target="https://cvpr.thecvf.com" TargetMode="External"/><Relationship Id="rId2396" Type="http://schemas.openxmlformats.org/officeDocument/2006/relationships/hyperlink" Target="https://papers.nips.cc/paper/2020/file/c213877427b46fa96cff6c39e837ccee-Paper.pdf" TargetMode="External"/><Relationship Id="rId235" Type="http://schemas.openxmlformats.org/officeDocument/2006/relationships/hyperlink" Target="https://arxiv.org/abs/2204.05172" TargetMode="External"/><Relationship Id="rId1066" Type="http://schemas.openxmlformats.org/officeDocument/2006/relationships/hyperlink" Target="https://cvpr.thecvf.com/virtual/2025/35602" TargetMode="External"/><Relationship Id="rId2397" Type="http://schemas.openxmlformats.org/officeDocument/2006/relationships/hyperlink" Target="https://papers.ssrn.com/sol3/papers.cfm?abstract_id=4264344" TargetMode="External"/><Relationship Id="rId234" Type="http://schemas.openxmlformats.org/officeDocument/2006/relationships/hyperlink" Target="https://arxiv.org/abs/2204.03355" TargetMode="External"/><Relationship Id="rId1067" Type="http://schemas.openxmlformats.org/officeDocument/2006/relationships/hyperlink" Target="https://cvpr.thecvf.com/virtual/2025/events/workshop" TargetMode="External"/><Relationship Id="rId2398" Type="http://schemas.openxmlformats.org/officeDocument/2006/relationships/hyperlink" Target="https://paperswithcode.com/paper/denoising-distillation-makes-event-frame" TargetMode="External"/><Relationship Id="rId233" Type="http://schemas.openxmlformats.org/officeDocument/2006/relationships/hyperlink" Target="https://arxiv.org/abs/2203.17149" TargetMode="External"/><Relationship Id="rId1068" Type="http://schemas.openxmlformats.org/officeDocument/2006/relationships/hyperlink" Target="https://cvpr.thecvf.com/virtual/2025/poster/32386" TargetMode="External"/><Relationship Id="rId2399" Type="http://schemas.openxmlformats.org/officeDocument/2006/relationships/hyperlink" Target="https://paperswithcode.com/task/event-based-vision/codeless" TargetMode="External"/><Relationship Id="rId232" Type="http://schemas.openxmlformats.org/officeDocument/2006/relationships/hyperlink" Target="https://arxiv.org/abs/2203.15439" TargetMode="External"/><Relationship Id="rId1069" Type="http://schemas.openxmlformats.org/officeDocument/2006/relationships/hyperlink" Target="https://cvpr.thecvf.com/virtual/2025/poster/34116" TargetMode="External"/><Relationship Id="rId1015" Type="http://schemas.openxmlformats.org/officeDocument/2006/relationships/hyperlink" Target="https://arxiv.org/pdf/2412.11436" TargetMode="External"/><Relationship Id="rId2346" Type="http://schemas.openxmlformats.org/officeDocument/2006/relationships/hyperlink" Target="https://openmv.io/products/genx320-camera-module" TargetMode="External"/><Relationship Id="rId1016" Type="http://schemas.openxmlformats.org/officeDocument/2006/relationships/hyperlink" Target="https://arxiv.org/pdf/2412.11579" TargetMode="External"/><Relationship Id="rId2347" Type="http://schemas.openxmlformats.org/officeDocument/2006/relationships/hyperlink" Target="https://openmv.io/products/openmv-cam-h7-plus" TargetMode="External"/><Relationship Id="rId1017" Type="http://schemas.openxmlformats.org/officeDocument/2006/relationships/hyperlink" Target="https://arxiv.org/pdf/2412.11753" TargetMode="External"/><Relationship Id="rId2348" Type="http://schemas.openxmlformats.org/officeDocument/2006/relationships/hyperlink" Target="https://openmv.io/products/openmv-cam-rt" TargetMode="External"/><Relationship Id="rId1018" Type="http://schemas.openxmlformats.org/officeDocument/2006/relationships/hyperlink" Target="https://arxiv.org/pdf/2412.11866" TargetMode="External"/><Relationship Id="rId2349" Type="http://schemas.openxmlformats.org/officeDocument/2006/relationships/hyperlink" Target="https://openreview.net/forum?id=BqtoARyz7Y" TargetMode="External"/><Relationship Id="rId1019" Type="http://schemas.openxmlformats.org/officeDocument/2006/relationships/hyperlink" Target="https://arxiv.org/pdf/2501.09396" TargetMode="External"/><Relationship Id="rId2340" Type="http://schemas.openxmlformats.org/officeDocument/2006/relationships/hyperlink" Target="https://openaccess.thecvf.com/content/WACV2025W/EVGEN/papers/Kumar_Simple_Transformer_with_Single_Leaky_Neuron_for_Event_Vision_WACVW_2025_paper.pdf" TargetMode="External"/><Relationship Id="rId1010" Type="http://schemas.openxmlformats.org/officeDocument/2006/relationships/hyperlink" Target="https://arxiv.org/pdf/2412.08120" TargetMode="External"/><Relationship Id="rId2341" Type="http://schemas.openxmlformats.org/officeDocument/2006/relationships/hyperlink" Target="https://openaccess.thecvf.com/content/WACV2025W/EVGEN/papers/Park_Continuous_Histogram_for_Event-based_Vision_Camera_Systems_WACVW_2025_paper.pdf" TargetMode="External"/><Relationship Id="rId1011" Type="http://schemas.openxmlformats.org/officeDocument/2006/relationships/hyperlink" Target="https://arxiv.org/pdf/2412.08849" TargetMode="External"/><Relationship Id="rId2342" Type="http://schemas.openxmlformats.org/officeDocument/2006/relationships/hyperlink" Target="https://openaccess.thecvf.com/WACV2024" TargetMode="External"/><Relationship Id="rId1012" Type="http://schemas.openxmlformats.org/officeDocument/2006/relationships/hyperlink" Target="https://arxiv.org/pdf/2412.08909" TargetMode="External"/><Relationship Id="rId2343" Type="http://schemas.openxmlformats.org/officeDocument/2006/relationships/hyperlink" Target="https://openmv.io" TargetMode="External"/><Relationship Id="rId1013" Type="http://schemas.openxmlformats.org/officeDocument/2006/relationships/hyperlink" Target="https://arxiv.org/pdf/2412.09105" TargetMode="External"/><Relationship Id="rId2344" Type="http://schemas.openxmlformats.org/officeDocument/2006/relationships/hyperlink" Target="https://openmv.io/collections/cameras" TargetMode="External"/><Relationship Id="rId1014" Type="http://schemas.openxmlformats.org/officeDocument/2006/relationships/hyperlink" Target="https://arxiv.org/pdf/2412.09209" TargetMode="External"/><Relationship Id="rId2345" Type="http://schemas.openxmlformats.org/officeDocument/2006/relationships/hyperlink" Target="https://openmv.io/pages/about" TargetMode="External"/><Relationship Id="rId1004" Type="http://schemas.openxmlformats.org/officeDocument/2006/relationships/hyperlink" Target="https://arxiv.org/pdf/2411.17313" TargetMode="External"/><Relationship Id="rId2335" Type="http://schemas.openxmlformats.org/officeDocument/2006/relationships/hyperlink" Target="https://openaccess.thecvf.com/content/ICCV2025W/NeVi/papers/Elms_Event-based_Spinning_Object_SLAM_ICCVW_2025_paper.pdf" TargetMode="External"/><Relationship Id="rId1005" Type="http://schemas.openxmlformats.org/officeDocument/2006/relationships/hyperlink" Target="https://arxiv.org/pdf/2411.18658" TargetMode="External"/><Relationship Id="rId2336" Type="http://schemas.openxmlformats.org/officeDocument/2006/relationships/hyperlink" Target="https://openaccess.thecvf.com/content/WACV2022/papers/Salvatore_Learned_Event-Based_Visual_Perception_for_Improved_Space_Object_Detection_WACV_2022_paper.pdf" TargetMode="External"/><Relationship Id="rId1006" Type="http://schemas.openxmlformats.org/officeDocument/2006/relationships/hyperlink" Target="https://arxiv.org/pdf/2412.00133" TargetMode="External"/><Relationship Id="rId2337" Type="http://schemas.openxmlformats.org/officeDocument/2006/relationships/hyperlink" Target="https://openaccess.thecvf.com/content/WACV2022/papers/Stoffregen_Event-Based_Kilohertz_Eye_Tracking_Using_Coded_Differential_Lighting_WACV_2022_paper.pdf" TargetMode="External"/><Relationship Id="rId1007" Type="http://schemas.openxmlformats.org/officeDocument/2006/relationships/hyperlink" Target="https://arxiv.org/pdf/2412.00816" TargetMode="External"/><Relationship Id="rId2338" Type="http://schemas.openxmlformats.org/officeDocument/2006/relationships/hyperlink" Target="https://openaccess.thecvf.com/content/WACV2024/papers/Fox_Unsupervised_Event-Based_Video_Reconstruction_WACV_2024_paper.pdf" TargetMode="External"/><Relationship Id="rId1008" Type="http://schemas.openxmlformats.org/officeDocument/2006/relationships/hyperlink" Target="https://arxiv.org/pdf/2412.00832" TargetMode="External"/><Relationship Id="rId2339" Type="http://schemas.openxmlformats.org/officeDocument/2006/relationships/hyperlink" Target="https://openaccess.thecvf.com/content/WACV2024/supplemental/Chen_Depth_From_Asymmetric_WACV_2024_supplemental.pdf" TargetMode="External"/><Relationship Id="rId1009" Type="http://schemas.openxmlformats.org/officeDocument/2006/relationships/hyperlink" Target="https://arxiv.org/pdf/2412.01300" TargetMode="External"/><Relationship Id="rId2330" Type="http://schemas.openxmlformats.org/officeDocument/2006/relationships/hyperlink" Target="https://openaccess.thecvf.com/content/ICCV2023/html/Zhu_Cross-Modal_Orthogonal_High-Rank_Augmentation_for_RGB-Event_Transformer-Trackers_ICCV_2023_paper.html" TargetMode="External"/><Relationship Id="rId1000" Type="http://schemas.openxmlformats.org/officeDocument/2006/relationships/hyperlink" Target="https://arxiv.org/pdf/2411.02854" TargetMode="External"/><Relationship Id="rId2331" Type="http://schemas.openxmlformats.org/officeDocument/2006/relationships/hyperlink" Target="https://openaccess.thecvf.com/content/ICCV2025W/NeVi/html/Bihl_Toward_Low-SWaP_Cognitive_Agents_Neuromorphic_Intelligence_and_FPGA-Based_Deployments_of_ICCVW_2025_paper.html" TargetMode="External"/><Relationship Id="rId1001" Type="http://schemas.openxmlformats.org/officeDocument/2006/relationships/hyperlink" Target="https://arxiv.org/pdf/2411.03928" TargetMode="External"/><Relationship Id="rId2332" Type="http://schemas.openxmlformats.org/officeDocument/2006/relationships/hyperlink" Target="https://openaccess.thecvf.com/content/ICCV2025W/NeVi/html/Hay_Comparing_Representations_for_Event_Camera-based_Visual_Object_Tracking_ICCVW_2025_paper.html" TargetMode="External"/><Relationship Id="rId1002" Type="http://schemas.openxmlformats.org/officeDocument/2006/relationships/hyperlink" Target="https://arxiv.org/pdf/2411.05806" TargetMode="External"/><Relationship Id="rId2333" Type="http://schemas.openxmlformats.org/officeDocument/2006/relationships/hyperlink" Target="https://openaccess.thecvf.com/content/ICCV2025W/NeVi/html/Howard_Enhancing_Event-Based_Optical_Camera_Communication_Via_Dynamic_Timing_Correction_ICCVW_2025_paper.html" TargetMode="External"/><Relationship Id="rId1003" Type="http://schemas.openxmlformats.org/officeDocument/2006/relationships/hyperlink" Target="https://arxiv.org/pdf/2411.16711" TargetMode="External"/><Relationship Id="rId2334" Type="http://schemas.openxmlformats.org/officeDocument/2006/relationships/hyperlink" Target="https://openaccess.thecvf.com/content/ICCV2025W/NeVi/html/So_Neural_Ganglion_Sensors_Learning_Task-specific_Event_Cameras_Inspired_by_the_ICCVW_2025_paper.html" TargetMode="External"/><Relationship Id="rId1037" Type="http://schemas.openxmlformats.org/officeDocument/2006/relationships/hyperlink" Target="https://arxiv.org/pdf/2511.18920" TargetMode="External"/><Relationship Id="rId2368" Type="http://schemas.openxmlformats.org/officeDocument/2006/relationships/hyperlink" Target="https://openreview.net/pdf?id=ZQy6dGlBay" TargetMode="External"/><Relationship Id="rId1038" Type="http://schemas.openxmlformats.org/officeDocument/2006/relationships/hyperlink" Target="https://arxiv.org/pdf/2511.20175" TargetMode="External"/><Relationship Id="rId2369" Type="http://schemas.openxmlformats.org/officeDocument/2006/relationships/hyperlink" Target="https://openreview.net/pdf/08948ef0b14cbcadcce5570403a532c879e1f404.pdf" TargetMode="External"/><Relationship Id="rId1039" Type="http://schemas.openxmlformats.org/officeDocument/2006/relationships/hyperlink" Target="https://arxiv.org/pdf/2512.00327" TargetMode="External"/><Relationship Id="rId206" Type="http://schemas.openxmlformats.org/officeDocument/2006/relationships/hyperlink" Target="https://arxiv.org/abs/2105.05973" TargetMode="External"/><Relationship Id="rId205" Type="http://schemas.openxmlformats.org/officeDocument/2006/relationships/hyperlink" Target="https://arxiv.org/abs/2105.01203" TargetMode="External"/><Relationship Id="rId204" Type="http://schemas.openxmlformats.org/officeDocument/2006/relationships/hyperlink" Target="https://arxiv.org/abs/2105.00480" TargetMode="External"/><Relationship Id="rId203" Type="http://schemas.openxmlformats.org/officeDocument/2006/relationships/hyperlink" Target="https://arxiv.org/abs/2104.12579" TargetMode="External"/><Relationship Id="rId209" Type="http://schemas.openxmlformats.org/officeDocument/2006/relationships/hyperlink" Target="https://arxiv.org/abs/2106.00216" TargetMode="External"/><Relationship Id="rId208" Type="http://schemas.openxmlformats.org/officeDocument/2006/relationships/hyperlink" Target="https://arxiv.org/abs/2105.14753" TargetMode="External"/><Relationship Id="rId207" Type="http://schemas.openxmlformats.org/officeDocument/2006/relationships/hyperlink" Target="https://arxiv.org/abs/2105.06091" TargetMode="External"/><Relationship Id="rId2360" Type="http://schemas.openxmlformats.org/officeDocument/2006/relationships/hyperlink" Target="https://openreview.net/forum?id=P7h7UT9uDzb" TargetMode="External"/><Relationship Id="rId1030" Type="http://schemas.openxmlformats.org/officeDocument/2006/relationships/hyperlink" Target="https://arxiv.org/pdf/2508.12637" TargetMode="External"/><Relationship Id="rId2361" Type="http://schemas.openxmlformats.org/officeDocument/2006/relationships/hyperlink" Target="https://openreview.net/forum?id=qcFTezC4x9" TargetMode="External"/><Relationship Id="rId1031" Type="http://schemas.openxmlformats.org/officeDocument/2006/relationships/hyperlink" Target="https://arxiv.org/pdf/2508.12813" TargetMode="External"/><Relationship Id="rId2362" Type="http://schemas.openxmlformats.org/officeDocument/2006/relationships/hyperlink" Target="https://openreview.net/forum?id=SEfxlDwL7fR" TargetMode="External"/><Relationship Id="rId1032" Type="http://schemas.openxmlformats.org/officeDocument/2006/relationships/hyperlink" Target="https://arxiv.org/pdf/2509.22864" TargetMode="External"/><Relationship Id="rId2363" Type="http://schemas.openxmlformats.org/officeDocument/2006/relationships/hyperlink" Target="https://openreview.net/forum?id=udFZhUgtkI&amp;referrer=%5Bthe%20profile%20of%20Xiangyang%20Ji%5D(%2Fprofile%3Fid%3D~Xiangyang_Ji1)" TargetMode="External"/><Relationship Id="rId202" Type="http://schemas.openxmlformats.org/officeDocument/2006/relationships/hyperlink" Target="https://arxiv.org/abs/2104.05145" TargetMode="External"/><Relationship Id="rId1033" Type="http://schemas.openxmlformats.org/officeDocument/2006/relationships/hyperlink" Target="https://arxiv.org/pdf/2510.01213" TargetMode="External"/><Relationship Id="rId2364" Type="http://schemas.openxmlformats.org/officeDocument/2006/relationships/hyperlink" Target="https://openreview.net/forum?id=ZCStthyW-TD" TargetMode="External"/><Relationship Id="rId201" Type="http://schemas.openxmlformats.org/officeDocument/2006/relationships/hyperlink" Target="https://arxiv.org/abs/2104.02541" TargetMode="External"/><Relationship Id="rId1034" Type="http://schemas.openxmlformats.org/officeDocument/2006/relationships/hyperlink" Target="https://arxiv.org/pdf/2510.26614" TargetMode="External"/><Relationship Id="rId2365" Type="http://schemas.openxmlformats.org/officeDocument/2006/relationships/hyperlink" Target="https://openreview.net/pdf?id=DBHCRrdsfi" TargetMode="External"/><Relationship Id="rId200" Type="http://schemas.openxmlformats.org/officeDocument/2006/relationships/hyperlink" Target="https://arxiv.org/abs/2103.12768" TargetMode="External"/><Relationship Id="rId1035" Type="http://schemas.openxmlformats.org/officeDocument/2006/relationships/hyperlink" Target="https://arxiv.org/pdf/2511.03665" TargetMode="External"/><Relationship Id="rId2366" Type="http://schemas.openxmlformats.org/officeDocument/2006/relationships/hyperlink" Target="https://openreview.net/pdf?id=E3ZMsqdO0D" TargetMode="External"/><Relationship Id="rId1036" Type="http://schemas.openxmlformats.org/officeDocument/2006/relationships/hyperlink" Target="https://arxiv.org/pdf/2511.18037" TargetMode="External"/><Relationship Id="rId2367" Type="http://schemas.openxmlformats.org/officeDocument/2006/relationships/hyperlink" Target="https://openreview.net/pdf?id=Zb3QO7HLIj" TargetMode="External"/><Relationship Id="rId1026" Type="http://schemas.openxmlformats.org/officeDocument/2006/relationships/hyperlink" Target="https://arxiv.org/pdf/2507.03273" TargetMode="External"/><Relationship Id="rId2357" Type="http://schemas.openxmlformats.org/officeDocument/2006/relationships/hyperlink" Target="https://openreview.net/forum?id=mqCUxEsfsI" TargetMode="External"/><Relationship Id="rId1027" Type="http://schemas.openxmlformats.org/officeDocument/2006/relationships/hyperlink" Target="https://arxiv.org/pdf/2507.15734" TargetMode="External"/><Relationship Id="rId2358" Type="http://schemas.openxmlformats.org/officeDocument/2006/relationships/hyperlink" Target="https://openreview.net/forum?id=Oc7PzozG2s" TargetMode="External"/><Relationship Id="rId1028" Type="http://schemas.openxmlformats.org/officeDocument/2006/relationships/hyperlink" Target="https://arxiv.org/pdf/2508.11988" TargetMode="External"/><Relationship Id="rId2359" Type="http://schemas.openxmlformats.org/officeDocument/2006/relationships/hyperlink" Target="https://openreview.net/forum?id=oyzMyylgINj" TargetMode="External"/><Relationship Id="rId1029" Type="http://schemas.openxmlformats.org/officeDocument/2006/relationships/hyperlink" Target="https://arxiv.org/pdf/2508.12564" TargetMode="External"/><Relationship Id="rId2350" Type="http://schemas.openxmlformats.org/officeDocument/2006/relationships/hyperlink" Target="https://openreview.net/forum?id=bzGAELYOyL&amp;noteId=3xieLF0LBh" TargetMode="External"/><Relationship Id="rId1020" Type="http://schemas.openxmlformats.org/officeDocument/2006/relationships/hyperlink" Target="https://arxiv.org/pdf/2502.03057" TargetMode="External"/><Relationship Id="rId2351" Type="http://schemas.openxmlformats.org/officeDocument/2006/relationships/hyperlink" Target="https://openreview.net/forum?id=CNaiJRcX84" TargetMode="External"/><Relationship Id="rId1021" Type="http://schemas.openxmlformats.org/officeDocument/2006/relationships/hyperlink" Target="https://arxiv.org/pdf/2504.10400" TargetMode="External"/><Relationship Id="rId2352" Type="http://schemas.openxmlformats.org/officeDocument/2006/relationships/hyperlink" Target="https://openreview.net/forum?id=d4JmP1T45WE" TargetMode="External"/><Relationship Id="rId1022" Type="http://schemas.openxmlformats.org/officeDocument/2006/relationships/hyperlink" Target="https://arxiv.org/pdf/2504.18235" TargetMode="External"/><Relationship Id="rId2353" Type="http://schemas.openxmlformats.org/officeDocument/2006/relationships/hyperlink" Target="https://openreview.net/forum?id=DH7DQCu1fC" TargetMode="External"/><Relationship Id="rId1023" Type="http://schemas.openxmlformats.org/officeDocument/2006/relationships/hyperlink" Target="https://arxiv.org/pdf/2504.18447" TargetMode="External"/><Relationship Id="rId2354" Type="http://schemas.openxmlformats.org/officeDocument/2006/relationships/hyperlink" Target="https://openreview.net/forum?id=H4xO3doonl-" TargetMode="External"/><Relationship Id="rId1024" Type="http://schemas.openxmlformats.org/officeDocument/2006/relationships/hyperlink" Target="https://arxiv.org/pdf/2504.18521" TargetMode="External"/><Relationship Id="rId2355" Type="http://schemas.openxmlformats.org/officeDocument/2006/relationships/hyperlink" Target="https://openreview.net/forum?id=hTxYJAKY85" TargetMode="External"/><Relationship Id="rId1025" Type="http://schemas.openxmlformats.org/officeDocument/2006/relationships/hyperlink" Target="https://arxiv.org/pdf/2505.22378" TargetMode="External"/><Relationship Id="rId2356" Type="http://schemas.openxmlformats.org/officeDocument/2006/relationships/hyperlink" Target="https://openreview.net/forum?id=JxQeCNabIy" TargetMode="External"/><Relationship Id="rId1910" Type="http://schemas.openxmlformats.org/officeDocument/2006/relationships/hyperlink" Target="https://doi.org/10.5194/isprs-archives-XLVIII-2-W7-2024-9-2024" TargetMode="External"/><Relationship Id="rId1911" Type="http://schemas.openxmlformats.org/officeDocument/2006/relationships/hyperlink" Target="https://doi.org/10.5220/0013588200004664" TargetMode="External"/><Relationship Id="rId1912" Type="http://schemas.openxmlformats.org/officeDocument/2006/relationships/hyperlink" Target="https://doi.org/10.5768/JAO202445.0501002" TargetMode="External"/><Relationship Id="rId1913" Type="http://schemas.openxmlformats.org/officeDocument/2006/relationships/hyperlink" Target="https://doi.org/10.59782/aai.v1i1.285" TargetMode="External"/><Relationship Id="rId1914" Type="http://schemas.openxmlformats.org/officeDocument/2006/relationships/hyperlink" Target="https://doi.org/10.60928/6xz4-1wrc" TargetMode="External"/><Relationship Id="rId1915" Type="http://schemas.openxmlformats.org/officeDocument/2006/relationships/hyperlink" Target="https://doi.org/10.60928/brmo-wf6b" TargetMode="External"/><Relationship Id="rId1916" Type="http://schemas.openxmlformats.org/officeDocument/2006/relationships/hyperlink" Target="https://doi.org/10.60928/cukh-42ir" TargetMode="External"/><Relationship Id="rId1917" Type="http://schemas.openxmlformats.org/officeDocument/2006/relationships/hyperlink" Target="https://doi.org/10.60928/h94e-3tbp" TargetMode="External"/><Relationship Id="rId1918" Type="http://schemas.openxmlformats.org/officeDocument/2006/relationships/hyperlink" Target="https://doi.org/10.60928/mjf4-fe84" TargetMode="External"/><Relationship Id="rId1919" Type="http://schemas.openxmlformats.org/officeDocument/2006/relationships/hyperlink" Target="https://doi.org/10.60928/yrbv-qvab" TargetMode="External"/><Relationship Id="rId1900" Type="http://schemas.openxmlformats.org/officeDocument/2006/relationships/hyperlink" Target="https://doi.org/10.3390/vehicles7020053" TargetMode="External"/><Relationship Id="rId1901" Type="http://schemas.openxmlformats.org/officeDocument/2006/relationships/hyperlink" Target="https://doi.org/10.3390/wevj16110634" TargetMode="External"/><Relationship Id="rId1902" Type="http://schemas.openxmlformats.org/officeDocument/2006/relationships/hyperlink" Target="https://doi.org/10.34133/icomputing.0043" TargetMode="External"/><Relationship Id="rId1903" Type="http://schemas.openxmlformats.org/officeDocument/2006/relationships/hyperlink" Target="https://doi.org/10.34133/icomputing.0243" TargetMode="External"/><Relationship Id="rId1904" Type="http://schemas.openxmlformats.org/officeDocument/2006/relationships/hyperlink" Target="https://doi.org/10.3929/ethz-b-000360434" TargetMode="External"/><Relationship Id="rId1905" Type="http://schemas.openxmlformats.org/officeDocument/2006/relationships/hyperlink" Target="https://doi.org/10.3991/ijim.v19i17.56777" TargetMode="External"/><Relationship Id="rId1906" Type="http://schemas.openxmlformats.org/officeDocument/2006/relationships/hyperlink" Target="https://doi.org/10.46604/aiti.2024.14121" TargetMode="External"/><Relationship Id="rId1907" Type="http://schemas.openxmlformats.org/officeDocument/2006/relationships/hyperlink" Target="https://doi.org/10.48550/arXiv.2005.00974" TargetMode="External"/><Relationship Id="rId1908" Type="http://schemas.openxmlformats.org/officeDocument/2006/relationships/hyperlink" Target="https://doi.org/10.5162/SMSI2025/B6.3" TargetMode="External"/><Relationship Id="rId1909" Type="http://schemas.openxmlformats.org/officeDocument/2006/relationships/hyperlink" Target="https://doi.org/10.5167/uzh-121743" TargetMode="External"/><Relationship Id="rId1090" Type="http://schemas.openxmlformats.org/officeDocument/2006/relationships/hyperlink" Target="https://dl.acm.org/doi/abs/10.1145/3517343.3517372?casa_token=AU7qGbzeonEAAAAA:RdTJPVgB5ByVFMQy75U0lhZN05oizC78QgtVaUaUjgl5Slbmba0wCQ3DfxEfdCgmG4AUW4swcGiiQA" TargetMode="External"/><Relationship Id="rId1091" Type="http://schemas.openxmlformats.org/officeDocument/2006/relationships/hyperlink" Target="https://dl.acm.org/doi/abs/10.1145/3574131.3574457" TargetMode="External"/><Relationship Id="rId1092" Type="http://schemas.openxmlformats.org/officeDocument/2006/relationships/hyperlink" Target="https://dl.acm.org/doi/abs/10.1145/3588028.3603683" TargetMode="External"/><Relationship Id="rId1093" Type="http://schemas.openxmlformats.org/officeDocument/2006/relationships/hyperlink" Target="https://dl.acm.org/doi/abs/10.1145/3589737.3605962" TargetMode="External"/><Relationship Id="rId1094" Type="http://schemas.openxmlformats.org/officeDocument/2006/relationships/hyperlink" Target="https://dl.acm.org/doi/abs/10.1145/3678529" TargetMode="External"/><Relationship Id="rId1095" Type="http://schemas.openxmlformats.org/officeDocument/2006/relationships/hyperlink" Target="https://dl.acm.org/doi/fullHtml/10.1145/3627631.3627650" TargetMode="External"/><Relationship Id="rId1096" Type="http://schemas.openxmlformats.org/officeDocument/2006/relationships/hyperlink" Target="https://dl.acm.org/doi/pdf/10.1145/3636534.3694721" TargetMode="External"/><Relationship Id="rId1097" Type="http://schemas.openxmlformats.org/officeDocument/2006/relationships/hyperlink" Target="https://dl.acm.org/doi/pdf/10.1145/3664647.3680992" TargetMode="External"/><Relationship Id="rId1098" Type="http://schemas.openxmlformats.org/officeDocument/2006/relationships/hyperlink" Target="https://docs.github.com/en/communities/documenting-your-project-with-wikis" TargetMode="External"/><Relationship Id="rId1099" Type="http://schemas.openxmlformats.org/officeDocument/2006/relationships/hyperlink" Target="https://docs.google.com/document/d/1zpShWZWwbyfp4uZzI5RkOZV-EfR8LGcnXnEa6qQhcys/edit?usp=sharing" TargetMode="External"/><Relationship Id="rId1080" Type="http://schemas.openxmlformats.org/officeDocument/2006/relationships/hyperlink" Target="https://discover.dtic.mil/results/?q=event+cameras" TargetMode="External"/><Relationship Id="rId1081" Type="http://schemas.openxmlformats.org/officeDocument/2006/relationships/hyperlink" Target="https://discovery.ucl.ac.uk/id/eprint/10111582/1/TIP1.pdf" TargetMode="External"/><Relationship Id="rId1082" Type="http://schemas.openxmlformats.org/officeDocument/2006/relationships/hyperlink" Target="https://dl.acm.org/doi/10.1145/3459066.3459075" TargetMode="External"/><Relationship Id="rId1083" Type="http://schemas.openxmlformats.org/officeDocument/2006/relationships/hyperlink" Target="https://dl.acm.org/doi/10.1145/3523132.3523146" TargetMode="External"/><Relationship Id="rId1084" Type="http://schemas.openxmlformats.org/officeDocument/2006/relationships/hyperlink" Target="https://dl.acm.org/doi/10.1145/3584954.3584996" TargetMode="External"/><Relationship Id="rId1085" Type="http://schemas.openxmlformats.org/officeDocument/2006/relationships/hyperlink" Target="https://dl.acm.org/doi/10.1145/3584954.3584997" TargetMode="External"/><Relationship Id="rId1086" Type="http://schemas.openxmlformats.org/officeDocument/2006/relationships/hyperlink" Target="https://dl.acm.org/doi/10.1145/3593587" TargetMode="External"/><Relationship Id="rId1087" Type="http://schemas.openxmlformats.org/officeDocument/2006/relationships/hyperlink" Target="https://dl.acm.org/doi/10.1145/3643832.3661415" TargetMode="External"/><Relationship Id="rId1088" Type="http://schemas.openxmlformats.org/officeDocument/2006/relationships/hyperlink" Target="https://dl.acm.org/doi/10.1145/3786794" TargetMode="External"/><Relationship Id="rId1089" Type="http://schemas.openxmlformats.org/officeDocument/2006/relationships/hyperlink" Target="https://dl.acm.org/doi/abs/10.1145/3503161.3548048" TargetMode="External"/><Relationship Id="rId1972" Type="http://schemas.openxmlformats.org/officeDocument/2006/relationships/hyperlink" Target="https://github.com/NAIL-HNU/ESVO2" TargetMode="External"/><Relationship Id="rId1973" Type="http://schemas.openxmlformats.org/officeDocument/2006/relationships/hyperlink" Target="https://github.com/neuromorphic-paris/event_batch" TargetMode="External"/><Relationship Id="rId1974" Type="http://schemas.openxmlformats.org/officeDocument/2006/relationships/hyperlink" Target="https://github.com/neuromorphicsystems/IEBCS" TargetMode="External"/><Relationship Id="rId1975" Type="http://schemas.openxmlformats.org/officeDocument/2006/relationships/hyperlink" Target="https://github.com/openmv/openmv-projects/tree/master/donkey-car" TargetMode="External"/><Relationship Id="rId1976" Type="http://schemas.openxmlformats.org/officeDocument/2006/relationships/hyperlink" Target="https://github.com/pbonazzi/retina" TargetMode="External"/><Relationship Id="rId1977" Type="http://schemas.openxmlformats.org/officeDocument/2006/relationships/hyperlink" Target="https://github.com/prophesee-ai" TargetMode="External"/><Relationship Id="rId1978" Type="http://schemas.openxmlformats.org/officeDocument/2006/relationships/hyperlink" Target="https://github.com/prophesee-ai/linux-sensor-drivers" TargetMode="External"/><Relationship Id="rId1979" Type="http://schemas.openxmlformats.org/officeDocument/2006/relationships/hyperlink" Target="https://github.com/prophesee-ai/openeb" TargetMode="External"/><Relationship Id="rId1970" Type="http://schemas.openxmlformats.org/officeDocument/2006/relationships/hyperlink" Target="https://github.com/LogicTronixInc/Kria-Prophesee-Event-VitisAI" TargetMode="External"/><Relationship Id="rId1971" Type="http://schemas.openxmlformats.org/officeDocument/2006/relationships/hyperlink" Target="https://github.com/mikihiroikura/RATE" TargetMode="External"/><Relationship Id="rId1961" Type="http://schemas.openxmlformats.org/officeDocument/2006/relationships/hyperlink" Target="https://github.com/dirksavage88" TargetMode="External"/><Relationship Id="rId1962" Type="http://schemas.openxmlformats.org/officeDocument/2006/relationships/hyperlink" Target="https://github.com/Event-AHU/Event_Camera_in_Top_Conference" TargetMode="External"/><Relationship Id="rId1963" Type="http://schemas.openxmlformats.org/officeDocument/2006/relationships/hyperlink" Target="https://github.com/Event-AHU/EventVOT_Benchmark" TargetMode="External"/><Relationship Id="rId1964" Type="http://schemas.openxmlformats.org/officeDocument/2006/relationships/hyperlink" Target="https://github.com/Event-Camera-Community-Group-ECCG/community/blob/simulation-tooling/simulation-tooling/README.md" TargetMode="External"/><Relationship Id="rId1965" Type="http://schemas.openxmlformats.org/officeDocument/2006/relationships/hyperlink" Target="https://github.com/HYLZ-2019/Neuro_Vision_Map" TargetMode="External"/><Relationship Id="rId1966" Type="http://schemas.openxmlformats.org/officeDocument/2006/relationships/hyperlink" Target="https://github.com/intelpro/CBMNet" TargetMode="External"/><Relationship Id="rId1967" Type="http://schemas.openxmlformats.org/officeDocument/2006/relationships/hyperlink" Target="https://github.com/IS2AI/faces-in-event-streams" TargetMode="External"/><Relationship Id="rId1968" Type="http://schemas.openxmlformats.org/officeDocument/2006/relationships/hyperlink" Target="https://github.com/jackpiecz/ee3p" TargetMode="External"/><Relationship Id="rId1969" Type="http://schemas.openxmlformats.org/officeDocument/2006/relationships/hyperlink" Target="https://github.com/ldkong1205/OpenESS" TargetMode="External"/><Relationship Id="rId1960" Type="http://schemas.openxmlformats.org/officeDocument/2006/relationships/hyperlink" Target="https://github.com/dhyuan99/VecKM_flow" TargetMode="External"/><Relationship Id="rId1994" Type="http://schemas.openxmlformats.org/officeDocument/2006/relationships/hyperlink" Target="https://github.com/WarranWeng/EBFI-BE" TargetMode="External"/><Relationship Id="rId1995" Type="http://schemas.openxmlformats.org/officeDocument/2006/relationships/hyperlink" Target="https://github.com/zhiwen-xdu/EventSAM" TargetMode="External"/><Relationship Id="rId1996" Type="http://schemas.openxmlformats.org/officeDocument/2006/relationships/hyperlink" Target="https://gitlab.com/EuropeanSpaceAgency/trajectory-to-events" TargetMode="External"/><Relationship Id="rId1997" Type="http://schemas.openxmlformats.org/officeDocument/2006/relationships/hyperlink" Target="https://griffin-erc-advanced-grant.eu/wp-content/uploads/2020/08/Asynchronous-Event-based-Line-Tracking-for-Time-to-Contact-Maneuvers-in-UAS.pdf" TargetMode="External"/><Relationship Id="rId1998" Type="http://schemas.openxmlformats.org/officeDocument/2006/relationships/hyperlink" Target="https://guides.pnw.edu/c.php?g=979963&amp;p=8514619" TargetMode="External"/><Relationship Id="rId1999" Type="http://schemas.openxmlformats.org/officeDocument/2006/relationships/hyperlink" Target="https://gvv.mpi-inf.mpg.de/projects/EventHands/" TargetMode="External"/><Relationship Id="rId1990" Type="http://schemas.openxmlformats.org/officeDocument/2006/relationships/hyperlink" Target="https://github.com/uzh-rpg/rpg_eklt" TargetMode="External"/><Relationship Id="rId1991" Type="http://schemas.openxmlformats.org/officeDocument/2006/relationships/hyperlink" Target="https://github.com/uzh-rpg/rpg_esim" TargetMode="External"/><Relationship Id="rId1992" Type="http://schemas.openxmlformats.org/officeDocument/2006/relationships/hyperlink" Target="https://github.com/vincentqqu/e2hqv" TargetMode="External"/><Relationship Id="rId1993" Type="http://schemas.openxmlformats.org/officeDocument/2006/relationships/hyperlink" Target="https://github.com/wanzengy/S2N-Suppression-Strengthen-Network" TargetMode="External"/><Relationship Id="rId1983" Type="http://schemas.openxmlformats.org/officeDocument/2006/relationships/hyperlink" Target="https://github.com/tub-rip/cmax_slam/blob/main/README.md" TargetMode="External"/><Relationship Id="rId1984" Type="http://schemas.openxmlformats.org/officeDocument/2006/relationships/hyperlink" Target="https://github.com/tub-rip/dvs_mcemvs" TargetMode="External"/><Relationship Id="rId1985" Type="http://schemas.openxmlformats.org/officeDocument/2006/relationships/hyperlink" Target="https://github.com/tub-rip/event_based_optical_flow" TargetMode="External"/><Relationship Id="rId1986" Type="http://schemas.openxmlformats.org/officeDocument/2006/relationships/hyperlink" Target="https://github.com/tub-rip/event_slip" TargetMode="External"/><Relationship Id="rId1987" Type="http://schemas.openxmlformats.org/officeDocument/2006/relationships/hyperlink" Target="https://github.com/Unsigned-Long/eKalibr" TargetMode="External"/><Relationship Id="rId1988" Type="http://schemas.openxmlformats.org/officeDocument/2006/relationships/hyperlink" Target="https://github.com/uzh-rpg/event-based_vision_resources" TargetMode="External"/><Relationship Id="rId1989" Type="http://schemas.openxmlformats.org/officeDocument/2006/relationships/hyperlink" Target="https://github.com/uzh-rpg/flightmare" TargetMode="External"/><Relationship Id="rId1980" Type="http://schemas.openxmlformats.org/officeDocument/2006/relationships/hyperlink" Target="https://github.com/raultapia/efft" TargetMode="External"/><Relationship Id="rId1981" Type="http://schemas.openxmlformats.org/officeDocument/2006/relationships/hyperlink" Target="https://github.com/ros-acceleration" TargetMode="External"/><Relationship Id="rId1982" Type="http://schemas.openxmlformats.org/officeDocument/2006/relationships/hyperlink" Target="https://github.com/TOTON95/linux-sensor-drivers-prophesee" TargetMode="External"/><Relationship Id="rId1930" Type="http://schemas.openxmlformats.org/officeDocument/2006/relationships/hyperlink" Target="https://drive.google.com/file/d/1Pq1knxZmM6X8smEe0rtlE7t6XI9UOcE5/view?usp=drive_link" TargetMode="External"/><Relationship Id="rId1931" Type="http://schemas.openxmlformats.org/officeDocument/2006/relationships/hyperlink" Target="https://drive.google.com/file/d/1s40YRb1HdJ7GMWotIpakDeKl9ETv8dd6/view?usp=drive_link" TargetMode="External"/><Relationship Id="rId1932" Type="http://schemas.openxmlformats.org/officeDocument/2006/relationships/hyperlink" Target="https://drive.google.com/file/d/1U-sSOR8Xx5RbrLDxoU8zLu95pRx-N3jx/view?usp=drive_link" TargetMode="External"/><Relationship Id="rId1933" Type="http://schemas.openxmlformats.org/officeDocument/2006/relationships/hyperlink" Target="https://drive.google.com/file/d/1Uf_lHBa0wkICWCFTD9gBQn2P3bePbisA/view?usp=drive_link" TargetMode="External"/><Relationship Id="rId1934" Type="http://schemas.openxmlformats.org/officeDocument/2006/relationships/hyperlink" Target="https://dsec.ifi.uzh.ch/" TargetMode="External"/><Relationship Id="rId1935" Type="http://schemas.openxmlformats.org/officeDocument/2006/relationships/hyperlink" Target="https://eccv.ecva.net/virtual/2024/poster/1447" TargetMode="External"/><Relationship Id="rId1936" Type="http://schemas.openxmlformats.org/officeDocument/2006/relationships/hyperlink" Target="https://eccv.ecva.net/virtual/2024/poster/2116" TargetMode="External"/><Relationship Id="rId1937" Type="http://schemas.openxmlformats.org/officeDocument/2006/relationships/hyperlink" Target="https://edpr.iit.it/event-details/-/seminars/detail/1629" TargetMode="External"/><Relationship Id="rId1938" Type="http://schemas.openxmlformats.org/officeDocument/2006/relationships/hyperlink" Target="https://edpr.iit.it/events/2026-evs" TargetMode="External"/><Relationship Id="rId1939" Type="http://schemas.openxmlformats.org/officeDocument/2006/relationships/hyperlink" Target="https://elib.dlr.de/215871/" TargetMode="External"/><Relationship Id="rId1920" Type="http://schemas.openxmlformats.org/officeDocument/2006/relationships/hyperlink" Target="https://doi.org/10.60928/zv98-d2xl" TargetMode="External"/><Relationship Id="rId1921" Type="http://schemas.openxmlformats.org/officeDocument/2006/relationships/hyperlink" Target="https://doi.org/10.7717/peerj-cs.2192" TargetMode="External"/><Relationship Id="rId1922" Type="http://schemas.openxmlformats.org/officeDocument/2006/relationships/hyperlink" Target="https://downloads.ctfassets.net/yreyglvi5sud/3nNNylN8GN96d3Cb8YMAUI/990568aa0bf10b4fb1f8e5e7dba61b22/2024______Yang_ECCV.pdf" TargetMode="External"/><Relationship Id="rId1923" Type="http://schemas.openxmlformats.org/officeDocument/2006/relationships/hyperlink" Target="https://drive.google.com/file/d/1A2OtqRl0qFmYpsiN9PQcR0sYpg8dDMcP/view?usp=drive_link" TargetMode="External"/><Relationship Id="rId1924" Type="http://schemas.openxmlformats.org/officeDocument/2006/relationships/hyperlink" Target="https://drive.google.com/file/d/1A7pPxQ0X9yCQoiBpUtkx4U2-EYvyz0Ju/view?usp=drive_link" TargetMode="External"/><Relationship Id="rId1925" Type="http://schemas.openxmlformats.org/officeDocument/2006/relationships/hyperlink" Target="https://drive.google.com/file/d/1cGcFvmJhQyj1sT6f8yPY1LceHDMmMIRa/view?usp=drive_link" TargetMode="External"/><Relationship Id="rId1926" Type="http://schemas.openxmlformats.org/officeDocument/2006/relationships/hyperlink" Target="https://drive.google.com/file/d/1IYgmY8b8eNBrruVlCcg1o4DLQonXwRjy/view?usp=drive_link" TargetMode="External"/><Relationship Id="rId1927" Type="http://schemas.openxmlformats.org/officeDocument/2006/relationships/hyperlink" Target="https://drive.google.com/file/d/1jsi2l3MHqwOeWHIN6U9Yk36mqwLksGew/view?usp=drive_link" TargetMode="External"/><Relationship Id="rId1928" Type="http://schemas.openxmlformats.org/officeDocument/2006/relationships/hyperlink" Target="https://drive.google.com/file/d/1ljPk-etWe3KLKKoKUwe2p70NQ2oeWpkG/view?usp=drive_link" TargetMode="External"/><Relationship Id="rId1929" Type="http://schemas.openxmlformats.org/officeDocument/2006/relationships/hyperlink" Target="https://drive.google.com/file/d/1NOgSHaZOgWkognQhaqmNluR3zhS4fMTj/view?usp=share_link" TargetMode="External"/><Relationship Id="rId1950" Type="http://schemas.openxmlformats.org/officeDocument/2006/relationships/hyperlink" Target="https://events.linuxfoundation.org/px4-developer-summit" TargetMode="External"/><Relationship Id="rId1951" Type="http://schemas.openxmlformats.org/officeDocument/2006/relationships/hyperlink" Target="https://eventvision-robotics.github.io/iros_workshop" TargetMode="External"/><Relationship Id="rId1952" Type="http://schemas.openxmlformats.org/officeDocument/2006/relationships/hyperlink" Target="https://eventvppstereo.github.io/" TargetMode="External"/><Relationship Id="rId1953" Type="http://schemas.openxmlformats.org/officeDocument/2006/relationships/hyperlink" Target="https://femexrobotica.org/imav2025/index.php/keynotes" TargetMode="External"/><Relationship Id="rId1954" Type="http://schemas.openxmlformats.org/officeDocument/2006/relationships/hyperlink" Target="https://flexevent.github.io/" TargetMode="External"/><Relationship Id="rId1955" Type="http://schemas.openxmlformats.org/officeDocument/2006/relationships/hyperlink" Target="https://framos.com/articles/prototype-event-based-vision-systems-with-the-framos-fsm-imx636-devkit-on-the-nvidia-jetson-platform-for-edge-ai-and-robotics" TargetMode="External"/><Relationship Id="rId1956" Type="http://schemas.openxmlformats.org/officeDocument/2006/relationships/hyperlink" Target="https://framos.com/products-solutions/image-sensors/event-based-sensors" TargetMode="External"/><Relationship Id="rId1957" Type="http://schemas.openxmlformats.org/officeDocument/2006/relationships/hyperlink" Target="https://github.com/alessandromarchei/neuromorphicVision" TargetMode="External"/><Relationship Id="rId1958" Type="http://schemas.openxmlformats.org/officeDocument/2006/relationships/hyperlink" Target="https://github.com/berndpfrommer" TargetMode="External"/><Relationship Id="rId1959" Type="http://schemas.openxmlformats.org/officeDocument/2006/relationships/hyperlink" Target="https://github.com/deguchihiroyuki/e2gs" TargetMode="External"/><Relationship Id="rId1940" Type="http://schemas.openxmlformats.org/officeDocument/2006/relationships/hyperlink" Target="https://en.m.wikipedia.org/wiki/Event_camera" TargetMode="External"/><Relationship Id="rId1941" Type="http://schemas.openxmlformats.org/officeDocument/2006/relationships/hyperlink" Target="https://en.wikipedia.org/wiki/Event_camera" TargetMode="External"/><Relationship Id="rId1942" Type="http://schemas.openxmlformats.org/officeDocument/2006/relationships/hyperlink" Target="https://eprints.kingston.ac.uk/id/eprint/52765" TargetMode="External"/><Relationship Id="rId1943" Type="http://schemas.openxmlformats.org/officeDocument/2006/relationships/hyperlink" Target="https://epubs.siam.org/doi/full/10.1137/22M1539204" TargetMode="External"/><Relationship Id="rId1944" Type="http://schemas.openxmlformats.org/officeDocument/2006/relationships/hyperlink" Target="https://esa.int/gsp/ACT/projects/multi_particle_tracking/" TargetMode="External"/><Relationship Id="rId1945" Type="http://schemas.openxmlformats.org/officeDocument/2006/relationships/hyperlink" Target="https://escholarship.org/uc/item/6ck7w36g" TargetMode="External"/><Relationship Id="rId1946" Type="http://schemas.openxmlformats.org/officeDocument/2006/relationships/hyperlink" Target="https://europepmc.org/article/PPR/PPR801337" TargetMode="External"/><Relationship Id="rId1947" Type="http://schemas.openxmlformats.org/officeDocument/2006/relationships/hyperlink" Target="https://eusipco2025.org/wp-content/uploads/pdfs/0000606.pdf" TargetMode="External"/><Relationship Id="rId1948" Type="http://schemas.openxmlformats.org/officeDocument/2006/relationships/hyperlink" Target="https://eventbasedvision.github.io/EVGEN2026" TargetMode="External"/><Relationship Id="rId1949" Type="http://schemas.openxmlformats.org/officeDocument/2006/relationships/hyperlink" Target="https://eventego3d.mpi-inf.mpg.de/" TargetMode="External"/><Relationship Id="rId2423" Type="http://schemas.openxmlformats.org/officeDocument/2006/relationships/hyperlink" Target="https://rpg.ifi.uzh.ch" TargetMode="External"/><Relationship Id="rId2424" Type="http://schemas.openxmlformats.org/officeDocument/2006/relationships/hyperlink" Target="https://rpg.ifi.uzh.ch/davis_data.html" TargetMode="External"/><Relationship Id="rId2425" Type="http://schemas.openxmlformats.org/officeDocument/2006/relationships/hyperlink" Target="https://rpg.ifi.uzh.ch/docs/arxiv22_detection_mgehrig.pdf" TargetMode="External"/><Relationship Id="rId2426" Type="http://schemas.openxmlformats.org/officeDocument/2006/relationships/hyperlink" Target="https://rpg.ifi.uzh.ch/docs/arxiv22_Gehrig.pdf" TargetMode="External"/><Relationship Id="rId2427" Type="http://schemas.openxmlformats.org/officeDocument/2006/relationships/hyperlink" Target="https://rpg.ifi.uzh.ch/docs/CVPR24_Cannici.pdf" TargetMode="External"/><Relationship Id="rId2428" Type="http://schemas.openxmlformats.org/officeDocument/2006/relationships/hyperlink" Target="https://rpg.ifi.uzh.ch/docs/EventVisionSurvey.pdf" TargetMode="External"/><Relationship Id="rId2429" Type="http://schemas.openxmlformats.org/officeDocument/2006/relationships/hyperlink" Target="https://rpg.ifi.uzh.ch/docs/IROS16_Kueng.pdf" TargetMode="External"/><Relationship Id="rId509" Type="http://schemas.openxmlformats.org/officeDocument/2006/relationships/hyperlink" Target="https://arxiv.org/abs/2405.10037" TargetMode="External"/><Relationship Id="rId508" Type="http://schemas.openxmlformats.org/officeDocument/2006/relationships/hyperlink" Target="https://arxiv.org/abs/2405.07050" TargetMode="External"/><Relationship Id="rId503" Type="http://schemas.openxmlformats.org/officeDocument/2006/relationships/hyperlink" Target="https://arxiv.org/abs/2404.18174" TargetMode="External"/><Relationship Id="rId502" Type="http://schemas.openxmlformats.org/officeDocument/2006/relationships/hyperlink" Target="https://arxiv.org/abs/2404.18156" TargetMode="External"/><Relationship Id="rId501" Type="http://schemas.openxmlformats.org/officeDocument/2006/relationships/hyperlink" Target="https://arxiv.org/abs/2404.17771" TargetMode="External"/><Relationship Id="rId500" Type="http://schemas.openxmlformats.org/officeDocument/2006/relationships/hyperlink" Target="https://arxiv.org/abs/2404.17335" TargetMode="External"/><Relationship Id="rId507" Type="http://schemas.openxmlformats.org/officeDocument/2006/relationships/hyperlink" Target="https://arxiv.org/abs/2405.06216" TargetMode="External"/><Relationship Id="rId506" Type="http://schemas.openxmlformats.org/officeDocument/2006/relationships/hyperlink" Target="https://arxiv.org/abs/2405.03995" TargetMode="External"/><Relationship Id="rId505" Type="http://schemas.openxmlformats.org/officeDocument/2006/relationships/hyperlink" Target="https://arxiv.org/abs/2405.00318" TargetMode="External"/><Relationship Id="rId504" Type="http://schemas.openxmlformats.org/officeDocument/2006/relationships/hyperlink" Target="https://arxiv.org/abs/2404.19489" TargetMode="External"/><Relationship Id="rId2420" Type="http://schemas.openxmlformats.org/officeDocument/2006/relationships/hyperlink" Target="https://roboticsconference.org/program/papers/74/" TargetMode="External"/><Relationship Id="rId2421" Type="http://schemas.openxmlformats.org/officeDocument/2006/relationships/hyperlink" Target="https://ros-aerial.github.io/aerial_robotic_landscape/" TargetMode="External"/><Relationship Id="rId2422" Type="http://schemas.openxmlformats.org/officeDocument/2006/relationships/hyperlink" Target="https://royalsocietypublishing.org/doi/10.1098/rstb.2021.0447" TargetMode="External"/><Relationship Id="rId2412" Type="http://schemas.openxmlformats.org/officeDocument/2006/relationships/hyperlink" Target="https://repositorio.udec.cl/handle/11594/12414" TargetMode="External"/><Relationship Id="rId2413" Type="http://schemas.openxmlformats.org/officeDocument/2006/relationships/hyperlink" Target="https://repository.arizona.edu/handle/10150/668225" TargetMode="External"/><Relationship Id="rId2414" Type="http://schemas.openxmlformats.org/officeDocument/2006/relationships/hyperlink" Target="https://repository.tudelft.nl/file/File_66ea24ad-3a60-456f-b544-40b52b060a9d?preview=1" TargetMode="External"/><Relationship Id="rId2415" Type="http://schemas.openxmlformats.org/officeDocument/2006/relationships/hyperlink" Target="https://repositum.tuwien.at/bitstream/20.500.12708/205844/1/Pechhacker%20Lukas%20-%202024%20-%20Stabilization%20of%20a%20rotary%20inverted%20pendulum%20with...pdf" TargetMode="External"/><Relationship Id="rId2416" Type="http://schemas.openxmlformats.org/officeDocument/2006/relationships/hyperlink" Target="https://research.rug.nl/files/830806072/Complete_thesis.pdf" TargetMode="External"/><Relationship Id="rId2417" Type="http://schemas.openxmlformats.org/officeDocument/2006/relationships/hyperlink" Target="https://research.tudelft.nl/en/publications/self-supervised-neuromorphic-perception-for-autonomous-flying-rob" TargetMode="External"/><Relationship Id="rId2418" Type="http://schemas.openxmlformats.org/officeDocument/2006/relationships/hyperlink" Target="https://robohub.org/event-cameras-an-evolution-in-visual-data-capture" TargetMode="External"/><Relationship Id="rId2419" Type="http://schemas.openxmlformats.org/officeDocument/2006/relationships/hyperlink" Target="https://robotics.stackexchange.com/users/37550/bernd-pfrommer" TargetMode="External"/><Relationship Id="rId2410" Type="http://schemas.openxmlformats.org/officeDocument/2006/relationships/hyperlink" Target="https://ras.papercept.net/proceedings/IROS20/2483.pdf" TargetMode="External"/><Relationship Id="rId2411" Type="http://schemas.openxmlformats.org/officeDocument/2006/relationships/hyperlink" Target="https://ras.papercept.net/proceedings/IROS20/2654.pdf" TargetMode="External"/><Relationship Id="rId1114" Type="http://schemas.openxmlformats.org/officeDocument/2006/relationships/hyperlink" Target="https://doi.org/10.1002/inf2.70007" TargetMode="External"/><Relationship Id="rId2445" Type="http://schemas.openxmlformats.org/officeDocument/2006/relationships/hyperlink" Target="https://scholar.google.com/scholar_url?url=https://essopenarchive.org/doi/pdf/10.22541/au.170869833.38256576&amp;hl=en&amp;sa=X&amp;d=2080029798479582829&amp;ei=w4XdZcqFBoiu6rQPpZ-E4A8&amp;scisig=AFWwaeZes0-cmub6KOdrxO_sDwJk&amp;oi=scholaralrt&amp;hist=v0_XxF0AAAAJ:3569881818602551583:AFWwaebTGGDTyWrYirzCeB13pN8J&amp;html=&amp;pos=0&amp;folt=art" TargetMode="External"/><Relationship Id="rId1115" Type="http://schemas.openxmlformats.org/officeDocument/2006/relationships/hyperlink" Target="https://doi.org/10.1002/lpor.202400647" TargetMode="External"/><Relationship Id="rId2446" Type="http://schemas.openxmlformats.org/officeDocument/2006/relationships/hyperlink" Target="https://scholar.google.com/scholar_url?url=https://www.frontiersin.org/journals/remote-sensing/articles/10.3389/frsen.2024.1436898/abstract&amp;hl=en&amp;sa=X&amp;d=577010662842510694&amp;ei=HL3BZouwNvHhy9YP7YXOuAI&amp;scisig=AFWwaeYLgcJqU7Be9-Kh2Wu_9VdY&amp;oi=scholaralrt&amp;hist=v0_XxF0AAAAJ:3569881818602551583:AFWwaebTGGDTyWrYirzCeB13pN8J&amp;html=&amp;pos=0&amp;folt=art" TargetMode="External"/><Relationship Id="rId1116" Type="http://schemas.openxmlformats.org/officeDocument/2006/relationships/hyperlink" Target="https://doi.org/10.1002/lpor.202500106" TargetMode="External"/><Relationship Id="rId2447" Type="http://schemas.openxmlformats.org/officeDocument/2006/relationships/hyperlink" Target="https://scholar.google.com/scholar_url?url=https://www.nature.com/articles/s42256-024-00846-2&amp;hl=en&amp;sa=X&amp;d=9044280886710455208&amp;ei=dbmAZpiLL-PTy9YPncyQqAs&amp;scisig=AFWwaea_xN2YlM6olZXFJuNtj3LC&amp;oi=scholaralrt&amp;hist=v0_XxF0AAAAJ:8917174997265943156:AFWwaeapSw9ueJke5iCq-tjGCnVL&amp;html=&amp;pos=0&amp;folt=art" TargetMode="External"/><Relationship Id="rId1117" Type="http://schemas.openxmlformats.org/officeDocument/2006/relationships/hyperlink" Target="https://doi.org/10.1002/lpor.202502501" TargetMode="External"/><Relationship Id="rId2448" Type="http://schemas.openxmlformats.org/officeDocument/2006/relationships/hyperlink" Target="https://scholar.google.es/scholar_url?url=http://d-scholarship.pitt.edu/46047/1/Master%2520Thesis_Yi%2520Le.pdf&amp;hl=en&amp;sa=X&amp;d=7291981611974723401&amp;ei=kDFiZufTN_KJ6rQPoaWhkAQ&amp;scisig=AFWwaeb0f735kXUMRO0k-wn-le0s&amp;oi=scholaralrt&amp;hist=v0_XxF0AAAAJ:13742027118377625026:AFWwaebUHLr8wRJ2PrQQIxHyeXqg&amp;html=&amp;pos=3&amp;folt=cit&amp;fols=" TargetMode="External"/><Relationship Id="rId1118" Type="http://schemas.openxmlformats.org/officeDocument/2006/relationships/hyperlink" Target="https://doi.org/10.1007/978-3-030-11024-6_54" TargetMode="External"/><Relationship Id="rId2449" Type="http://schemas.openxmlformats.org/officeDocument/2006/relationships/hyperlink" Target="https://scholar.google.es/scholar_url?url=http://d-scholarship.pitt.edu/46596/1/Silbernagel_Master_Thesis.pdf&amp;hl=en&amp;sa=X&amp;d=2957843959637601514&amp;ei=gHzfZpO1AreNy9YPje6XuAo&amp;scisig=AFWwaeaKV_YcbP4iLouRsz6PVTJ-&amp;oi=scholaralrt&amp;hist=v0_XxF0AAAAJ:13742027118377625026:AFWwaebUHLr8wRJ2PrQQIxHyeXqg&amp;html=&amp;pos=2&amp;folt=cit&amp;fols=" TargetMode="External"/><Relationship Id="rId1119" Type="http://schemas.openxmlformats.org/officeDocument/2006/relationships/hyperlink" Target="https://doi.org/10.1007/978-3-031-21065-5_15" TargetMode="External"/><Relationship Id="rId525" Type="http://schemas.openxmlformats.org/officeDocument/2006/relationships/hyperlink" Target="https://arxiv.org/abs/2407.00563" TargetMode="External"/><Relationship Id="rId524" Type="http://schemas.openxmlformats.org/officeDocument/2006/relationships/hyperlink" Target="https://arxiv.org/abs/2406.20024" TargetMode="External"/><Relationship Id="rId523" Type="http://schemas.openxmlformats.org/officeDocument/2006/relationships/hyperlink" Target="https://arxiv.org/abs/2406.19640" TargetMode="External"/><Relationship Id="rId522" Type="http://schemas.openxmlformats.org/officeDocument/2006/relationships/hyperlink" Target="https://arxiv.org/abs/2406.09409" TargetMode="External"/><Relationship Id="rId529" Type="http://schemas.openxmlformats.org/officeDocument/2006/relationships/hyperlink" Target="https://arxiv.org/abs/2407.04277" TargetMode="External"/><Relationship Id="rId528" Type="http://schemas.openxmlformats.org/officeDocument/2006/relationships/hyperlink" Target="https://arxiv.org/abs/2407.02370" TargetMode="External"/><Relationship Id="rId527" Type="http://schemas.openxmlformats.org/officeDocument/2006/relationships/hyperlink" Target="https://arxiv.org/abs/2407.02174" TargetMode="External"/><Relationship Id="rId526" Type="http://schemas.openxmlformats.org/officeDocument/2006/relationships/hyperlink" Target="https://arxiv.org/abs/2407.00931" TargetMode="External"/><Relationship Id="rId2440" Type="http://schemas.openxmlformats.org/officeDocument/2006/relationships/hyperlink" Target="https://scholar.google.ch/scholar_url?url=https://arxiv.org/pdf/2507.15444&amp;hl=en&amp;sa=X&amp;d=3694696685259556550&amp;ei=8gOFaITkAu2rieoPwIj14QY&amp;scisig=AAZF9b_9RJrm72TDulEVIhUmtK7e&amp;oi=scholaralrt&amp;hist=v0_XxF0AAAAJ:13402937500258098519:AAZF9b-8IJSaTVEVLTNdUUV6_uYv&amp;html=&amp;pos=0&amp;folt=art" TargetMode="External"/><Relationship Id="rId521" Type="http://schemas.openxmlformats.org/officeDocument/2006/relationships/hyperlink" Target="https://arxiv.org/abs/2406.08909" TargetMode="External"/><Relationship Id="rId1110" Type="http://schemas.openxmlformats.org/officeDocument/2006/relationships/hyperlink" Target="https://doi.org/10.1002/aisy.202400265" TargetMode="External"/><Relationship Id="rId2441" Type="http://schemas.openxmlformats.org/officeDocument/2006/relationships/hyperlink" Target="https://scholar.google.ch/scholar_url?url=https://ieeexplore.ieee.org/abstract/document/10019443/&amp;hl=en&amp;sa=X&amp;d=6700584164827675120&amp;ei=hh7TY_SPGreSy9YPucOx2Aw&amp;scisig=AAGBfm0MXFZN6YptOVGXBRX_OMp5pL8mfQ&amp;oi=scholaralrt&amp;hist=v0_XxF0AAAAJ:6484293546035447077:AAGBfm1ksbWwXAYzYo37wnBoA_ijlFLNjw&amp;html=&amp;pos=0&amp;folt=art" TargetMode="External"/><Relationship Id="rId520" Type="http://schemas.openxmlformats.org/officeDocument/2006/relationships/hyperlink" Target="https://arxiv.org/abs/2406.08090" TargetMode="External"/><Relationship Id="rId1111" Type="http://schemas.openxmlformats.org/officeDocument/2006/relationships/hyperlink" Target="https://doi.org/10.1002/aisy.202401065" TargetMode="External"/><Relationship Id="rId2442" Type="http://schemas.openxmlformats.org/officeDocument/2006/relationships/hyperlink" Target="https://scholar.google.com/citations?view_op=view_citation&amp;hl=en&amp;user=g6qJHUMAAAAJ&amp;citation_for_view=g6qJHUMAAAAJ:2osOgNQ5qMEC" TargetMode="External"/><Relationship Id="rId1112" Type="http://schemas.openxmlformats.org/officeDocument/2006/relationships/hyperlink" Target="https://doi.org/10.1002/cta.70091" TargetMode="External"/><Relationship Id="rId2443" Type="http://schemas.openxmlformats.org/officeDocument/2006/relationships/hyperlink" Target="https://scholar.google.com/scholar_url?url=https://arxiv.org/pdf/2403.08928&amp;hl=en&amp;sa=X&amp;d=9259035990197292507&amp;ei=ebX2ZYTqLICb6rQPzNypyAE&amp;scisig=AFWwaeZrvsCtvSKI-8wTzEI8hoha&amp;oi=scholaralrt&amp;hist=v0_XxF0AAAAJ:8917174997265943156:AFWwaeapSw9ueJke5iCq-tjGCnVL&amp;html=&amp;pos=0&amp;folt=art" TargetMode="External"/><Relationship Id="rId1113" Type="http://schemas.openxmlformats.org/officeDocument/2006/relationships/hyperlink" Target="https://doi.org/10.1002/ece3.70150" TargetMode="External"/><Relationship Id="rId2444" Type="http://schemas.openxmlformats.org/officeDocument/2006/relationships/hyperlink" Target="https://scholar.google.com/scholar_url?url=https://dl.acm.org/doi/pdf/10.1145/3589737.3605969&amp;hl=en&amp;sa=X&amp;d=12560069905266168196&amp;ei=BAXzZPiDPJn0yATE_oXICg&amp;scisig=AFWwaebHaVq1caxvzOGHiJKHiYg9&amp;oi=scholaralrt&amp;hist=v0_XxF0AAAAJ:3300864244365501560:AFWwaeZ8WnI60IJj7AVQwnsVrJq3&amp;html=&amp;pos=0&amp;folt=art" TargetMode="External"/><Relationship Id="rId1103" Type="http://schemas.openxmlformats.org/officeDocument/2006/relationships/hyperlink" Target="https://doi.ieeecomputersociety.org/10.1109/3DV.2018.00047" TargetMode="External"/><Relationship Id="rId2434" Type="http://schemas.openxmlformats.org/officeDocument/2006/relationships/hyperlink" Target="https://rpg.ifi.uzh.ch/people_scaramuzza.html" TargetMode="External"/><Relationship Id="rId1104" Type="http://schemas.openxmlformats.org/officeDocument/2006/relationships/hyperlink" Target="https://doi.ieeecomputersociety.org/10.1109/ICALT61570.2024.00052" TargetMode="External"/><Relationship Id="rId2435" Type="http://schemas.openxmlformats.org/officeDocument/2006/relationships/hyperlink" Target="https://rpg.ifi.uzh.ch/research_dvs.html" TargetMode="External"/><Relationship Id="rId1105" Type="http://schemas.openxmlformats.org/officeDocument/2006/relationships/hyperlink" Target="https://doi.ieeecomputersociety.org/10.1109/ICONS62911.2024.00020" TargetMode="External"/><Relationship Id="rId2436" Type="http://schemas.openxmlformats.org/officeDocument/2006/relationships/hyperlink" Target="https://s-space.snu.ac.kr/handle/10371/193115?mode=full" TargetMode="External"/><Relationship Id="rId1106" Type="http://schemas.openxmlformats.org/officeDocument/2006/relationships/hyperlink" Target="https://doi.ieeecomputersociety.org/10.1109/TVCG.2021.3067784" TargetMode="External"/><Relationship Id="rId2437" Type="http://schemas.openxmlformats.org/officeDocument/2006/relationships/hyperlink" Target="https://scholar.afit.edu/cgi/viewcontent.cgi?article=6546&amp;context=etd" TargetMode="External"/><Relationship Id="rId1107" Type="http://schemas.openxmlformats.org/officeDocument/2006/relationships/hyperlink" Target="https://doi.org/10.1002/adfm.202420872" TargetMode="External"/><Relationship Id="rId2438" Type="http://schemas.openxmlformats.org/officeDocument/2006/relationships/hyperlink" Target="https://scholar.google.ch/scholar_url?url=https://amostech.com/TechnicalPapers/2023/Poster/McReynolds.pdf&amp;hl=en&amp;sa=X&amp;d=11635286184159606989&amp;ei=vvZhZY_MAYHmmwGUsJKIAg&amp;scisig=AFWwaealrHLLU49HNnjmtmbOMbRX&amp;oi=scholaralrt&amp;hist=v0_XxF0AAAAJ:6484293546035447077:AFWwaebNvcnVgvOCskl7QOOYZqbA&amp;html=&amp;pos=0&amp;folt=art" TargetMode="External"/><Relationship Id="rId1108" Type="http://schemas.openxmlformats.org/officeDocument/2006/relationships/hyperlink" Target="https://doi.org/10.1002/advs.202510338" TargetMode="External"/><Relationship Id="rId2439" Type="http://schemas.openxmlformats.org/officeDocument/2006/relationships/hyperlink" Target="https://scholar.google.ch/scholar_url?url=https://arc.aiaa.org/doi/abs/10.2514/1.I011192&amp;hl=en&amp;sa=X&amp;d=10673150715927129466&amp;ei=wrQqZYrmEJf4yATevLRQ&amp;scisig=AFWwaeY_rA2SP_ZkX8IWHZs-pHef&amp;oi=scholaralrt&amp;hist=v0_XxF0AAAAJ:17352135249002958105:AFWwaeZp970N8Pd86PB_zmJCcxOU&amp;html=&amp;pos=0&amp;folt=art" TargetMode="External"/><Relationship Id="rId1109" Type="http://schemas.openxmlformats.org/officeDocument/2006/relationships/hyperlink" Target="https://doi.org/10.1002/aisy.202400243" TargetMode="External"/><Relationship Id="rId519" Type="http://schemas.openxmlformats.org/officeDocument/2006/relationships/hyperlink" Target="https://arxiv.org/abs/2406.07951" TargetMode="External"/><Relationship Id="rId514" Type="http://schemas.openxmlformats.org/officeDocument/2006/relationships/hyperlink" Target="https://arxiv.org/abs/2405.20224" TargetMode="External"/><Relationship Id="rId513" Type="http://schemas.openxmlformats.org/officeDocument/2006/relationships/hyperlink" Target="https://arxiv.org/abs/2405.19718" TargetMode="External"/><Relationship Id="rId512" Type="http://schemas.openxmlformats.org/officeDocument/2006/relationships/hyperlink" Target="https://arxiv.org/abs/2405.17769" TargetMode="External"/><Relationship Id="rId511" Type="http://schemas.openxmlformats.org/officeDocument/2006/relationships/hyperlink" Target="https://arxiv.org/abs/2405.17278" TargetMode="External"/><Relationship Id="rId518" Type="http://schemas.openxmlformats.org/officeDocument/2006/relationships/hyperlink" Target="https://arxiv.org/abs/2406.07318" TargetMode="External"/><Relationship Id="rId517" Type="http://schemas.openxmlformats.org/officeDocument/2006/relationships/hyperlink" Target="https://arxiv.org/abs/2406.03439" TargetMode="External"/><Relationship Id="rId516" Type="http://schemas.openxmlformats.org/officeDocument/2006/relationships/hyperlink" Target="https://arxiv.org/abs/2406.03177" TargetMode="External"/><Relationship Id="rId515" Type="http://schemas.openxmlformats.org/officeDocument/2006/relationships/hyperlink" Target="https://arxiv.org/abs/2406.02972" TargetMode="External"/><Relationship Id="rId510" Type="http://schemas.openxmlformats.org/officeDocument/2006/relationships/hyperlink" Target="https://arxiv.org/abs/2405.15209" TargetMode="External"/><Relationship Id="rId2430" Type="http://schemas.openxmlformats.org/officeDocument/2006/relationships/hyperlink" Target="https://rpg.ifi.uzh.ch/docs/IROS24_Pellerito.pdf" TargetMode="External"/><Relationship Id="rId1100" Type="http://schemas.openxmlformats.org/officeDocument/2006/relationships/hyperlink" Target="https://docs.prophesee.ai/stable/data/encoding_formats/index.html" TargetMode="External"/><Relationship Id="rId2431" Type="http://schemas.openxmlformats.org/officeDocument/2006/relationships/hyperlink" Target="https://rpg.ifi.uzh.ch/docs/PhD19_Rebecq.pdf" TargetMode="External"/><Relationship Id="rId1101" Type="http://schemas.openxmlformats.org/officeDocument/2006/relationships/hyperlink" Target="https://docs.ros.org/en/foxy/The-ROS2-Project/Governance/ROS2-TSC-Charter.html" TargetMode="External"/><Relationship Id="rId2432" Type="http://schemas.openxmlformats.org/officeDocument/2006/relationships/hyperlink" Target="https://rpg.ifi.uzh.ch/docs/RAL22_Mahlknecht.pdf" TargetMode="External"/><Relationship Id="rId1102" Type="http://schemas.openxmlformats.org/officeDocument/2006/relationships/hyperlink" Target="https://docs.ros.org/en/galactic/The-ROS2-Project/Governance/How-To-Start-A-Community-Working-Group.html" TargetMode="External"/><Relationship Id="rId2433" Type="http://schemas.openxmlformats.org/officeDocument/2006/relationships/hyperlink" Target="https://rpg.ifi.uzh.ch/docs/scaramuzza/Tutorial_on_Event_Cameras_Scaramuzza.pdf" TargetMode="External"/><Relationship Id="rId2401" Type="http://schemas.openxmlformats.org/officeDocument/2006/relationships/hyperlink" Target="https://pfrommer.us" TargetMode="External"/><Relationship Id="rId2402" Type="http://schemas.openxmlformats.org/officeDocument/2006/relationships/hyperlink" Target="https://ppolon.github.io/paper/cvpr2022-eventstereo.pdf" TargetMode="External"/><Relationship Id="rId2403" Type="http://schemas.openxmlformats.org/officeDocument/2006/relationships/hyperlink" Target="https://pubmed.ncbi.nlm.nih.gov/39056885" TargetMode="External"/><Relationship Id="rId2404" Type="http://schemas.openxmlformats.org/officeDocument/2006/relationships/hyperlink" Target="https://pubmed.ncbi.nlm.nih.gov/39374288/" TargetMode="External"/><Relationship Id="rId2405" Type="http://schemas.openxmlformats.org/officeDocument/2006/relationships/hyperlink" Target="https://ras.papercept.net/proceedings/ICRA20/1523.pdf" TargetMode="External"/><Relationship Id="rId2406" Type="http://schemas.openxmlformats.org/officeDocument/2006/relationships/hyperlink" Target="https://ras.papercept.net/proceedings/IROS20/1135.pdf" TargetMode="External"/><Relationship Id="rId2407" Type="http://schemas.openxmlformats.org/officeDocument/2006/relationships/hyperlink" Target="https://ras.papercept.net/proceedings/IROS20/1193.pdf" TargetMode="External"/><Relationship Id="rId2408" Type="http://schemas.openxmlformats.org/officeDocument/2006/relationships/hyperlink" Target="https://ras.papercept.net/proceedings/IROS20/1350.pdf" TargetMode="External"/><Relationship Id="rId2409" Type="http://schemas.openxmlformats.org/officeDocument/2006/relationships/hyperlink" Target="https://ras.papercept.net/proceedings/IROS20/1490.pdf" TargetMode="External"/><Relationship Id="rId2400" Type="http://schemas.openxmlformats.org/officeDocument/2006/relationships/hyperlink" Target="https://pear.wpi.edu/eventvision.html" TargetMode="External"/><Relationship Id="rId590" Type="http://schemas.openxmlformats.org/officeDocument/2006/relationships/hyperlink" Target="https://arxiv.org/abs/2410.14364" TargetMode="External"/><Relationship Id="rId589" Type="http://schemas.openxmlformats.org/officeDocument/2006/relationships/hyperlink" Target="https://arxiv.org/abs/2410.14228" TargetMode="External"/><Relationship Id="rId588" Type="http://schemas.openxmlformats.org/officeDocument/2006/relationships/hyperlink" Target="https://arxiv.org/abs/2410.12423" TargetMode="External"/><Relationship Id="rId1170" Type="http://schemas.openxmlformats.org/officeDocument/2006/relationships/hyperlink" Target="https://doi.org/10.1016/j.ast.2025.110338" TargetMode="External"/><Relationship Id="rId1171" Type="http://schemas.openxmlformats.org/officeDocument/2006/relationships/hyperlink" Target="https://doi.org/10.1016/j.ast.2025.111039" TargetMode="External"/><Relationship Id="rId583" Type="http://schemas.openxmlformats.org/officeDocument/2006/relationships/hyperlink" Target="https://arxiv.org/abs/2409.14611" TargetMode="External"/><Relationship Id="rId1172" Type="http://schemas.openxmlformats.org/officeDocument/2006/relationships/hyperlink" Target="https://doi.org/10.1016/j.ast.2025.111160" TargetMode="External"/><Relationship Id="rId582" Type="http://schemas.openxmlformats.org/officeDocument/2006/relationships/hyperlink" Target="https://arxiv.org/abs/2409.14103" TargetMode="External"/><Relationship Id="rId1173" Type="http://schemas.openxmlformats.org/officeDocument/2006/relationships/hyperlink" Target="https://doi.org/10.1016/j.autcon.2025.106007" TargetMode="External"/><Relationship Id="rId581" Type="http://schemas.openxmlformats.org/officeDocument/2006/relationships/hyperlink" Target="https://arxiv.org/abs/2409.13971" TargetMode="External"/><Relationship Id="rId1174" Type="http://schemas.openxmlformats.org/officeDocument/2006/relationships/hyperlink" Target="https://doi.org/10.1016/j.commtr.2025.100202" TargetMode="External"/><Relationship Id="rId580" Type="http://schemas.openxmlformats.org/officeDocument/2006/relationships/hyperlink" Target="https://arxiv.org/abs/2409.12691" TargetMode="External"/><Relationship Id="rId1175" Type="http://schemas.openxmlformats.org/officeDocument/2006/relationships/hyperlink" Target="https://doi.org/10.1016/j.compeleceng.2024.109432" TargetMode="External"/><Relationship Id="rId587" Type="http://schemas.openxmlformats.org/officeDocument/2006/relationships/hyperlink" Target="https://arxiv.org/abs/2410.10601" TargetMode="External"/><Relationship Id="rId1176" Type="http://schemas.openxmlformats.org/officeDocument/2006/relationships/hyperlink" Target="https://doi.org/10.1016/j.cviu.2025.104619" TargetMode="External"/><Relationship Id="rId586" Type="http://schemas.openxmlformats.org/officeDocument/2006/relationships/hyperlink" Target="https://arxiv.org/abs/2410.03812" TargetMode="External"/><Relationship Id="rId1177" Type="http://schemas.openxmlformats.org/officeDocument/2006/relationships/hyperlink" Target="https://doi.org/10.1016/j.cviu.2026.104650" TargetMode="External"/><Relationship Id="rId585" Type="http://schemas.openxmlformats.org/officeDocument/2006/relationships/hyperlink" Target="https://arxiv.org/abs/2409.18120" TargetMode="External"/><Relationship Id="rId1178" Type="http://schemas.openxmlformats.org/officeDocument/2006/relationships/hyperlink" Target="https://doi.org/10.1016/j.dib.2026.112491" TargetMode="External"/><Relationship Id="rId584" Type="http://schemas.openxmlformats.org/officeDocument/2006/relationships/hyperlink" Target="https://arxiv.org/abs/2409.15584" TargetMode="External"/><Relationship Id="rId1179" Type="http://schemas.openxmlformats.org/officeDocument/2006/relationships/hyperlink" Target="https://doi.org/10.1016/j.displa.2025.102985" TargetMode="External"/><Relationship Id="rId1169" Type="http://schemas.openxmlformats.org/officeDocument/2006/relationships/hyperlink" Target="https://doi.org/10.1016/j.asr.2026.01.079" TargetMode="External"/><Relationship Id="rId579" Type="http://schemas.openxmlformats.org/officeDocument/2006/relationships/hyperlink" Target="https://arxiv.org/abs/2409.11813" TargetMode="External"/><Relationship Id="rId578" Type="http://schemas.openxmlformats.org/officeDocument/2006/relationships/hyperlink" Target="https://arxiv.org/abs/2409.11075" TargetMode="External"/><Relationship Id="rId577" Type="http://schemas.openxmlformats.org/officeDocument/2006/relationships/hyperlink" Target="https://arxiv.org/abs/2409.08953" TargetMode="External"/><Relationship Id="rId2490" Type="http://schemas.openxmlformats.org/officeDocument/2006/relationships/hyperlink" Target="https://scholar.google.es/scholar_url?url=https://construction-robots.github.io/papers/48.pdf&amp;hl=en&amp;sa=X&amp;d=17808347897924298753&amp;ei=SbpPZvqIL8OJ6rQPyua5mAQ&amp;scisig=AFWwaeYZRapH9-0dbPkTrFesJ8yd&amp;oi=scholaralrt&amp;hist=v0_XxF0AAAAJ:13742027118377625026:AFWwaebUHLr8wRJ2PrQQIxHyeXqg&amp;html=&amp;pos=4&amp;folt=cit&amp;fols=" TargetMode="External"/><Relationship Id="rId1160" Type="http://schemas.openxmlformats.org/officeDocument/2006/relationships/hyperlink" Target="https://doi.org/10.1007/s40042-022-00684-8" TargetMode="External"/><Relationship Id="rId2491" Type="http://schemas.openxmlformats.org/officeDocument/2006/relationships/hyperlink" Target="https://scholar.google.es/scholar_url?url=https://cs.gmu.edu/~xiao/papers/m2p2.pdf&amp;hl=en&amp;sa=X&amp;d=3569879239849187756&amp;ei=SlL7ZvTbKdKAy9YPm-_p6Ao&amp;scisig=AFWwaeZhtWH81MbafLpV7869VrJW&amp;oi=scholaralrt&amp;hist=v0_XxF0AAAAJ:198837818532394236:AFWwaeZmMyKvHQIW44XNBFyAPl1L&amp;html=&amp;pos=3&amp;folt=rel&amp;fols=" TargetMode="External"/><Relationship Id="rId572" Type="http://schemas.openxmlformats.org/officeDocument/2006/relationships/hyperlink" Target="https://arxiv.org/abs/2409.01764" TargetMode="External"/><Relationship Id="rId1161" Type="http://schemas.openxmlformats.org/officeDocument/2006/relationships/hyperlink" Target="https://doi.org/10.1007/s40295-023-00423-6" TargetMode="External"/><Relationship Id="rId2492" Type="http://schemas.openxmlformats.org/officeDocument/2006/relationships/hyperlink" Target="https://scholar.google.es/scholar_url?url=https://d-nb.info/1326501380/34%23page%3D90&amp;hl=en&amp;sa=X&amp;d=8930305832693434811&amp;ei=AdxnZqa7GZ3Iy9YP-N-YsAI&amp;scisig=AFWwaea8L5hy9VdiUa2_MLaDfC9H&amp;oi=scholaralrt&amp;hist=v0_XxF0AAAAJ:13742027118377625026:AFWwaebUHLr8wRJ2PrQQIxHyeXqg&amp;html=&amp;pos=0&amp;folt=cit&amp;fols=" TargetMode="External"/><Relationship Id="rId571" Type="http://schemas.openxmlformats.org/officeDocument/2006/relationships/hyperlink" Target="https://arxiv.org/abs/2409.00552" TargetMode="External"/><Relationship Id="rId1162" Type="http://schemas.openxmlformats.org/officeDocument/2006/relationships/hyperlink" Target="https://doi.org/10.1007/s40295-025-00523-5" TargetMode="External"/><Relationship Id="rId2493" Type="http://schemas.openxmlformats.org/officeDocument/2006/relationships/hyperlink" Target="https://scholar.google.es/scholar_url?url=https://dl.acm.org/doi/abs/10.1145/3570361.3613269&amp;hl=en&amp;sa=X&amp;d=6324717334131225303&amp;ei=NI4hZYHFBvq8y9YPofu3kAc&amp;scisig=AFWwaeYTIZREqUJfYbnefjgxScYk&amp;oi=scholaralrt&amp;hist=v0_XxF0AAAAJ:13742027118377625026:AFWwaebUHLr8wRJ2PrQQIxHyeXqg&amp;html=&amp;pos=0&amp;folt=cit&amp;fols=" TargetMode="External"/><Relationship Id="rId570" Type="http://schemas.openxmlformats.org/officeDocument/2006/relationships/hyperlink" Target="https://arxiv.org/abs/2408.16971" TargetMode="External"/><Relationship Id="rId1163" Type="http://schemas.openxmlformats.org/officeDocument/2006/relationships/hyperlink" Target="https://doi.org/10.1007/s42486-025-00212-0" TargetMode="External"/><Relationship Id="rId2494" Type="http://schemas.openxmlformats.org/officeDocument/2006/relationships/hyperlink" Target="https://scholar.google.es/scholar_url?url=https://dl.acm.org/doi/abs/10.1145/3589737.3605981&amp;hl=en&amp;sa=X&amp;d=1060260585772844923&amp;ei=BQXzZJ7uAcOP6rQPtv2JoAg&amp;scisig=AFWwaeY_9k9m4OAmW0ZahwZbpEV5&amp;oi=scholaralrt&amp;hist=v0_XxF0AAAAJ:13742027118377625026:AFWwaebUHLr8wRJ2PrQQIxHyeXqg&amp;html=&amp;pos=5&amp;folt=cit&amp;fols=" TargetMode="External"/><Relationship Id="rId1164" Type="http://schemas.openxmlformats.org/officeDocument/2006/relationships/hyperlink" Target="https://doi.org/10.1007/s44295-025-00065-4" TargetMode="External"/><Relationship Id="rId2495" Type="http://schemas.openxmlformats.org/officeDocument/2006/relationships/hyperlink" Target="https://scholar.google.es/scholar_url?url=https://dl.acm.org/doi/abs/10.1145/3589737.3605984&amp;hl=en&amp;sa=X&amp;d=4232743969650335196&amp;ei=BQXzZJ7uAcOP6rQPtv2JoAg&amp;scisig=AFWwaeYf3rzzo5sNG7H8Wms3_Njz&amp;oi=scholaralrt&amp;hist=v0_XxF0AAAAJ:13742027118377625026:AFWwaebUHLr8wRJ2PrQQIxHyeXqg&amp;html=&amp;pos=2&amp;folt=cit&amp;fols=" TargetMode="External"/><Relationship Id="rId576" Type="http://schemas.openxmlformats.org/officeDocument/2006/relationships/hyperlink" Target="https://arxiv.org/abs/2409.07365" TargetMode="External"/><Relationship Id="rId1165" Type="http://schemas.openxmlformats.org/officeDocument/2006/relationships/hyperlink" Target="https://doi.org/10.1016/j.aei.2025.103300" TargetMode="External"/><Relationship Id="rId2496" Type="http://schemas.openxmlformats.org/officeDocument/2006/relationships/hyperlink" Target="https://scholar.google.es/scholar_url?url=https://dl.acm.org/doi/abs/10.1145/3641234.3671028&amp;hl=en&amp;sa=X&amp;d=3788981096693347841&amp;ei=RFioZrjzBZiCy9YP6MORyQk&amp;scisig=AFWwaeb_gLPKz5kUoxfFpzLNJcHT&amp;oi=scholaralrt&amp;hist=v0_XxF0AAAAJ:13742027118377625026:AFWwaebUHLr8wRJ2PrQQIxHyeXqg&amp;html=&amp;pos=7&amp;folt=cit&amp;fols=" TargetMode="External"/><Relationship Id="rId575" Type="http://schemas.openxmlformats.org/officeDocument/2006/relationships/hyperlink" Target="https://arxiv.org/abs/2409.06240" TargetMode="External"/><Relationship Id="rId1166" Type="http://schemas.openxmlformats.org/officeDocument/2006/relationships/hyperlink" Target="https://doi.org/10.1016/j.aej.2025.04.098" TargetMode="External"/><Relationship Id="rId2497" Type="http://schemas.openxmlformats.org/officeDocument/2006/relationships/hyperlink" Target="https://scholar.google.es/scholar_url?url=https://dl.acm.org/doi/pdf/10.1145/3656469&amp;hl=en&amp;sa=X&amp;d=5926327325008307505&amp;ei=9poYZqPmIczLy9YPsPiM0As&amp;scisig=AFWwaeaj3XiUadxEo4ZW7WvktRwJ&amp;oi=scholaralrt&amp;hist=v0_XxF0AAAAJ:13742027118377625026:AFWwaebUHLr8wRJ2PrQQIxHyeXqg&amp;html=&amp;pos=1&amp;folt=cit&amp;fols=" TargetMode="External"/><Relationship Id="rId574" Type="http://schemas.openxmlformats.org/officeDocument/2006/relationships/hyperlink" Target="https://arxiv.org/abs/2409.06104" TargetMode="External"/><Relationship Id="rId1167" Type="http://schemas.openxmlformats.org/officeDocument/2006/relationships/hyperlink" Target="https://doi.org/10.1016/j.aej.2025.07.020" TargetMode="External"/><Relationship Id="rId2498" Type="http://schemas.openxmlformats.org/officeDocument/2006/relationships/hyperlink" Target="https://scholar.google.es/scholar_url?url=https://etd.ohiolink.edu/acprod/odb_etd/ws/send_file/send%3Faccession%3Ddayton1762855347193007%26disposition%3Dinline&amp;hl=en&amp;sa=X&amp;d=571056397484301117&amp;ei=70MZabCSGKG7ieoPlLSCwA8&amp;scisig=ABGrvjJdluA9N-j9VcKGenmXLEYM&amp;oi=scholaralrt&amp;hist=v0_XxF0AAAAJ:13742027118377625026:ABGrvjKBHUi6MFH_DtNclerNeAZe&amp;html=&amp;pos=3&amp;folt=cit&amp;fols=" TargetMode="External"/><Relationship Id="rId573" Type="http://schemas.openxmlformats.org/officeDocument/2006/relationships/hyperlink" Target="https://arxiv.org/abs/2409.04082" TargetMode="External"/><Relationship Id="rId1168" Type="http://schemas.openxmlformats.org/officeDocument/2006/relationships/hyperlink" Target="https://doi.org/10.1016/j.asoc.2025.114345" TargetMode="External"/><Relationship Id="rId2499" Type="http://schemas.openxmlformats.org/officeDocument/2006/relationships/hyperlink" Target="https://scholar.google.es/scholar_url?url=https://etd.ohiolink.edu/apexprod/rws_etd/send_file/send%3Faccession%3Ddayton1671201967170428%26disposition%3Dinline&amp;hl=en&amp;sa=X&amp;d=13420492060606571413&amp;ei=L6ymYxXOk8sEjYeZqA4&amp;scisig=AAGBfm0vwWFgDqcY4VEIsJDFT_URtNYiEw&amp;oi=scholaralrt&amp;hist=v0_XxF0AAAAJ:13742027118377625026:AAGBfm3UjufN_devjhEx0oELtR65UjD64A&amp;html=&amp;pos=6&amp;folt=cit&amp;fols=" TargetMode="External"/><Relationship Id="rId1190" Type="http://schemas.openxmlformats.org/officeDocument/2006/relationships/hyperlink" Target="https://doi.org/10.1016/j.eswa.2025.129044" TargetMode="External"/><Relationship Id="rId1191" Type="http://schemas.openxmlformats.org/officeDocument/2006/relationships/hyperlink" Target="https://doi.org/10.1016/j.eswa.2025.129802" TargetMode="External"/><Relationship Id="rId1192" Type="http://schemas.openxmlformats.org/officeDocument/2006/relationships/hyperlink" Target="https://doi.org/10.1016/j.eswa.2025.129977" TargetMode="External"/><Relationship Id="rId1193" Type="http://schemas.openxmlformats.org/officeDocument/2006/relationships/hyperlink" Target="https://doi.org/10.1016/j.eswa.2025.130055" TargetMode="External"/><Relationship Id="rId1194" Type="http://schemas.openxmlformats.org/officeDocument/2006/relationships/hyperlink" Target="https://doi.org/10.1016/j.eswa.2025.130628" TargetMode="External"/><Relationship Id="rId1195" Type="http://schemas.openxmlformats.org/officeDocument/2006/relationships/hyperlink" Target="https://doi.org/10.1016/j.expthermflusci.2025.111425" TargetMode="External"/><Relationship Id="rId1196" Type="http://schemas.openxmlformats.org/officeDocument/2006/relationships/hyperlink" Target="https://doi.org/10.1016/j.expthermflusci.2025.111554" TargetMode="External"/><Relationship Id="rId1197" Type="http://schemas.openxmlformats.org/officeDocument/2006/relationships/hyperlink" Target="https://doi.org/10.1016/j.fmre.2023.08.004" TargetMode="External"/><Relationship Id="rId1198" Type="http://schemas.openxmlformats.org/officeDocument/2006/relationships/hyperlink" Target="https://doi.org/10.1016/j.ifacol.2025.10.184" TargetMode="External"/><Relationship Id="rId1199" Type="http://schemas.openxmlformats.org/officeDocument/2006/relationships/hyperlink" Target="https://doi.org/10.1016/j.image.2024.117136" TargetMode="External"/><Relationship Id="rId599" Type="http://schemas.openxmlformats.org/officeDocument/2006/relationships/hyperlink" Target="https://arxiv.org/abs/2410.21743" TargetMode="External"/><Relationship Id="rId1180" Type="http://schemas.openxmlformats.org/officeDocument/2006/relationships/hyperlink" Target="https://doi.org/10.1016/j.displa.2025.103303" TargetMode="External"/><Relationship Id="rId1181" Type="http://schemas.openxmlformats.org/officeDocument/2006/relationships/hyperlink" Target="https://doi.org/10.1016/j.displa.2026.103340" TargetMode="External"/><Relationship Id="rId1182" Type="http://schemas.openxmlformats.org/officeDocument/2006/relationships/hyperlink" Target="https://doi.org/10.1016/j.engappai.2025.112445" TargetMode="External"/><Relationship Id="rId594" Type="http://schemas.openxmlformats.org/officeDocument/2006/relationships/hyperlink" Target="https://arxiv.org/abs/2410.18580" TargetMode="External"/><Relationship Id="rId1183" Type="http://schemas.openxmlformats.org/officeDocument/2006/relationships/hyperlink" Target="https://doi.org/10.1016/j.engappai.2025.112606" TargetMode="External"/><Relationship Id="rId593" Type="http://schemas.openxmlformats.org/officeDocument/2006/relationships/hyperlink" Target="https://arxiv.org/abs/2410.15552" TargetMode="External"/><Relationship Id="rId1184" Type="http://schemas.openxmlformats.org/officeDocument/2006/relationships/hyperlink" Target="https://doi.org/10.1016/j.engappai.2025.113359" TargetMode="External"/><Relationship Id="rId592" Type="http://schemas.openxmlformats.org/officeDocument/2006/relationships/hyperlink" Target="https://arxiv.org/abs/2410.15480" TargetMode="External"/><Relationship Id="rId1185" Type="http://schemas.openxmlformats.org/officeDocument/2006/relationships/hyperlink" Target="https://doi.org/10.1016/j.engappai.2026.113721" TargetMode="External"/><Relationship Id="rId591" Type="http://schemas.openxmlformats.org/officeDocument/2006/relationships/hyperlink" Target="https://arxiv.org/abs/2410.14685" TargetMode="External"/><Relationship Id="rId1186" Type="http://schemas.openxmlformats.org/officeDocument/2006/relationships/hyperlink" Target="https://doi.org/10.1016/j.eswa.2023.119917" TargetMode="External"/><Relationship Id="rId598" Type="http://schemas.openxmlformats.org/officeDocument/2006/relationships/hyperlink" Target="https://arxiv.org/abs/2410.21615" TargetMode="External"/><Relationship Id="rId1187" Type="http://schemas.openxmlformats.org/officeDocument/2006/relationships/hyperlink" Target="https://doi.org/10.1016/j.eswa.2023.122743" TargetMode="External"/><Relationship Id="rId597" Type="http://schemas.openxmlformats.org/officeDocument/2006/relationships/hyperlink" Target="https://arxiv.org/abs/2410.19486" TargetMode="External"/><Relationship Id="rId1188" Type="http://schemas.openxmlformats.org/officeDocument/2006/relationships/hyperlink" Target="https://doi.org/10.1016/j.eswa.2024.125746" TargetMode="External"/><Relationship Id="rId596" Type="http://schemas.openxmlformats.org/officeDocument/2006/relationships/hyperlink" Target="https://arxiv.org/abs/2410.19164" TargetMode="External"/><Relationship Id="rId1189" Type="http://schemas.openxmlformats.org/officeDocument/2006/relationships/hyperlink" Target="https://doi.org/10.1016/j.eswa.2025.128988" TargetMode="External"/><Relationship Id="rId595" Type="http://schemas.openxmlformats.org/officeDocument/2006/relationships/hyperlink" Target="https://arxiv.org/abs/2410.18940" TargetMode="External"/><Relationship Id="rId1136" Type="http://schemas.openxmlformats.org/officeDocument/2006/relationships/hyperlink" Target="https://doi.org/10.1007/s00371-023-03183-4" TargetMode="External"/><Relationship Id="rId2467" Type="http://schemas.openxmlformats.org/officeDocument/2006/relationships/hyperlink" Target="https://scholar.google.es/scholar_url?url=https://arxiv.org/pdf/2309.01361&amp;hl=en&amp;sa=X&amp;d=6723752098354544883&amp;ei=NmT8ZMXTN42GmwG-qrGIDg&amp;scisig=AFWwaeagpDGydPHyOMEsmBF1o3X7&amp;oi=scholaralrt&amp;hist=v0_XxF0AAAAJ:13742027118377625026:AFWwaebUHLr8wRJ2PrQQIxHyeXqg&amp;html=&amp;pos=3&amp;folt=cit&amp;fols=" TargetMode="External"/><Relationship Id="rId1137" Type="http://schemas.openxmlformats.org/officeDocument/2006/relationships/hyperlink" Target="https://doi.org/10.1007/s00371-025-04309-6" TargetMode="External"/><Relationship Id="rId2468" Type="http://schemas.openxmlformats.org/officeDocument/2006/relationships/hyperlink" Target="https://scholar.google.es/scholar_url?url=https://arxiv.org/pdf/2310.00564&amp;hl=en&amp;sa=X&amp;d=7291598028499797625&amp;ei=NI4hZYHFBvq8y9YPofu3kAc&amp;scisig=AFWwaebW4_gjnUobh1F5UYr0gBsY&amp;oi=scholaralrt&amp;hist=v0_XxF0AAAAJ:13742027118377625026:AFWwaebUHLr8wRJ2PrQQIxHyeXqg&amp;html=&amp;pos=1&amp;folt=cit&amp;fols=" TargetMode="External"/><Relationship Id="rId1138" Type="http://schemas.openxmlformats.org/officeDocument/2006/relationships/hyperlink" Target="https://doi.org/10.1007/s00422-023-00975-8" TargetMode="External"/><Relationship Id="rId2469" Type="http://schemas.openxmlformats.org/officeDocument/2006/relationships/hyperlink" Target="https://scholar.google.es/scholar_url?url=https://arxiv.org/pdf/2311.03422&amp;hl=en&amp;sa=X&amp;d=2314270030073796748&amp;ei=J-ZPZfS4Gov0mgHazZuwDA&amp;scisig=AFWwaeaZOtSTcY5PUyadAEWf8mN-&amp;oi=scholaralrt&amp;hist=v0_XxF0AAAAJ:13742027118377625026:AFWwaebUHLr8wRJ2PrQQIxHyeXqg&amp;html=&amp;pos=3&amp;folt=cit&amp;fols=" TargetMode="External"/><Relationship Id="rId1139" Type="http://schemas.openxmlformats.org/officeDocument/2006/relationships/hyperlink" Target="https://doi.org/10.1007/s00521-024-10686-1" TargetMode="External"/><Relationship Id="rId547" Type="http://schemas.openxmlformats.org/officeDocument/2006/relationships/hyperlink" Target="https://arxiv.org/abs/2407.15531" TargetMode="External"/><Relationship Id="rId546" Type="http://schemas.openxmlformats.org/officeDocument/2006/relationships/hyperlink" Target="https://arxiv.org/abs/2407.12593" TargetMode="External"/><Relationship Id="rId545" Type="http://schemas.openxmlformats.org/officeDocument/2006/relationships/hyperlink" Target="https://arxiv.org/abs/2407.12582" TargetMode="External"/><Relationship Id="rId544" Type="http://schemas.openxmlformats.org/officeDocument/2006/relationships/hyperlink" Target="https://arxiv.org/abs/2407.11560" TargetMode="External"/><Relationship Id="rId549" Type="http://schemas.openxmlformats.org/officeDocument/2006/relationships/hyperlink" Target="https://arxiv.org/abs/2407.17305" TargetMode="External"/><Relationship Id="rId548" Type="http://schemas.openxmlformats.org/officeDocument/2006/relationships/hyperlink" Target="https://arxiv.org/abs/2407.16665" TargetMode="External"/><Relationship Id="rId2460" Type="http://schemas.openxmlformats.org/officeDocument/2006/relationships/hyperlink" Target="https://scholar.google.es/scholar_url?url=https://arxiv.org/pdf/2302.06301&amp;hl=en&amp;sa=X&amp;d=17683179611099070306&amp;ei=GznuY4bPGtCAmAGF-oL4CA&amp;scisig=AAGBfm1dzqJAG8XoETy8dynrAZnLB4bM8w&amp;oi=scholaralrt&amp;hist=v0_XxF0AAAAJ:13742027118377625026:AAGBfm3UjufN_devjhEx0oELtR65UjD64A&amp;html=&amp;pos=4&amp;folt=cit&amp;fols=" TargetMode="External"/><Relationship Id="rId1130" Type="http://schemas.openxmlformats.org/officeDocument/2006/relationships/hyperlink" Target="https://doi.org/10.1007/s00034-025-03141-6" TargetMode="External"/><Relationship Id="rId2461" Type="http://schemas.openxmlformats.org/officeDocument/2006/relationships/hyperlink" Target="https://scholar.google.es/scholar_url?url=https://arxiv.org/pdf/2303.02608&amp;hl=en&amp;sa=X&amp;d=13609885754996284356&amp;ei=_vEJZOXuBo7gygSPuIegDA&amp;scisig=AAGBfm3cJY4z6aY_Ukbw8kF4CFWmErwjAg&amp;oi=scholaralrt&amp;hist=v0_XxF0AAAAJ:13742027118377625026:AAGBfm3UjufN_devjhEx0oELtR65UjD64A&amp;html=&amp;pos=2&amp;folt=cit&amp;fols=" TargetMode="External"/><Relationship Id="rId1131" Type="http://schemas.openxmlformats.org/officeDocument/2006/relationships/hyperlink" Target="https://doi.org/10.1007/s00348-024-03877-y" TargetMode="External"/><Relationship Id="rId2462" Type="http://schemas.openxmlformats.org/officeDocument/2006/relationships/hyperlink" Target="https://scholar.google.es/scholar_url?url=https://arxiv.org/pdf/2303.13077&amp;hl=en&amp;sa=X&amp;d=14332126100463783016&amp;ei=ttgiZNdt-IfqtA-kk6iIBw&amp;scisig=AJ9-iYun5bR7Wcby_zd2S4f1kQ5j&amp;oi=scholaralrt&amp;hist=v0_XxF0AAAAJ:13742027118377625026:AJ9-iYul-8LSola92fEXQwk5J1jm&amp;html=&amp;pos=2&amp;folt=cit&amp;fols=" TargetMode="External"/><Relationship Id="rId543" Type="http://schemas.openxmlformats.org/officeDocument/2006/relationships/hyperlink" Target="https://arxiv.org/abs/2407.11343" TargetMode="External"/><Relationship Id="rId1132" Type="http://schemas.openxmlformats.org/officeDocument/2006/relationships/hyperlink" Target="https://doi.org/10.1007/s00348-024-03946-2" TargetMode="External"/><Relationship Id="rId2463" Type="http://schemas.openxmlformats.org/officeDocument/2006/relationships/hyperlink" Target="https://scholar.google.es/scholar_url?url=https://arxiv.org/pdf/2303.14176&amp;hl=en&amp;sa=X&amp;d=15169261428740003897&amp;ei=AnslZKOhOYTgmgH8tIrQBA&amp;scisig=AJ9-iYtlbskCjjpp2Ex8QSTkMnk-&amp;oi=scholaralrt&amp;hist=v0_XxF0AAAAJ:13742027118377625026:AJ9-iYul-8LSola92fEXQwk5J1jm&amp;html=&amp;pos=3&amp;folt=cit&amp;fols=" TargetMode="External"/><Relationship Id="rId542" Type="http://schemas.openxmlformats.org/officeDocument/2006/relationships/hyperlink" Target="https://arxiv.org/abs/2407.11216" TargetMode="External"/><Relationship Id="rId1133" Type="http://schemas.openxmlformats.org/officeDocument/2006/relationships/hyperlink" Target="https://doi.org/10.1007/s00348-025-04003-2" TargetMode="External"/><Relationship Id="rId2464" Type="http://schemas.openxmlformats.org/officeDocument/2006/relationships/hyperlink" Target="https://scholar.google.es/scholar_url?url=https://arxiv.org/pdf/2307.01694&amp;hl=en&amp;sa=X&amp;d=6183854208515620494&amp;ei=eo-oZOnZMKSK6rQPhqKGiAE&amp;scisig=ABFrs3xCevgAU9md3oEmNx1_C5s-&amp;oi=scholaralrt&amp;hist=v0_XxF0AAAAJ:13742027118377625026:ABFrs3wmzmYwkdiX_1n7Cp8GQyah&amp;html=&amp;pos=4&amp;folt=cit&amp;fols=" TargetMode="External"/><Relationship Id="rId541" Type="http://schemas.openxmlformats.org/officeDocument/2006/relationships/hyperlink" Target="https://arxiv.org/abs/2407.10831" TargetMode="External"/><Relationship Id="rId1134" Type="http://schemas.openxmlformats.org/officeDocument/2006/relationships/hyperlink" Target="https://doi.org/10.1007/s00348-025-04127-5" TargetMode="External"/><Relationship Id="rId2465" Type="http://schemas.openxmlformats.org/officeDocument/2006/relationships/hyperlink" Target="https://scholar.google.es/scholar_url?url=https://arxiv.org/pdf/2307.14177&amp;hl=en&amp;sa=X&amp;d=2889575562278389874&amp;ei=XkjFZIXzCpCMy9YPsKOeoA4&amp;scisig=ABFrs3znLF3uvP8Wnb0V_6hXX_o5&amp;oi=scholaralrt&amp;hist=v0_XxF0AAAAJ:13742027118377625026:ABFrs3wmzmYwkdiX_1n7Cp8GQyah&amp;html=&amp;pos=6&amp;folt=cit&amp;fols=" TargetMode="External"/><Relationship Id="rId540" Type="http://schemas.openxmlformats.org/officeDocument/2006/relationships/hyperlink" Target="https://arxiv.org/abs/2407.10802" TargetMode="External"/><Relationship Id="rId1135" Type="http://schemas.openxmlformats.org/officeDocument/2006/relationships/hyperlink" Target="https://doi.org/10.1007/s00348-025-04170-2" TargetMode="External"/><Relationship Id="rId2466" Type="http://schemas.openxmlformats.org/officeDocument/2006/relationships/hyperlink" Target="https://scholar.google.es/scholar_url?url=https://arxiv.org/pdf/2307.14332&amp;hl=en&amp;sa=X&amp;d=2220306890413996716&amp;ei=XkjFZNzPBpaAy9YPoJCYsAk&amp;scisig=ABFrs3xuVpzjRgEz2EezHcDXh_7g&amp;oi=scholaralrt&amp;hist=v0_XxF0AAAAJ:198837818532394236:ABFrs3xMKCIfhEZJbbWSRf0pgf1p&amp;html=&amp;pos=2&amp;folt=rel&amp;fols=" TargetMode="External"/><Relationship Id="rId1125" Type="http://schemas.openxmlformats.org/officeDocument/2006/relationships/hyperlink" Target="https://doi.org/10.1007/978-3-032-06665-7_4" TargetMode="External"/><Relationship Id="rId2456" Type="http://schemas.openxmlformats.org/officeDocument/2006/relationships/hyperlink" Target="https://books.google.es/books?hl=en&amp;lr=lang_en&amp;id=xAfmEAAAQBAJ&amp;oi=fnd&amp;pg=PA107&amp;ots=o2ELZwubZ2&amp;sig=_znZjKYZYpGwHLtwXXFZOnhAXpo" TargetMode="External"/><Relationship Id="rId1126" Type="http://schemas.openxmlformats.org/officeDocument/2006/relationships/hyperlink" Target="https://doi.org/10.1007/978-981-95-3664-1_3" TargetMode="External"/><Relationship Id="rId2457" Type="http://schemas.openxmlformats.org/officeDocument/2006/relationships/hyperlink" Target="https://scholar.google.es/scholar_url?url=https://arxiv.org/pdf/2212.07350&amp;hl=en&amp;sa=X&amp;d=13620560618383725582&amp;ei=aI6dY7H7L8aSy9YPkY62oAg&amp;scisig=AAGBfm3kQO0HhdTmPvQwnsCcDOk3P39Nig&amp;oi=scholaralrt&amp;hist=v0_XxF0AAAAJ:13742027118377625026:AAGBfm3UjufN_devjhEx0oELtR65UjD64A&amp;html=&amp;pos=4&amp;folt=cit&amp;fols=" TargetMode="External"/><Relationship Id="rId1127" Type="http://schemas.openxmlformats.org/officeDocument/2006/relationships/hyperlink" Target="https://doi.org/10.1007/978-981-96-6972-1_1" TargetMode="External"/><Relationship Id="rId2458" Type="http://schemas.openxmlformats.org/officeDocument/2006/relationships/hyperlink" Target="https://scholar.google.es/scholar_url?url=https://arxiv.org/pdf/2302.03860&amp;hl=en&amp;sa=X&amp;d=10553781705945001099&amp;ei=1m_nY7G2FIjQmQHDkoS4BA&amp;scisig=AAGBfm1t81DhCKmTxzBDviBv0OtXBNHRBg&amp;oi=scholaralrt&amp;hist=v0_XxF0AAAAJ:198837818532394236:AAGBfm3qe8R6xgugRn4Ir9dLExqv-Y_cuA&amp;html=&amp;pos=0&amp;folt=rel&amp;fols=" TargetMode="External"/><Relationship Id="rId1128" Type="http://schemas.openxmlformats.org/officeDocument/2006/relationships/hyperlink" Target="https://doi.org/10.1007/978-981-96-9964-3" TargetMode="External"/><Relationship Id="rId2459" Type="http://schemas.openxmlformats.org/officeDocument/2006/relationships/hyperlink" Target="https://scholar.google.es/scholar_url?url=https://arxiv.org/pdf/2302.04177&amp;hl=en&amp;sa=X&amp;d=9444219803646863477&amp;ei=1m_nY7G2FIjQmQHDkoS4BA&amp;scisig=AAGBfm2Q3cO_J1XHJdaT0dIXbjQnEdGC4Q&amp;oi=scholaralrt&amp;hist=v0_XxF0AAAAJ:198837818532394236:AAGBfm3qe8R6xgugRn4Ir9dLExqv-Y_cuA&amp;html=&amp;pos=1&amp;folt=rel&amp;fols=" TargetMode="External"/><Relationship Id="rId1129" Type="http://schemas.openxmlformats.org/officeDocument/2006/relationships/hyperlink" Target="https://doi.org/10.1007/978-981-99-9610-0_8" TargetMode="External"/><Relationship Id="rId536" Type="http://schemas.openxmlformats.org/officeDocument/2006/relationships/hyperlink" Target="https://arxiv.org/abs/2407.08356" TargetMode="External"/><Relationship Id="rId535" Type="http://schemas.openxmlformats.org/officeDocument/2006/relationships/hyperlink" Target="https://arxiv.org/abs/2407.08272" TargetMode="External"/><Relationship Id="rId534" Type="http://schemas.openxmlformats.org/officeDocument/2006/relationships/hyperlink" Target="https://arxiv.org/abs/2407.08231" TargetMode="External"/><Relationship Id="rId533" Type="http://schemas.openxmlformats.org/officeDocument/2006/relationships/hyperlink" Target="https://arxiv.org/abs/2407.07324" TargetMode="External"/><Relationship Id="rId539" Type="http://schemas.openxmlformats.org/officeDocument/2006/relationships/hyperlink" Target="https://arxiv.org/abs/2407.10703" TargetMode="External"/><Relationship Id="rId538" Type="http://schemas.openxmlformats.org/officeDocument/2006/relationships/hyperlink" Target="https://arxiv.org/abs/2407.10636" TargetMode="External"/><Relationship Id="rId537" Type="http://schemas.openxmlformats.org/officeDocument/2006/relationships/hyperlink" Target="https://arxiv.org/abs/2407.09083v1/" TargetMode="External"/><Relationship Id="rId2450" Type="http://schemas.openxmlformats.org/officeDocument/2006/relationships/hyperlink" Target="https://scholar.google.es/scholar_url?url=http://d-scholarship.pitt.edu/46676/1/MS_Thesis.pdf&amp;hl=en&amp;sa=X&amp;d=3713626709304882691&amp;ei=gHzfZpO1AreNy9YPje6XuAo&amp;scisig=AFWwaeZMKsFfwawbuyLMgbV0Kt7l&amp;oi=scholaralrt&amp;hist=v0_XxF0AAAAJ:13742027118377625026:AFWwaebUHLr8wRJ2PrQQIxHyeXqg&amp;html=&amp;pos=3&amp;folt=cit&amp;fols=" TargetMode="External"/><Relationship Id="rId1120" Type="http://schemas.openxmlformats.org/officeDocument/2006/relationships/hyperlink" Target="https://doi.org/10.1007/978-3-031-28715-2_8" TargetMode="External"/><Relationship Id="rId2451" Type="http://schemas.openxmlformats.org/officeDocument/2006/relationships/hyperlink" Target="https://scholar.google.es/scholar_url?url=http://repository.enp.edu.dz/jspui/bitstream/123456789/10546/1/FERHAT.hiba-el-batoul.pdf&amp;hl=en&amp;sa=X&amp;d=15845715701516310900&amp;ei=b5KYY4rLO4OdywTBrYWAAw&amp;scisig=AAGBfm0prDVZ2rmuRLDQiCPMCAclwN3NOg&amp;oi=scholaralrt&amp;hist=v0_XxF0AAAAJ:13742027118377625026:AAGBfm3UjufN_devjhEx0oELtR65UjD64A&amp;html=&amp;pos=0&amp;folt=cit&amp;fols=" TargetMode="External"/><Relationship Id="rId532" Type="http://schemas.openxmlformats.org/officeDocument/2006/relationships/hyperlink" Target="https://arxiv.org/abs/2407.06611" TargetMode="External"/><Relationship Id="rId1121" Type="http://schemas.openxmlformats.org/officeDocument/2006/relationships/hyperlink" Target="https://doi.org/10.1007/978-3-031-72640-8_13" TargetMode="External"/><Relationship Id="rId2452" Type="http://schemas.openxmlformats.org/officeDocument/2006/relationships/hyperlink" Target="https://scholar.google.es/scholar_url?url=http://www.iri.upc.edu/files/scidoc/2723-Visual-event-based-egocentric-human-action-recognition.pdf&amp;hl=en&amp;sa=X&amp;d=1184541993855853851&amp;ei=ttgiZNdt-IfqtA-kk6iIBw&amp;scisig=AJ9-iYurcAtf7Ff_75Uul3d9CXXR&amp;oi=scholaralrt&amp;hist=v0_XxF0AAAAJ:13742027118377625026:AJ9-iYul-8LSola92fEXQwk5J1jm&amp;html=&amp;pos=1&amp;folt=cit&amp;fols=" TargetMode="External"/><Relationship Id="rId531" Type="http://schemas.openxmlformats.org/officeDocument/2006/relationships/hyperlink" Target="https://arxiv.org/abs/2407.05764" TargetMode="External"/><Relationship Id="rId1122" Type="http://schemas.openxmlformats.org/officeDocument/2006/relationships/hyperlink" Target="https://doi.org/10.1007/978-3-031-85859-8_26" TargetMode="External"/><Relationship Id="rId2453" Type="http://schemas.openxmlformats.org/officeDocument/2006/relationships/hyperlink" Target="https://scholar.google.es/scholar_url?url=https://amostech.com/TechnicalPapers/2023/Poster/Westerhout.pdf&amp;hl=en&amp;sa=X&amp;d=11729689041423096844&amp;ei=vvZhZZroAurBy9YPtoy_iA8&amp;scisig=AFWwaeY2FTaIfr-VJOWcSFM4oy0J&amp;oi=scholaralrt&amp;hist=v0_XxF0AAAAJ:13742027118377625026:AFWwaebUHLr8wRJ2PrQQIxHyeXqg&amp;html=&amp;pos=2&amp;folt=cit&amp;fols=" TargetMode="External"/><Relationship Id="rId530" Type="http://schemas.openxmlformats.org/officeDocument/2006/relationships/hyperlink" Target="https://arxiv.org/abs/2407.05206v2/" TargetMode="External"/><Relationship Id="rId1123" Type="http://schemas.openxmlformats.org/officeDocument/2006/relationships/hyperlink" Target="https://doi.org/10.1007/978-3-031-95911-0_16" TargetMode="External"/><Relationship Id="rId2454" Type="http://schemas.openxmlformats.org/officeDocument/2006/relationships/hyperlink" Target="https://scholar.google.es/scholar_url?url=https://apps.ucu.edu.ua/wp-content/uploads/2025/11/phd_proposal_Varenyk.pdf&amp;hl=en&amp;sa=X&amp;d=8101564910872924269&amp;ei=EiYcaffmNubYieoPgtrwgQ0&amp;scisig=ABGrvjJuFjQWA56msi4k_0zHCNrq&amp;oi=scholaralrt&amp;hist=v0_XxF0AAAAJ:13742027118377625026:ABGrvjKBHUi6MFH_DtNclerNeAZe&amp;html=&amp;pos=0&amp;folt=cit&amp;fols=" TargetMode="External"/><Relationship Id="rId1124" Type="http://schemas.openxmlformats.org/officeDocument/2006/relationships/hyperlink" Target="https://doi.org/10.1007/978-3-032-04129-6_12" TargetMode="External"/><Relationship Id="rId2455" Type="http://schemas.openxmlformats.org/officeDocument/2006/relationships/hyperlink" Target="https://scholar.google.es/scholar_url?url=https://arxiv.org/pdf/2212.05236&amp;hl=en&amp;sa=X&amp;d=12765960131860993286&amp;ei=_1uaY5jCJY_mmgHY65XoDA&amp;scisig=AAGBfm3mM03xyccz8hZb-rPojflhJzdwnQ&amp;oi=scholaralrt&amp;hist=v0_XxF0AAAAJ:13742027118377625026:AAGBfm3UjufN_devjhEx0oELtR65UjD64A&amp;html=&amp;pos=0&amp;folt=cit&amp;fols=" TargetMode="External"/><Relationship Id="rId1158" Type="http://schemas.openxmlformats.org/officeDocument/2006/relationships/hyperlink" Target="https://doi.org/10.1007/s12650-025-01053-w" TargetMode="External"/><Relationship Id="rId2489" Type="http://schemas.openxmlformats.org/officeDocument/2006/relationships/hyperlink" Target="https://scholar.google.es/scholar_url?url=https://books.google.es/books%3Fhl%3Den%26lr%3Dlang_en%26id%3DZuoLEQAAQBAJ%26oi%3Dfnd%26pg%3DPA107%26ots%3DLRcNljzJ4s%26sig%3DtM3l7gRqUByauFq1mjs4F_01wTY&amp;hl=en&amp;sa=X&amp;d=14624064518517474733&amp;ei=kDFiZufTN_KJ6rQPoaWhkAQ&amp;scisig=AFWwaeYlNrO7huJXBQsweBIi1YBQ&amp;oi=scholaralrt&amp;hist=v0_XxF0AAAAJ:13742027118377625026:AFWwaebUHLr8wRJ2PrQQIxHyeXqg&amp;html=&amp;pos=4&amp;folt=cit&amp;fols=" TargetMode="External"/><Relationship Id="rId1159" Type="http://schemas.openxmlformats.org/officeDocument/2006/relationships/hyperlink" Target="https://doi.org/10.1007/s12650-025-01065-6" TargetMode="External"/><Relationship Id="rId569" Type="http://schemas.openxmlformats.org/officeDocument/2006/relationships/hyperlink" Target="https://arxiv.org/abs/2408.16564" TargetMode="External"/><Relationship Id="rId568" Type="http://schemas.openxmlformats.org/officeDocument/2006/relationships/hyperlink" Target="https://arxiv.org/abs/2408.16254" TargetMode="External"/><Relationship Id="rId567" Type="http://schemas.openxmlformats.org/officeDocument/2006/relationships/hyperlink" Target="https://arxiv.org/abs/2408.15465" TargetMode="External"/><Relationship Id="rId566" Type="http://schemas.openxmlformats.org/officeDocument/2006/relationships/hyperlink" Target="https://arxiv.org/abs/2408.14930" TargetMode="External"/><Relationship Id="rId2480" Type="http://schemas.openxmlformats.org/officeDocument/2006/relationships/hyperlink" Target="https://scholar.google.es/scholar_url?url=https://arxiv.org/pdf/2506.21324&amp;hl=en&amp;sa=X&amp;d=3388516431708129550&amp;ei=UrtkaO6lNIOuieoPqtaP6Ag&amp;scisig=AAZF9b9Ez_DJzkMbS_C63yAycAEc&amp;oi=scholaralrt&amp;hist=v0_XxF0AAAAJ:13742027118377625026:AAZF9b802AK2JmjOJ6sFwAbOS06D&amp;html=&amp;pos=2&amp;folt=cit&amp;fols=" TargetMode="External"/><Relationship Id="rId561" Type="http://schemas.openxmlformats.org/officeDocument/2006/relationships/hyperlink" Target="https://arxiv.org/abs/2408.09424" TargetMode="External"/><Relationship Id="rId1150" Type="http://schemas.openxmlformats.org/officeDocument/2006/relationships/hyperlink" Target="https://doi.org/10.1007/s11263-025-02666-2" TargetMode="External"/><Relationship Id="rId2481" Type="http://schemas.openxmlformats.org/officeDocument/2006/relationships/hyperlink" Target="https://scholar.google.es/scholar_url?url=https://arxiv.org/pdf/2507.02200&amp;hl=en&amp;sa=X&amp;d=15263749680233374321&amp;ei=dOJqaPa6D66l6rQP7MCumQ8&amp;scisig=AAZF9b_6lbPwAPZSUvOZQRMGL6vN&amp;oi=scholaralrt&amp;hist=v0_XxF0AAAAJ:13742027118377625026:AAZF9b802AK2JmjOJ6sFwAbOS06D&amp;html=&amp;pos=1&amp;folt=cit&amp;fols=" TargetMode="External"/><Relationship Id="rId560" Type="http://schemas.openxmlformats.org/officeDocument/2006/relationships/hyperlink" Target="https://arxiv.org/abs/2408.08320" TargetMode="External"/><Relationship Id="rId1151" Type="http://schemas.openxmlformats.org/officeDocument/2006/relationships/hyperlink" Target="https://doi.org/10.1007/s11263-025-02670-6" TargetMode="External"/><Relationship Id="rId2482" Type="http://schemas.openxmlformats.org/officeDocument/2006/relationships/hyperlink" Target="https://scholar.google.es/scholar_url?url=https://bileboul.github.io/portfolio/ressources/semester%2520project/semster_project%2520(2).pdf&amp;hl=en&amp;sa=X&amp;d=6352664903026054408&amp;ei=4cJCZ9HkD-G86rQP-4Db8Qo&amp;scisig=AFWwaeZfHO4QQTefnp3fCn-dV0x0&amp;oi=scholaralrt&amp;hist=v0_XxF0AAAAJ:13742027118377625026:AFWwaebUHLr8wRJ2PrQQIxHyeXqg&amp;html=&amp;pos=3&amp;folt=cit&amp;fols=" TargetMode="External"/><Relationship Id="rId1152" Type="http://schemas.openxmlformats.org/officeDocument/2006/relationships/hyperlink" Target="https://doi.org/10.1007/s11554-024-01422-y" TargetMode="External"/><Relationship Id="rId2483" Type="http://schemas.openxmlformats.org/officeDocument/2006/relationships/hyperlink" Target="https://scholar.google.es/scholar_url?url=https://books.google.es/books%3Fhl%3Den%26lr%3Dlang_en%26id%3DDaQUEQAAQBAJ%26oi%3Dfnd%26pg%3DPR7%26ots%3Dfmlwb067w4%26sig%3DKlN8xpjy7nQ8jxX02a7GQq30dbY&amp;hl=en&amp;sa=X&amp;d=1792064482138189870&amp;ei=P6GdZp_0M66G6rQPtIXh6QU&amp;scisig=AFWwaeYFtNMv6M_huKISLxRda_DO&amp;oi=scholaralrt&amp;hist=v0_XxF0AAAAJ:198837818532394236:AFWwaeZmMyKvHQIW44XNBFyAPl1L&amp;html=&amp;pos=3&amp;folt=rel&amp;fols=" TargetMode="External"/><Relationship Id="rId1153" Type="http://schemas.openxmlformats.org/officeDocument/2006/relationships/hyperlink" Target="https://doi.org/10.1007/s11633-022-1350-3" TargetMode="External"/><Relationship Id="rId2484" Type="http://schemas.openxmlformats.org/officeDocument/2006/relationships/hyperlink" Target="https://scholar.google.es/scholar_url?url=https://books.google.es/books%3Fhl%3Den%26lr%3Dlang_en%26id%3De8yeEQAAQBAJ%26oi%3Dfnd%26pg%3DPA138%26ots%3DqsjQLzHeZK%26sig%3DkWtH77XzRt0utTw5y315Ct39ouA&amp;hl=en&amp;sa=X&amp;d=11383179042696922972&amp;ei=JmJAaaqbEP3D6rQP75fFuQs&amp;scisig=ALhkC2TV-0Q8yf-M6iW1KJy4nyfr&amp;oi=scholaralrt&amp;hist=v0_XxF0AAAAJ:13742027118377625026:ALhkC2RovGTtfNVMcZ_lgjoSmJ9_&amp;html=&amp;pos=2&amp;folt=cit&amp;fols=" TargetMode="External"/><Relationship Id="rId565" Type="http://schemas.openxmlformats.org/officeDocument/2006/relationships/hyperlink" Target="https://arxiv.org/abs/2408.13627" TargetMode="External"/><Relationship Id="rId1154" Type="http://schemas.openxmlformats.org/officeDocument/2006/relationships/hyperlink" Target="https://doi.org/10.1007/s11760-024-03571-w" TargetMode="External"/><Relationship Id="rId2485" Type="http://schemas.openxmlformats.org/officeDocument/2006/relationships/hyperlink" Target="https://scholar.google.es/scholar_url?url=https://books.google.es/books%3Fhl%3Den%26lr%3Dlang_en%26id%3DGiU0EQAAQBAJ%26oi%3Dfnd%26pg%3DPA99%26ots%3DVCXorzfTJ0%26sig%3DsOpPvFdu9Gdw7KQWTgko9nXOpNs&amp;hl=en&amp;sa=X&amp;d=3769507745678105208&amp;ei=jfZLZ7HkG6Ox6rQPwdys2AM&amp;scisig=AFWwaebH2C29tBWzCSIEfaIcw0wR&amp;oi=scholaralrt&amp;hist=v0_XxF0AAAAJ:13742027118377625026:AFWwaebUHLr8wRJ2PrQQIxHyeXqg&amp;html=&amp;pos=1&amp;folt=cit&amp;fols=" TargetMode="External"/><Relationship Id="rId564" Type="http://schemas.openxmlformats.org/officeDocument/2006/relationships/hyperlink" Target="https://arxiv.org/abs/2408.13394" TargetMode="External"/><Relationship Id="rId1155" Type="http://schemas.openxmlformats.org/officeDocument/2006/relationships/hyperlink" Target="https://doi.org/10.1007/s11760-025-03945-8" TargetMode="External"/><Relationship Id="rId2486" Type="http://schemas.openxmlformats.org/officeDocument/2006/relationships/hyperlink" Target="https://scholar.google.es/scholar_url?url=https://books.google.es/books%3Fhl%3Den%26lr%3Dlang_en%26id%3DnMwuEQAAQBAJ%26oi%3Dfnd%26pg%3DPA111%26ots%3DBrfGmhPKwz%26sig%3DLe-GuVajl_O8tLC4l67iaT7vLvg&amp;hl=en&amp;sa=X&amp;d=4398952978955179108&amp;ei=yRwtZ8fmIqS-y9YPv4yW6QM&amp;scisig=AFWwaebi8ItbFYLdyR7KaDbxNkSS&amp;oi=scholaralrt&amp;hist=v0_XxF0AAAAJ:13742027118377625026:AFWwaebUHLr8wRJ2PrQQIxHyeXqg&amp;html=&amp;pos=4&amp;folt=cit&amp;fols=" TargetMode="External"/><Relationship Id="rId563" Type="http://schemas.openxmlformats.org/officeDocument/2006/relationships/hyperlink" Target="https://arxiv.org/abs/2408.13379" TargetMode="External"/><Relationship Id="rId1156" Type="http://schemas.openxmlformats.org/officeDocument/2006/relationships/hyperlink" Target="https://doi.org/10.1007/s11801-025-4091-z" TargetMode="External"/><Relationship Id="rId2487" Type="http://schemas.openxmlformats.org/officeDocument/2006/relationships/hyperlink" Target="https://scholar.google.es/scholar_url?url=https://books.google.es/books%3Fhl%3Den%26lr%3Dlang_en%26id%3DvYaUEQAAQBAJ%26oi%3Dfnd%26pg%3DPA424%26ots%3DdApJiPOXTU%26sig%3DmOdODXKA5TU5RnIZ_eV3AZgtbp8&amp;hl=en&amp;sa=X&amp;d=9216424808757698616&amp;ei=HpUQaf3BNebYieoPqJPpuA4&amp;scisig=ABGrvjLnyOyLIndTkhhkx6bF3Oed&amp;oi=scholaralrt&amp;hist=v0_XxF0AAAAJ:13742027118377625026:ABGrvjKBHUi6MFH_DtNclerNeAZe&amp;html=&amp;pos=2&amp;folt=cit&amp;fols=" TargetMode="External"/><Relationship Id="rId562" Type="http://schemas.openxmlformats.org/officeDocument/2006/relationships/hyperlink" Target="https://arxiv.org/abs/2408.12978" TargetMode="External"/><Relationship Id="rId1157" Type="http://schemas.openxmlformats.org/officeDocument/2006/relationships/hyperlink" Target="https://doi.org/10.1007/s12530-025-09755-0" TargetMode="External"/><Relationship Id="rId2488" Type="http://schemas.openxmlformats.org/officeDocument/2006/relationships/hyperlink" Target="https://scholar.google.es/scholar_url?url=https://books.google.es/books%3Fhl%3Den%26lr%3Dlang_en%26id%3DxC9NEQAAQBAJ%26oi%3Dfnd%26pg%3DPA280%26ots%3Dslf6RP53EO%26sig%3DPXUMYm7uWUD_5pervTQsnETJiiE&amp;hl=en&amp;sa=X&amp;d=16746810852786108444&amp;ei=LWPSZ7rZNuehieoPw9e4wQE&amp;scisig=AFWwaeY1yXo_MId8CkPvdZ1MJqKI&amp;oi=scholaralrt&amp;hist=v0_XxF0AAAAJ:13742027118377625026:AFWwaebUHLr8wRJ2PrQQIxHyeXqg&amp;html=&amp;pos=4&amp;folt=cit&amp;fols=" TargetMode="External"/><Relationship Id="rId1147" Type="http://schemas.openxmlformats.org/officeDocument/2006/relationships/hyperlink" Target="https://doi.org/10.1007/s11263-025-02379-6" TargetMode="External"/><Relationship Id="rId2478" Type="http://schemas.openxmlformats.org/officeDocument/2006/relationships/hyperlink" Target="https://scholar.google.es/scholar_url?url=https://arxiv.org/pdf/2409.16554&amp;hl=en&amp;sa=X&amp;d=7408604708328230604&amp;ei=T7r4ZvDiFKyCy9YPseaHkQg&amp;scisig=AFWwaebdX1zoHPnhGjYdcvex4Wk-&amp;oi=scholaralrt&amp;hist=v0_XxF0AAAAJ:198837818532394236:AFWwaeZmMyKvHQIW44XNBFyAPl1L&amp;html=&amp;pos=4&amp;folt=rel&amp;fols=" TargetMode="External"/><Relationship Id="rId1148" Type="http://schemas.openxmlformats.org/officeDocument/2006/relationships/hyperlink" Target="https://doi.org/10.1007/s11263-025-02438-y" TargetMode="External"/><Relationship Id="rId2479" Type="http://schemas.openxmlformats.org/officeDocument/2006/relationships/hyperlink" Target="https://scholar.google.es/scholar_url?url=https://arxiv.org/pdf/2409.16953&amp;hl=en&amp;sa=X&amp;d=10455732522275957752&amp;ei=T7r4Ztq0F4uDy9YP5e7h-QY&amp;scisig=AFWwaeaODdxpdE1QuJvvYUbdQePy&amp;oi=scholaralrt&amp;hist=v0_XxF0AAAAJ:13742027118377625026:AFWwaebUHLr8wRJ2PrQQIxHyeXqg&amp;html=&amp;pos=0&amp;folt=cit&amp;fols=" TargetMode="External"/><Relationship Id="rId1149" Type="http://schemas.openxmlformats.org/officeDocument/2006/relationships/hyperlink" Target="https://doi.org/10.1007/s11263-025-02488-2" TargetMode="External"/><Relationship Id="rId558" Type="http://schemas.openxmlformats.org/officeDocument/2006/relationships/hyperlink" Target="https://arxiv.org/abs/2408.06899" TargetMode="External"/><Relationship Id="rId557" Type="http://schemas.openxmlformats.org/officeDocument/2006/relationships/hyperlink" Target="https://arxiv.org/abs/2408.05452" TargetMode="External"/><Relationship Id="rId556" Type="http://schemas.openxmlformats.org/officeDocument/2006/relationships/hyperlink" Target="https://arxiv.org/abs/2408.01840" TargetMode="External"/><Relationship Id="rId555" Type="http://schemas.openxmlformats.org/officeDocument/2006/relationships/hyperlink" Target="https://arxiv.org/abs/2408.00661" TargetMode="External"/><Relationship Id="rId559" Type="http://schemas.openxmlformats.org/officeDocument/2006/relationships/hyperlink" Target="https://arxiv.org/abs/2408.06968" TargetMode="External"/><Relationship Id="rId550" Type="http://schemas.openxmlformats.org/officeDocument/2006/relationships/hyperlink" Target="https://arxiv.org/abs/2407.18500" TargetMode="External"/><Relationship Id="rId2470" Type="http://schemas.openxmlformats.org/officeDocument/2006/relationships/hyperlink" Target="https://scholar.google.es/scholar_url?url=https://arxiv.org/pdf/2312.11128&amp;hl=en&amp;sa=X&amp;d=16048149660374993673&amp;ei=BJSEZaeaLJesy9YPuLmWmAo&amp;scisig=AFWwaebh6YwAe7mu5gkEwnu42AMQ&amp;oi=scholaralrt&amp;hist=v0_XxF0AAAAJ:13742027118377625026:AFWwaebUHLr8wRJ2PrQQIxHyeXqg&amp;html=&amp;pos=3&amp;folt=cit&amp;fols=" TargetMode="External"/><Relationship Id="rId1140" Type="http://schemas.openxmlformats.org/officeDocument/2006/relationships/hyperlink" Target="https://doi.org/10.1007/s10489-024-06019-3" TargetMode="External"/><Relationship Id="rId2471" Type="http://schemas.openxmlformats.org/officeDocument/2006/relationships/hyperlink" Target="https://scholar.google.es/scholar_url?url=https://arxiv.org/pdf/2312.14157&amp;hl=en&amp;sa=X&amp;d=16544554491880445944&amp;ei=QNmKZaueIKGJ6rQP9_y8yAg&amp;scisig=AFWwaeam-oahYEeZYW_CqynzCuhP&amp;oi=scholaralrt&amp;hist=v0_XxF0AAAAJ:13742027118377625026:AFWwaebUHLr8wRJ2PrQQIxHyeXqg&amp;html=&amp;pos=1&amp;folt=cit&amp;fols=" TargetMode="External"/><Relationship Id="rId1141" Type="http://schemas.openxmlformats.org/officeDocument/2006/relationships/hyperlink" Target="https://doi.org/10.1007/s10489-025-07047-3" TargetMode="External"/><Relationship Id="rId2472" Type="http://schemas.openxmlformats.org/officeDocument/2006/relationships/hyperlink" Target="https://scholar.google.es/scholar_url?url=https://arxiv.org/pdf/2402.11662&amp;hl=en&amp;sa=X&amp;d=17306407933195566137&amp;ei=gyPXZbuMFYHOy9YPxPy7gAg&amp;scisig=AFWwaebBcBj6Na9IsnQeaXQyAUxY&amp;oi=scholaralrt&amp;hist=v0_XxF0AAAAJ:13742027118377625026:AFWwaebUHLr8wRJ2PrQQIxHyeXqg&amp;html=&amp;pos=0&amp;folt=cit&amp;fols=" TargetMode="External"/><Relationship Id="rId1142" Type="http://schemas.openxmlformats.org/officeDocument/2006/relationships/hyperlink" Target="https://doi.org/10.1007/s10845-021-01887-9" TargetMode="External"/><Relationship Id="rId2473" Type="http://schemas.openxmlformats.org/officeDocument/2006/relationships/hyperlink" Target="https://scholar.google.es/scholar_url?url=https://arxiv.org/pdf/2404.07656&amp;hl=en&amp;sa=X&amp;d=16906991659074764058&amp;ei=5HocZg-jisvWD-GQmvAK&amp;scisig=AFWwaebG92BNwhJ8b4V7pErnZgA0&amp;oi=scholaralrt&amp;hist=v0_XxF0AAAAJ:13742027118377625026:AFWwaebUHLr8wRJ2PrQQIxHyeXqg&amp;html=&amp;pos=1&amp;folt=cit&amp;fols=" TargetMode="External"/><Relationship Id="rId554" Type="http://schemas.openxmlformats.org/officeDocument/2006/relationships/hyperlink" Target="https://arxiv.org/abs/2408.00611" TargetMode="External"/><Relationship Id="rId1143" Type="http://schemas.openxmlformats.org/officeDocument/2006/relationships/hyperlink" Target="https://doi.org/10.1007/s11063-024-11551-x" TargetMode="External"/><Relationship Id="rId2474" Type="http://schemas.openxmlformats.org/officeDocument/2006/relationships/hyperlink" Target="https://scholar.google.es/scholar_url?url=https://arxiv.org/pdf/2405.04867&amp;hl=en&amp;sa=X&amp;d=17022434904411876938&amp;ei=hOw_ZoaEIorSy9YPnN2NoAw&amp;scisig=AFWwaeb-zJ9odyYI9idj64BFuD0V&amp;oi=scholaralrt&amp;hist=v0_XxF0AAAAJ:13742027118377625026:AFWwaebUHLr8wRJ2PrQQIxHyeXqg&amp;html=&amp;pos=1&amp;folt=cit&amp;fols=" TargetMode="External"/><Relationship Id="rId553" Type="http://schemas.openxmlformats.org/officeDocument/2006/relationships/hyperlink" Target="https://arxiv.org/abs/2408.00545" TargetMode="External"/><Relationship Id="rId1144" Type="http://schemas.openxmlformats.org/officeDocument/2006/relationships/hyperlink" Target="https://doi.org/10.1007/s11263-017-1050-6" TargetMode="External"/><Relationship Id="rId2475" Type="http://schemas.openxmlformats.org/officeDocument/2006/relationships/hyperlink" Target="https://scholar.google.es/scholar_url?url=https://arxiv.org/pdf/2405.12179&amp;hl=en&amp;sa=X&amp;d=2712965322226754319&amp;ei=SbpPZvqIL8OJ6rQPyua5mAQ&amp;scisig=AFWwaeaLdAdydHiO3FuqzjM3NWOG&amp;oi=scholaralrt&amp;hist=v0_XxF0AAAAJ:13742027118377625026:AFWwaebUHLr8wRJ2PrQQIxHyeXqg&amp;html=&amp;pos=3&amp;folt=cit&amp;fols=" TargetMode="External"/><Relationship Id="rId552" Type="http://schemas.openxmlformats.org/officeDocument/2006/relationships/hyperlink" Target="https://arxiv.org/abs/2407.21735" TargetMode="External"/><Relationship Id="rId1145" Type="http://schemas.openxmlformats.org/officeDocument/2006/relationships/hyperlink" Target="https://doi.org/10.1007/s11263-018-1106-2" TargetMode="External"/><Relationship Id="rId2476" Type="http://schemas.openxmlformats.org/officeDocument/2006/relationships/hyperlink" Target="https://scholar.google.es/scholar_url?url=https://arxiv.org/pdf/2405.18880&amp;hl=en&amp;sa=X&amp;d=4676989160129631805&amp;ei=SoJbZq-jFqOZy9YPhZ6Y8A0&amp;scisig=AFWwaebl-4Cr5zvcFlNrPanr1sJ3&amp;oi=scholaralrt&amp;hist=v0_XxF0AAAAJ:198837818532394236:AFWwaeZmMyKvHQIW44XNBFyAPl1L&amp;html=&amp;pos=2&amp;folt=rel&amp;fols=" TargetMode="External"/><Relationship Id="rId551" Type="http://schemas.openxmlformats.org/officeDocument/2006/relationships/hyperlink" Target="https://arxiv.org/abs/2407.20502v1/" TargetMode="External"/><Relationship Id="rId1146" Type="http://schemas.openxmlformats.org/officeDocument/2006/relationships/hyperlink" Target="https://doi.org/10.1007/s11263-023-01959-8" TargetMode="External"/><Relationship Id="rId2477" Type="http://schemas.openxmlformats.org/officeDocument/2006/relationships/hyperlink" Target="https://scholar.google.es/scholar_url?url=https://arxiv.org/pdf/2407.19566&amp;hl=en&amp;sa=X&amp;d=624382221016099179&amp;ei=D4KsZtenH-O86rQP0ZmP8QY&amp;scisig=AFWwaeYCgvEgrSR6rfwl8F8ryRr6&amp;oi=scholaralrt&amp;hist=v0_XxF0AAAAJ:13742027118377625026:AFWwaebUHLr8wRJ2PrQQIxHyeXqg&amp;html=&amp;pos=0&amp;folt=cit&amp;fols=" TargetMode="External"/><Relationship Id="rId495" Type="http://schemas.openxmlformats.org/officeDocument/2006/relationships/hyperlink" Target="https://arxiv.org/abs/2404.11979" TargetMode="External"/><Relationship Id="rId494" Type="http://schemas.openxmlformats.org/officeDocument/2006/relationships/hyperlink" Target="https://arxiv.org/abs/2404.11884" TargetMode="External"/><Relationship Id="rId493" Type="http://schemas.openxmlformats.org/officeDocument/2006/relationships/hyperlink" Target="https://arxiv.org/abs/2404.11770" TargetMode="External"/><Relationship Id="rId492" Type="http://schemas.openxmlformats.org/officeDocument/2006/relationships/hyperlink" Target="https://arxiv.org/abs/2404.11511" TargetMode="External"/><Relationship Id="rId499" Type="http://schemas.openxmlformats.org/officeDocument/2006/relationships/hyperlink" Target="https://arxiv.org/abs/2404.15619" TargetMode="External"/><Relationship Id="rId498" Type="http://schemas.openxmlformats.org/officeDocument/2006/relationships/hyperlink" Target="https://arxiv.org/abs/2404.14279" TargetMode="External"/><Relationship Id="rId497" Type="http://schemas.openxmlformats.org/officeDocument/2006/relationships/hyperlink" Target="https://arxiv.org/abs/2404.12402" TargetMode="External"/><Relationship Id="rId496" Type="http://schemas.openxmlformats.org/officeDocument/2006/relationships/hyperlink" Target="https://arxiv.org/abs/2404.12083" TargetMode="External"/><Relationship Id="rId1213" Type="http://schemas.openxmlformats.org/officeDocument/2006/relationships/hyperlink" Target="https://doi.org/10.1016/j.mejo.2024.106236" TargetMode="External"/><Relationship Id="rId2544" Type="http://schemas.openxmlformats.org/officeDocument/2006/relationships/hyperlink" Target="https://scholar.google.es/scholar_url?url=https://ieeexplore.ieee.org/iel8/6287639/6514899/10772100.pdf&amp;hl=en&amp;sa=X&amp;d=14533886729054576433&amp;ei=ZxpTZ5nnPI6_y9YPncPB6Q8&amp;scisig=AFWwaeawzmY2kGECQnyibm4iKHu2&amp;oi=scholaralrt&amp;hist=v0_XxF0AAAAJ:198837818532394236:AFWwaeZmMyKvHQIW44XNBFyAPl1L&amp;html=&amp;pos=6&amp;folt=rel&amp;fols=" TargetMode="External"/><Relationship Id="rId1214" Type="http://schemas.openxmlformats.org/officeDocument/2006/relationships/hyperlink" Target="https://doi.org/10.1016/j.mejo.2025.106781" TargetMode="External"/><Relationship Id="rId2545" Type="http://schemas.openxmlformats.org/officeDocument/2006/relationships/hyperlink" Target="https://scholar.google.es/scholar_url?url=https://ieeexplore.ieee.org/iel8/6287639/6514899/10804122.pdf&amp;hl=en&amp;sa=X&amp;d=3720348586362875619&amp;ei=Wx5lZ8KjLJOW6rQP3-rzuQM&amp;scisig=AFWwaebJ7maln9nNel1UJkoQ9EBm&amp;oi=scholaralrt&amp;hist=v0_XxF0AAAAJ:16412562894006425212:AFWwaeb1fDL4iO02GpXBXeIDVjnx&amp;html=&amp;pos=0&amp;folt=art" TargetMode="External"/><Relationship Id="rId1215" Type="http://schemas.openxmlformats.org/officeDocument/2006/relationships/hyperlink" Target="https://doi.org/10.1016/j.micpro.2025.105171" TargetMode="External"/><Relationship Id="rId2546" Type="http://schemas.openxmlformats.org/officeDocument/2006/relationships/hyperlink" Target="https://scholar.google.es/scholar_url?url=https://ieeexplore.ieee.org/iel8/6287639/6514899/10838560.pdf&amp;hl=en&amp;sa=X&amp;d=9110651420671839159&amp;ei=7_GRZ6iMEKHfy9YPl8KFuQc&amp;scisig=AFWwaebk0l2hNGfPYzkCRCcHQbkb&amp;oi=scholaralrt&amp;hist=v0_XxF0AAAAJ:13742027118377625026:AFWwaebUHLr8wRJ2PrQQIxHyeXqg&amp;html=&amp;pos=0&amp;folt=cit&amp;fols=" TargetMode="External"/><Relationship Id="rId1216" Type="http://schemas.openxmlformats.org/officeDocument/2006/relationships/hyperlink" Target="https://doi.org/10.1016/j.micpro.2025.105240" TargetMode="External"/><Relationship Id="rId2547" Type="http://schemas.openxmlformats.org/officeDocument/2006/relationships/hyperlink" Target="https://scholar.google.es/scholar_url?url=https://ieeexplore.ieee.org/iel8/7361/4427201/11074301.pdf&amp;hl=en&amp;sa=X&amp;d=6848966207508478572&amp;ei=4gl2aO2XCPuvieoP47eI4A8&amp;scisig=AAZF9b_mYP-5v1NxKt7yPViWnXlE&amp;oi=scholaralrt&amp;hist=v0_XxF0AAAAJ:198837818532394236:AAZF9b-3jVPI_G2C1ZFisyDADLOa&amp;html=&amp;pos=2&amp;folt=rel&amp;fols=" TargetMode="External"/><Relationship Id="rId1217" Type="http://schemas.openxmlformats.org/officeDocument/2006/relationships/hyperlink" Target="https://doi.org/10.1016/j.nanoen.2025.111490" TargetMode="External"/><Relationship Id="rId2548" Type="http://schemas.openxmlformats.org/officeDocument/2006/relationships/hyperlink" Target="https://scholar.google.es/scholar_url?url=https://ietresearch.onlinelibrary.wiley.com/doi/pdfdirect/10.1049/ipr2.13131&amp;hl=en&amp;sa=X&amp;d=16565758763008336463&amp;ei=g65jZpu8FLqY6rQP7_eJmAo&amp;scisig=AFWwaeaIVG_6qXxuxRqNjIkfbQiH&amp;oi=scholaralrt&amp;hist=v0_XxF0AAAAJ:13742027118377625026:AFWwaebUHLr8wRJ2PrQQIxHyeXqg&amp;html=&amp;pos=0&amp;folt=cit&amp;fols=" TargetMode="External"/><Relationship Id="rId1218" Type="http://schemas.openxmlformats.org/officeDocument/2006/relationships/hyperlink" Target="https://doi.org/10.1016/j.neucom.2024.128132" TargetMode="External"/><Relationship Id="rId2549" Type="http://schemas.openxmlformats.org/officeDocument/2006/relationships/hyperlink" Target="https://scholar.google.es/scholar_url?url=https://ijcai-preprints.s3.us-west-1.amazonaws.com/2025/1781.pdf&amp;hl=en&amp;sa=X&amp;d=14078260437875768482&amp;ei=BLuoaO_TFb-t6rQPy4KQuAw&amp;scisig=AAZF9b_rC8z5oCVxw9NjCnf9bdHT&amp;oi=scholaralrt&amp;hist=v0_XxF0AAAAJ:13742027118377625026:AAZF9b802AK2JmjOJ6sFwAbOS06D&amp;html=&amp;pos=2&amp;folt=cit&amp;fols=" TargetMode="External"/><Relationship Id="rId1219" Type="http://schemas.openxmlformats.org/officeDocument/2006/relationships/hyperlink" Target="https://doi.org/10.1016/j.neucom.2024.128657" TargetMode="External"/><Relationship Id="rId2540" Type="http://schemas.openxmlformats.org/officeDocument/2006/relationships/hyperlink" Target="https://scholar.google.es/scholar_url?url=https://ieeexplore.ieee.org/iel7/7361/4427201/10197344.pdf&amp;hl=en&amp;sa=X&amp;d=4362161005493498666&amp;ei=x9LIZKqPBpaAy9YPoJCYsAk&amp;scisig=AFWwaeZbEmikKLh8O63hMh-n6e24&amp;oi=scholaralrt&amp;hist=v0_XxF0AAAAJ:13742027118377625026:AFWwaebUHLr8wRJ2PrQQIxHyeXqg&amp;html=&amp;pos=3&amp;folt=cit&amp;fols=" TargetMode="External"/><Relationship Id="rId1210" Type="http://schemas.openxmlformats.org/officeDocument/2006/relationships/hyperlink" Target="https://doi.org/10.1016/j.measurement.2025.117854" TargetMode="External"/><Relationship Id="rId2541" Type="http://schemas.openxmlformats.org/officeDocument/2006/relationships/hyperlink" Target="https://scholar.google.es/scholar_url?url=https://ieeexplore.ieee.org/iel8/10347229/10787061/10795229.pdf&amp;hl=en&amp;sa=X&amp;d=13590416158401031386&amp;ei=JpRfZ4y3PKaay9YP2PjHoQ8&amp;scisig=AFWwaeaz7SlK-fwFjGpfQ_AYdQQ9&amp;oi=scholaralrt&amp;hist=v0_XxF0AAAAJ:13742027118377625026:AFWwaebUHLr8wRJ2PrQQIxHyeXqg&amp;html=&amp;pos=6&amp;folt=cit&amp;fols=" TargetMode="External"/><Relationship Id="rId1211" Type="http://schemas.openxmlformats.org/officeDocument/2006/relationships/hyperlink" Target="https://doi.org/10.1016/j.measurement.2025.119309" TargetMode="External"/><Relationship Id="rId2542" Type="http://schemas.openxmlformats.org/officeDocument/2006/relationships/hyperlink" Target="https://scholar.google.es/scholar_url?url=https://ieeexplore.ieee.org/iel8/10347231/10677474/10967557.pdf&amp;hl=en&amp;sa=X&amp;d=16086485519293299731&amp;ei=AZgGaOLSA_Oy6rQP1tr_uA8&amp;scisig=AFWwaeaA_EmQM7x6dI1-tegxrUUP&amp;oi=scholaralrt&amp;hist=v0_XxF0AAAAJ:13742027118377625026:AFWwaebUHLr8wRJ2PrQQIxHyeXqg&amp;html=&amp;pos=0&amp;folt=cit&amp;fols=" TargetMode="External"/><Relationship Id="rId1212" Type="http://schemas.openxmlformats.org/officeDocument/2006/relationships/hyperlink" Target="https://doi.org/10.1016/j.mejo.2023.105737" TargetMode="External"/><Relationship Id="rId2543" Type="http://schemas.openxmlformats.org/officeDocument/2006/relationships/hyperlink" Target="https://scholar.google.es/scholar_url?url=https://ieeexplore.ieee.org/iel8/19/4407674/10680346.pdf&amp;hl=en&amp;sa=X&amp;d=11700582891416889561&amp;ei=q7TpZpahNfSC6rQP863juAs&amp;scisig=AFWwaeY24zoGzh69-T2g-pQJl_Rh&amp;oi=scholaralrt&amp;hist=v0_XxF0AAAAJ:198837818532394236:AFWwaeZmMyKvHQIW44XNBFyAPl1L&amp;html=&amp;pos=0&amp;folt=rel&amp;fols=" TargetMode="External"/><Relationship Id="rId1202" Type="http://schemas.openxmlformats.org/officeDocument/2006/relationships/hyperlink" Target="https://doi.org/10.1016/j.inffus.2025.103211" TargetMode="External"/><Relationship Id="rId2533" Type="http://schemas.openxmlformats.org/officeDocument/2006/relationships/hyperlink" Target="https://scholar.google.es/scholar_url?url=https://ieeexplore.ieee.org/abstract/document/11203234/&amp;hl=en&amp;sa=X&amp;d=7825933721358169615&amp;ei=RJr2aJr-EoePieoPtcvwuAc&amp;scisig=AAZF9b-QS-V4LfG-_T32rPw2CZ3O&amp;oi=scholaralrt&amp;hist=v0_XxF0AAAAJ:13742027118377625026:AAZF9b802AK2JmjOJ6sFwAbOS06D&amp;html=&amp;pos=2&amp;folt=cit&amp;fols=" TargetMode="External"/><Relationship Id="rId1203" Type="http://schemas.openxmlformats.org/officeDocument/2006/relationships/hyperlink" Target="https://doi.org/10.1016/j.inffus.2025.103697" TargetMode="External"/><Relationship Id="rId2534" Type="http://schemas.openxmlformats.org/officeDocument/2006/relationships/hyperlink" Target="https://scholar.google.es/scholar_url?url=https://ieeexplore.ieee.org/abstract/document/11253979/&amp;hl=en&amp;sa=X&amp;d=16197405181355679697&amp;ei=1fFXadmVE7ux6rQPi5qW2AE&amp;scisig=ALhkC2TQY8P4HuAqOZlGp-TF3V89&amp;oi=scholaralrt&amp;hist=v0_XxF0AAAAJ:13742027118377625026:ALhkC2RovGTtfNVMcZ_lgjoSmJ9_&amp;html=&amp;pos=3&amp;folt=cit&amp;fols=" TargetMode="External"/><Relationship Id="rId1204" Type="http://schemas.openxmlformats.org/officeDocument/2006/relationships/hyperlink" Target="https://doi.org/10.1016/j.ins.2024.120660" TargetMode="External"/><Relationship Id="rId2535" Type="http://schemas.openxmlformats.org/officeDocument/2006/relationships/hyperlink" Target="https://scholar.google.es/scholar_url?url=https://ieeexplore.ieee.org/abstract/document/9985998/&amp;hl=en&amp;sa=X&amp;d=13476190099860032863&amp;ei=aI6dY7H7L8aSy9YPkY62oAg&amp;scisig=AAGBfm2RNW8kOo3U65oULSRpC4V6wtcTyA&amp;oi=scholaralrt&amp;hist=v0_XxF0AAAAJ:13742027118377625026:AAGBfm3UjufN_devjhEx0oELtR65UjD64A&amp;html=&amp;pos=0&amp;folt=cit&amp;fols=" TargetMode="External"/><Relationship Id="rId1205" Type="http://schemas.openxmlformats.org/officeDocument/2006/relationships/hyperlink" Target="https://doi.org/10.1016/j.ins.2024.121539" TargetMode="External"/><Relationship Id="rId2536" Type="http://schemas.openxmlformats.org/officeDocument/2006/relationships/hyperlink" Target="https://scholar.google.es/scholar_url?url=https://ieeexplore.ieee.org/iel7/6287639/10005208/10360108.pdf&amp;hl=en&amp;sa=X&amp;d=13920113434544325275&amp;ei=QNmKZaueIKGJ6rQP9_y8yAg&amp;scisig=AFWwaeYt-NaJq9AyBL3h_X3AjB8_&amp;oi=scholaralrt&amp;hist=v0_XxF0AAAAJ:13742027118377625026:AFWwaebUHLr8wRJ2PrQQIxHyeXqg&amp;html=&amp;pos=0&amp;folt=cit&amp;fols=" TargetMode="External"/><Relationship Id="rId1206" Type="http://schemas.openxmlformats.org/officeDocument/2006/relationships/hyperlink" Target="https://doi.org/10.1016/j.ins.2025.123026" TargetMode="External"/><Relationship Id="rId2537" Type="http://schemas.openxmlformats.org/officeDocument/2006/relationships/hyperlink" Target="https://scholar.google.es/scholar_url?url=https://ieeexplore.ieee.org/iel7/6287639/6514899/10494342.pdf&amp;hl=en&amp;sa=X&amp;d=6423471535167166753&amp;ei=9poYZqPmIczLy9YPsPiM0As&amp;scisig=AFWwaeawb4SkjAI1dHLK2ik2EPWr&amp;oi=scholaralrt&amp;hist=v0_XxF0AAAAJ:13742027118377625026:AFWwaebUHLr8wRJ2PrQQIxHyeXqg&amp;html=&amp;pos=2&amp;folt=cit&amp;fols=" TargetMode="External"/><Relationship Id="rId1207" Type="http://schemas.openxmlformats.org/officeDocument/2006/relationships/hyperlink" Target="https://doi.org/10.1016/j.isprsjprs.2025.03.013" TargetMode="External"/><Relationship Id="rId2538" Type="http://schemas.openxmlformats.org/officeDocument/2006/relationships/hyperlink" Target="https://scholar.google.es/scholar_url?url=https://ieeexplore.ieee.org/iel7/6287639/6514899/10528297.pdf&amp;hl=en&amp;sa=X&amp;d=3831506894168576335&amp;ei=2QNFZujVOdS-6rQPjNCm6AM&amp;scisig=AFWwaebcbIwNXsO4NXxa9_0WFukT&amp;oi=scholaralrt&amp;hist=v0_XxF0AAAAJ:13742027118377625026:AFWwaebUHLr8wRJ2PrQQIxHyeXqg&amp;html=&amp;pos=0&amp;folt=cit&amp;fols=" TargetMode="External"/><Relationship Id="rId1208" Type="http://schemas.openxmlformats.org/officeDocument/2006/relationships/hyperlink" Target="https://doi.org/10.1016/j.jag.2025.105019" TargetMode="External"/><Relationship Id="rId2539" Type="http://schemas.openxmlformats.org/officeDocument/2006/relationships/hyperlink" Target="https://scholar.google.es/scholar_url?url=https://ieeexplore.ieee.org/iel7/7083369/7339444/10403942.pdf&amp;hl=en&amp;sa=X&amp;d=2686224825589961838&amp;ei=ZuWvZZbYD_W56rQPwoCegAM&amp;scisig=AFWwaeaHvIh6fYtGKO-Psicv0Vry&amp;oi=scholaralrt&amp;hist=v0_XxF0AAAAJ:198837818532394236:AFWwaeZmMyKvHQIW44XNBFyAPl1L&amp;html=&amp;pos=0&amp;folt=rel&amp;fols=" TargetMode="External"/><Relationship Id="rId1209" Type="http://schemas.openxmlformats.org/officeDocument/2006/relationships/hyperlink" Target="https://doi.org/10.1016/j.measurement.2025.117262" TargetMode="External"/><Relationship Id="rId2530" Type="http://schemas.openxmlformats.org/officeDocument/2006/relationships/hyperlink" Target="https://scholar.google.es/scholar_url?url=https://ieeexplore.ieee.org/abstract/document/10784654/&amp;hl=en&amp;sa=X&amp;d=6754965896028290506&amp;ei=RFZmZ66uGMq8y9YPrOqMwQw&amp;scisig=AFWwaeb2d1QVLbyokVI_HcNg0Oe1&amp;oi=scholaralrt&amp;hist=v0_XxF0AAAAJ:13742027118377625026:AFWwaebUHLr8wRJ2PrQQIxHyeXqg&amp;html=&amp;pos=4&amp;folt=cit&amp;fols=" TargetMode="External"/><Relationship Id="rId1200" Type="http://schemas.openxmlformats.org/officeDocument/2006/relationships/hyperlink" Target="https://doi.org/10.1016/j.inffus.2024.102642" TargetMode="External"/><Relationship Id="rId2531" Type="http://schemas.openxmlformats.org/officeDocument/2006/relationships/hyperlink" Target="https://scholar.google.es/scholar_url?url=https://ieeexplore.ieee.org/abstract/document/10889295/&amp;hl=en&amp;sa=X&amp;d=17239268859364066162&amp;ei=LWPSZ7rZNuehieoPw9e4wQE&amp;scisig=AFWwaeYiAnhK7_AXU3cSuGKbtVdZ&amp;oi=scholaralrt&amp;hist=v0_XxF0AAAAJ:13742027118377625026:AFWwaebUHLr8wRJ2PrQQIxHyeXqg&amp;html=&amp;pos=5&amp;folt=cit&amp;fols=" TargetMode="External"/><Relationship Id="rId1201" Type="http://schemas.openxmlformats.org/officeDocument/2006/relationships/hyperlink" Target="https://doi.org/10.1016/j.inffus.2024.102891" TargetMode="External"/><Relationship Id="rId2532" Type="http://schemas.openxmlformats.org/officeDocument/2006/relationships/hyperlink" Target="https://scholar.google.es/scholar_url?url=https://ieeexplore.ieee.org/abstract/document/10947097/&amp;hl=en&amp;sa=X&amp;d=6730909547747183642&amp;ei=FUXxZ8mCI4WlieoPxarRgAo&amp;scisig=AFWwaeaVeCH8M8PQHAR5sNT324kp&amp;oi=scholaralrt&amp;hist=v0_XxF0AAAAJ:13742027118377625026:AFWwaebUHLr8wRJ2PrQQIxHyeXqg&amp;html=&amp;pos=1&amp;folt=cit&amp;fols=" TargetMode="External"/><Relationship Id="rId1235" Type="http://schemas.openxmlformats.org/officeDocument/2006/relationships/hyperlink" Target="https://doi.org/10.1016/j.neunet.2025.108024" TargetMode="External"/><Relationship Id="rId2566" Type="http://schemas.openxmlformats.org/officeDocument/2006/relationships/hyperlink" Target="https://scholar.google.es/scholar_url?url=https://link.springer.com/chapter/10.1007/978-3-031-44198-1_17&amp;hl=en&amp;sa=X&amp;d=17224430119430157730&amp;ei=6zwTZYikIo-8ywTkxoa4Dg&amp;scisig=AFWwaea5PUSAsLz6LsCcGsoVQNVV&amp;oi=scholaralrt&amp;hist=v0_XxF0AAAAJ:13742027118377625026:AFWwaebUHLr8wRJ2PrQQIxHyeXqg&amp;html=&amp;pos=2&amp;folt=cit&amp;fols=" TargetMode="External"/><Relationship Id="rId1236" Type="http://schemas.openxmlformats.org/officeDocument/2006/relationships/hyperlink" Target="https://doi.org/10.1016/j.optlaseng.2022.107247" TargetMode="External"/><Relationship Id="rId2567" Type="http://schemas.openxmlformats.org/officeDocument/2006/relationships/hyperlink" Target="https://scholar.google.es/scholar_url?url=https://link.springer.com/chapter/10.1007/978-3-031-72359-9_26&amp;hl=en&amp;sa=X&amp;d=11847006701299522974&amp;ei=noL_ZpD2HNWM6rQPr4KVmQI&amp;scisig=AFWwaeZdYvEyyx3wZRWUVV5920A4&amp;oi=scholaralrt&amp;hist=v0_XxF0AAAAJ:13742027118377625026:AFWwaebUHLr8wRJ2PrQQIxHyeXqg&amp;html=&amp;pos=0&amp;folt=cit&amp;fols=" TargetMode="External"/><Relationship Id="rId1237" Type="http://schemas.openxmlformats.org/officeDocument/2006/relationships/hyperlink" Target="https://doi.org/10.1016/j.optlaseng.2024.108431" TargetMode="External"/><Relationship Id="rId2568" Type="http://schemas.openxmlformats.org/officeDocument/2006/relationships/hyperlink" Target="https://scholar.google.es/scholar_url?url=https://link.springer.com/chapter/10.1007/978-3-031-78186-5_21&amp;hl=en&amp;sa=X&amp;d=13469813335367503821&amp;ei=skleZ5yWHbiC6rQP9vaF2Q4&amp;scisig=AFWwaebQQIYfBG7_BhUxaS-Yn_0w&amp;oi=scholaralrt&amp;hist=v0_XxF0AAAAJ:198837818532394236:AFWwaeZmMyKvHQIW44XNBFyAPl1L&amp;html=&amp;pos=5&amp;folt=rel&amp;fols=" TargetMode="External"/><Relationship Id="rId1238" Type="http://schemas.openxmlformats.org/officeDocument/2006/relationships/hyperlink" Target="https://doi.org/10.1016/j.optlaseng.2025.108944" TargetMode="External"/><Relationship Id="rId2569" Type="http://schemas.openxmlformats.org/officeDocument/2006/relationships/hyperlink" Target="https://scholar.google.es/scholar_url?url=https://link.springer.com/chapter/10.1007/978-981-99-1645-0_35&amp;hl=en&amp;sa=X&amp;d=12324153648358369380&amp;ei=iJk-ZO35HPiH6rQP4JmliAc&amp;scisig=AJ9-iYt3CdbwEAXZ65LLRjqKeJQM&amp;oi=scholaralrt&amp;hist=v0_XxF0AAAAJ:13742027118377625026:AJ9-iYul-8LSola92fEXQwk5J1jm&amp;html=&amp;pos=2&amp;folt=cit&amp;fols=" TargetMode="External"/><Relationship Id="rId1239" Type="http://schemas.openxmlformats.org/officeDocument/2006/relationships/hyperlink" Target="https://doi.org/10.1016/j.optlaseng.2025.109368" TargetMode="External"/><Relationship Id="rId409" Type="http://schemas.openxmlformats.org/officeDocument/2006/relationships/hyperlink" Target="https://arxiv.org/abs/2311.11533" TargetMode="External"/><Relationship Id="rId404" Type="http://schemas.openxmlformats.org/officeDocument/2006/relationships/hyperlink" Target="https://arxiv.org/abs/2311.01881" TargetMode="External"/><Relationship Id="rId403" Type="http://schemas.openxmlformats.org/officeDocument/2006/relationships/hyperlink" Target="https://arxiv.org/abs/2311.00436" TargetMode="External"/><Relationship Id="rId402" Type="http://schemas.openxmlformats.org/officeDocument/2006/relationships/hyperlink" Target="https://arxiv.org/abs/2310.19062" TargetMode="External"/><Relationship Id="rId401" Type="http://schemas.openxmlformats.org/officeDocument/2006/relationships/hyperlink" Target="https://arxiv.org/abs/2310.16844" TargetMode="External"/><Relationship Id="rId408" Type="http://schemas.openxmlformats.org/officeDocument/2006/relationships/hyperlink" Target="https://arxiv.org/abs/2311.11013" TargetMode="External"/><Relationship Id="rId407" Type="http://schemas.openxmlformats.org/officeDocument/2006/relationships/hyperlink" Target="https://arxiv.org/abs/2311.09652" TargetMode="External"/><Relationship Id="rId406" Type="http://schemas.openxmlformats.org/officeDocument/2006/relationships/hyperlink" Target="https://arxiv.org/abs/2311.04591" TargetMode="External"/><Relationship Id="rId405" Type="http://schemas.openxmlformats.org/officeDocument/2006/relationships/hyperlink" Target="https://arxiv.org/abs/2311.02327" TargetMode="External"/><Relationship Id="rId2560" Type="http://schemas.openxmlformats.org/officeDocument/2006/relationships/hyperlink" Target="https://scholar.google.es/scholar_url?url=https://library.imaging.org/admin/apis/public/api/ist/website/downloadArticle/ei/37/15/AVM-108&amp;hl=en&amp;sa=X&amp;d=16177614836034790882&amp;ei=9lk1aOr0Mam7ieoP1JuLsA8&amp;scisig=AAZF9b8aNSDppvyFli26BBu712Hy&amp;oi=scholaralrt&amp;hist=v0_XxF0AAAAJ:13742027118377625026:AAZF9b802AK2JmjOJ6sFwAbOS06D&amp;html=&amp;pos=0&amp;folt=cit&amp;fols=" TargetMode="External"/><Relationship Id="rId1230" Type="http://schemas.openxmlformats.org/officeDocument/2006/relationships/hyperlink" Target="https://doi.org/10.1016/j.neunet.2024.106415" TargetMode="External"/><Relationship Id="rId2561" Type="http://schemas.openxmlformats.org/officeDocument/2006/relationships/hyperlink" Target="https://scholar.google.es/scholar_url?url=https://link.springer.com/article/10.1007/s11263-023-01754-5&amp;hl=en&amp;sa=X&amp;d=14836577585452098067&amp;ei=cM7kY5uNEM2kmAGDjItg&amp;scisig=AAGBfm2w_hVBAhjN8s08ui7s5L1Vi_eofw&amp;oi=scholaralrt&amp;hist=v0_XxF0AAAAJ:13742027118377625026:AAGBfm3UjufN_devjhEx0oELtR65UjD64A&amp;html=&amp;pos=2&amp;folt=cit&amp;fols=" TargetMode="External"/><Relationship Id="rId400" Type="http://schemas.openxmlformats.org/officeDocument/2006/relationships/hyperlink" Target="https://arxiv.org/abs/2310.16618" TargetMode="External"/><Relationship Id="rId1231" Type="http://schemas.openxmlformats.org/officeDocument/2006/relationships/hyperlink" Target="https://doi.org/10.1016/j.neunet.2024.106948" TargetMode="External"/><Relationship Id="rId2562" Type="http://schemas.openxmlformats.org/officeDocument/2006/relationships/hyperlink" Target="https://scholar.google.es/scholar_url?url=https://link.springer.com/article/10.1007/s11263-024-02148-x&amp;hl=en&amp;sa=X&amp;d=10829459950354797881&amp;ei=akSHZsmUCcPOy9YPoN-ggAk&amp;scisig=AFWwaeYQoYMnUaUjuK9QZhLQvQ_U&amp;oi=scholaralrt&amp;hist=v0_XxF0AAAAJ:13742027118377625026:AFWwaebUHLr8wRJ2PrQQIxHyeXqg&amp;html=&amp;pos=0&amp;folt=cit&amp;fols=" TargetMode="External"/><Relationship Id="rId1232" Type="http://schemas.openxmlformats.org/officeDocument/2006/relationships/hyperlink" Target="https://doi.org/10.1016/j.neunet.2025.107447" TargetMode="External"/><Relationship Id="rId2563" Type="http://schemas.openxmlformats.org/officeDocument/2006/relationships/hyperlink" Target="https://scholar.google.es/scholar_url?url=https://link.springer.com/chapter/10.1007/978-3-031-20503-3_32&amp;hl=en&amp;sa=X&amp;d=14793258867288900269&amp;ei=U4-hY_vAIuiD6rQPitaN2AE&amp;scisig=AAGBfm3ZTMi1oW9d_8lDc2Mcz6W29ssywA&amp;oi=scholaralrt&amp;hist=v0_XxF0AAAAJ:13742027118377625026:AAGBfm3UjufN_devjhEx0oELtR65UjD64A&amp;html=&amp;pos=1&amp;folt=cit&amp;fols=" TargetMode="External"/><Relationship Id="rId1233" Type="http://schemas.openxmlformats.org/officeDocument/2006/relationships/hyperlink" Target="https://doi.org/10.1016/j.neunet.2025.107750" TargetMode="External"/><Relationship Id="rId2564" Type="http://schemas.openxmlformats.org/officeDocument/2006/relationships/hyperlink" Target="https://scholar.google.es/scholar_url?url=https://link.springer.com/chapter/10.1007/978-3-031-43148-7_19&amp;hl=en&amp;sa=X&amp;d=4471264251919556617&amp;ei=PRH6ZODyFsKK6rQP3uq74Ak&amp;scisig=AFWwaea-bNPJ3mgtVXalMS_w9utT&amp;oi=scholaralrt&amp;hist=v0_XxF0AAAAJ:198837818532394236:AFWwaeZmMyKvHQIW44XNBFyAPl1L&amp;html=&amp;pos=0&amp;folt=rel&amp;fols=" TargetMode="External"/><Relationship Id="rId1234" Type="http://schemas.openxmlformats.org/officeDocument/2006/relationships/hyperlink" Target="https://doi.org/10.1016/j.neunet.2025.107790" TargetMode="External"/><Relationship Id="rId2565" Type="http://schemas.openxmlformats.org/officeDocument/2006/relationships/hyperlink" Target="https://scholar.google.es/scholar_url?url=https://link.springer.com/chapter/10.1007/978-3-031-43763-2_10&amp;hl=en&amp;sa=X&amp;d=2439593110662389142&amp;ei=NI4hZYHFBvq8y9YPofu3kAc&amp;scisig=AFWwaeYiNivH39Q7k--wKGMAcDEw&amp;oi=scholaralrt&amp;hist=v0_XxF0AAAAJ:13742027118377625026:AFWwaebUHLr8wRJ2PrQQIxHyeXqg&amp;html=&amp;pos=5&amp;folt=cit&amp;fols=" TargetMode="External"/><Relationship Id="rId1224" Type="http://schemas.openxmlformats.org/officeDocument/2006/relationships/hyperlink" Target="https://doi.org/10.1016/j.neucom.2025.130026" TargetMode="External"/><Relationship Id="rId2555" Type="http://schemas.openxmlformats.org/officeDocument/2006/relationships/hyperlink" Target="https://scholar.google.es/scholar_url?url=https://ippc-iros23.github.io/papers/zhu.pdf&amp;hl=en&amp;sa=X&amp;d=6336797374760945123&amp;ei=wrQqZbWUBq6ty9YPsP2JqA8&amp;scisig=AFWwaeacffqYSMC5dzZu4vvHG-lh&amp;oi=scholaralrt&amp;hist=v0_XxF0AAAAJ:13742027118377625026:AFWwaebUHLr8wRJ2PrQQIxHyeXqg&amp;html=&amp;pos=7&amp;folt=cit&amp;fols=" TargetMode="External"/><Relationship Id="rId1225" Type="http://schemas.openxmlformats.org/officeDocument/2006/relationships/hyperlink" Target="https://doi.org/10.1016/j.neucom.2025.130136" TargetMode="External"/><Relationship Id="rId2556" Type="http://schemas.openxmlformats.org/officeDocument/2006/relationships/hyperlink" Target="https://scholar.google.es/scholar_url?url=https://isprs-archives.copernicus.org/articles/XLVIII-4-2024/651/2024/isprs-archives-XLVIII-4-2024-651-2024.pdf&amp;hl=en&amp;sa=X&amp;d=8356316285809898041&amp;ei=EL8aZ86HNf7Ey9YP_MqIcQ&amp;scisig=AFWwaeZ42OXAtAqFoWprmAwg4D4Y&amp;oi=scholaralrt&amp;hist=v0_XxF0AAAAJ:198837818532394236:AFWwaeZmMyKvHQIW44XNBFyAPl1L&amp;html=&amp;pos=1&amp;folt=rel&amp;fols=" TargetMode="External"/><Relationship Id="rId1226" Type="http://schemas.openxmlformats.org/officeDocument/2006/relationships/hyperlink" Target="https://doi.org/10.1016/j.neucom.2025.131221" TargetMode="External"/><Relationship Id="rId2557" Type="http://schemas.openxmlformats.org/officeDocument/2006/relationships/hyperlink" Target="https://scholar.google.es/scholar_url?url=https://iwfcv2023.github.io/assets/Oral/O6-3.%2520Event-Based%2520Reflectance%2520Separation.pdf&amp;hl=en&amp;sa=X&amp;d=6654598605327136182&amp;ei=ragAZMj8NfOBy9YPzPOF0Aw&amp;scisig=AAGBfm1E7JXJknh-aowS5c7ucOB5ulYb9A&amp;oi=scholaralrt&amp;hist=v0_XxF0AAAAJ:13742027118377625026:AAGBfm3UjufN_devjhEx0oELtR65UjD64A&amp;html=&amp;pos=3&amp;folt=cit&amp;fols=" TargetMode="External"/><Relationship Id="rId1227" Type="http://schemas.openxmlformats.org/officeDocument/2006/relationships/hyperlink" Target="https://doi.org/10.1016/j.neucom.2025.131745" TargetMode="External"/><Relationship Id="rId2558" Type="http://schemas.openxmlformats.org/officeDocument/2006/relationships/hyperlink" Target="https://scholar.google.es/scholar_url?url=https://jit.ndhu.edu.tw/article/viewFile/3187/3212&amp;hl=en&amp;sa=X&amp;d=6458349846811851636&amp;ei=GYSIaOCIPNmN6rQPnsa-EQ&amp;scisig=AAZF9b8F6EQOdudQbahKVdGM0fAT&amp;oi=scholaralrt&amp;hist=v0_XxF0AAAAJ:13742027118377625026:AAZF9b802AK2JmjOJ6sFwAbOS06D&amp;html=&amp;pos=7&amp;folt=cit&amp;fols=" TargetMode="External"/><Relationship Id="rId1228" Type="http://schemas.openxmlformats.org/officeDocument/2006/relationships/hyperlink" Target="https://doi.org/10.1016/j.neucom.2025.131773" TargetMode="External"/><Relationship Id="rId2559" Type="http://schemas.openxmlformats.org/officeDocument/2006/relationships/hyperlink" Target="https://scholar.google.es/scholar_url?url=https://keep.lib.asu.edu/system/files/c7/Verma_asu_0010N_23965.pdf&amp;hl=en&amp;sa=X&amp;d=14767130929252122412&amp;ei=nzZeZoPfOtWF6rQPybyB8Ac&amp;scisig=AFWwaebBAIeetpRIUXq-mNvwXQbx&amp;oi=scholaralrt&amp;hist=v0_XxF0AAAAJ:198837818532394236:AFWwaeZmMyKvHQIW44XNBFyAPl1L&amp;html=&amp;pos=2&amp;folt=rel&amp;fols=" TargetMode="External"/><Relationship Id="rId1229" Type="http://schemas.openxmlformats.org/officeDocument/2006/relationships/hyperlink" Target="https://doi.org/10.1016/j.neucom.2025.132458" TargetMode="External"/><Relationship Id="rId2550" Type="http://schemas.openxmlformats.org/officeDocument/2006/relationships/hyperlink" Target="https://scholar.google.es/scholar_url?url=https://imt-atlantique.hal.science/hal-05209003/file/Souissi-ACMMM25-UAVM25.pdf&amp;hl=en&amp;sa=X&amp;d=11417631920779606753&amp;ei=jtGzaPvBLYDXieoPk73huQQ&amp;scisig=AAZF9b9TCpeAkFUIivShCPQky_6F&amp;oi=scholaralrt&amp;hist=v0_XxF0AAAAJ:13742027118377625026:AAZF9b802AK2JmjOJ6sFwAbOS06D&amp;html=&amp;pos=7&amp;folt=cit&amp;fols=" TargetMode="External"/><Relationship Id="rId1220" Type="http://schemas.openxmlformats.org/officeDocument/2006/relationships/hyperlink" Target="https://doi.org/10.1016/j.neucom.2025.129678" TargetMode="External"/><Relationship Id="rId2551" Type="http://schemas.openxmlformats.org/officeDocument/2006/relationships/hyperlink" Target="https://scholar.google.es/scholar_url?url=https://infoscience.epfl.ch/record/306784/files/EPFL_TH10637.pdf&amp;hl=en&amp;sa=X&amp;d=16627610206724472894&amp;ei=sKmNZebbDqaAy9YP9tm6uAo&amp;scisig=AFWwaebRO7Uz-uLisiMHRsLmTy-4&amp;oi=scholaralrt&amp;hist=v0_XxF0AAAAJ:13742027118377625026:AFWwaebUHLr8wRJ2PrQQIxHyeXqg&amp;html=&amp;pos=1&amp;folt=cit&amp;fols=" TargetMode="External"/><Relationship Id="rId1221" Type="http://schemas.openxmlformats.org/officeDocument/2006/relationships/hyperlink" Target="https://doi.org/10.1016/j.neucom.2025.129776" TargetMode="External"/><Relationship Id="rId2552" Type="http://schemas.openxmlformats.org/officeDocument/2006/relationships/hyperlink" Target="https://scholar.google.es/scholar_url?url=https://iopscience.iop.org/article/10.1088/1742-6596/2774/1/012013/pdf&amp;hl=en&amp;sa=X&amp;d=9018103114590551602&amp;ei=qm6cZuTIPKzFy9YPt-64wAE&amp;scisig=AFWwaeZxCgLMSKsFu8I8YaQlJVxb&amp;oi=scholaralrt&amp;hist=v0_XxF0AAAAJ:13742027118377625026:AFWwaebUHLr8wRJ2PrQQIxHyeXqg&amp;html=&amp;pos=1&amp;folt=cit&amp;fols=" TargetMode="External"/><Relationship Id="rId1222" Type="http://schemas.openxmlformats.org/officeDocument/2006/relationships/hyperlink" Target="https://doi.org/10.1016/j.neucom.2025.129899" TargetMode="External"/><Relationship Id="rId2553" Type="http://schemas.openxmlformats.org/officeDocument/2006/relationships/hyperlink" Target="https://scholar.google.es/scholar_url?url=https://iopscience.iop.org/article/10.1088/2634-4386/ae3cb7/pdf&amp;hl=en&amp;sa=X&amp;d=9761242901512337975&amp;ei=PYF7aYjoBcSN6rQPspSaoA4&amp;scisig=AHkA5jQ2XC8ACWYUBPer8DeKsK6H&amp;oi=scholaralrt&amp;hist=v0_XxF0AAAAJ:13742027118377625026:AHkA5jSu_a2AqNQOCdacK8g1OnlB&amp;html=&amp;pos=1&amp;folt=cit&amp;fols=" TargetMode="External"/><Relationship Id="rId1223" Type="http://schemas.openxmlformats.org/officeDocument/2006/relationships/hyperlink" Target="https://doi.org/10.1016/j.neucom.2025.129974" TargetMode="External"/><Relationship Id="rId2554" Type="http://schemas.openxmlformats.org/officeDocument/2006/relationships/hyperlink" Target="https://scholar.google.es/scholar_url?url=https://iopscience.iop.org/article/10.35848/1347-4065/acad88/meta&amp;hl=en&amp;sa=X&amp;d=7989346829917177326&amp;ei=L6ymYxXOk8sEjYeZqA4&amp;scisig=AAGBfm0sHWJBoTyaM-gohPnITsQuvfwLQw&amp;oi=scholaralrt&amp;hist=v0_XxF0AAAAJ:13742027118377625026:AAGBfm3UjufN_devjhEx0oELtR65UjD64A&amp;html=&amp;pos=3&amp;folt=cit&amp;fols=" TargetMode="External"/><Relationship Id="rId2500" Type="http://schemas.openxmlformats.org/officeDocument/2006/relationships/hyperlink" Target="https://scholar.google.es/scholar_url?url=https://etda.libraries.psu.edu/files/final_submissions/27553&amp;hl=en&amp;sa=X&amp;d=5662711439735159009&amp;ei=6zwTZYikIo-8ywTkxoa4Dg&amp;scisig=AFWwaeb9QKoGOJjO868Q3i-gDaqs&amp;oi=scholaralrt&amp;hist=v0_XxF0AAAAJ:13742027118377625026:AFWwaebUHLr8wRJ2PrQQIxHyeXqg&amp;html=&amp;pos=3&amp;folt=cit&amp;fols=" TargetMode="External"/><Relationship Id="rId2501" Type="http://schemas.openxmlformats.org/officeDocument/2006/relationships/hyperlink" Target="https://scholar.google.es/scholar_url?url=https://hal.science/hal-04355661/document&amp;hl=en&amp;sa=X&amp;d=12200131694084369139&amp;ei=V9yPZaCvIqGJ6rQP9_y8yAg&amp;scisig=AFWwaeakvRce5JPd3uHWnukWy5sL&amp;oi=scholaralrt&amp;hist=v0_XxF0AAAAJ:13742027118377625026:AFWwaebUHLr8wRJ2PrQQIxHyeXqg&amp;html=&amp;pos=1&amp;folt=cit&amp;fols=" TargetMode="External"/><Relationship Id="rId2502" Type="http://schemas.openxmlformats.org/officeDocument/2006/relationships/hyperlink" Target="https://scholar.google.es/scholar_url?url=https://hal.science/hal-04497648/file/Simulating_Aerial_Event_based_Environment.pdf&amp;hl=en&amp;sa=X&amp;d=8975785228747339349&amp;ei=FXUQZvsC7ZHqtA_E0Yv4Dg&amp;scisig=AFWwaeYJvaVypTId72pV9BpLmeig&amp;oi=scholaralrt&amp;hist=v0_XxF0AAAAJ:13742027118377625026:AFWwaebUHLr8wRJ2PrQQIxHyeXqg&amp;html=&amp;pos=6&amp;folt=cit&amp;fols=" TargetMode="External"/><Relationship Id="rId2503" Type="http://schemas.openxmlformats.org/officeDocument/2006/relationships/hyperlink" Target="https://scholar.google.es/scholar_url?url=https://hal.science/hal-04705444/&amp;hl=en&amp;sa=X&amp;d=14503124410587749857&amp;ei=_ST2ZoSeC5W06rQPvdSDiQw&amp;scisig=AFWwaeb9x2iiXJ2h2fTI1cVqPSzV&amp;oi=scholaralrt&amp;hist=v0_XxF0AAAAJ:198837818532394236:AFWwaeZmMyKvHQIW44XNBFyAPl1L&amp;html=&amp;pos=2&amp;folt=rel&amp;fols=" TargetMode="External"/><Relationship Id="rId2504" Type="http://schemas.openxmlformats.org/officeDocument/2006/relationships/hyperlink" Target="https://scholar.google.es/scholar_url?url=https://hal.science/hal-05192745/document&amp;hl=en&amp;sa=X&amp;d=18396426821581951900&amp;ei=v1mRaLr5Gc6s6rQPg-WysAI&amp;scisig=AAZF9b8oIZYVirQjbv_1QWZCsTDD&amp;oi=scholaralrt&amp;hist=v0_XxF0AAAAJ:13742027118377625026:AAZF9b802AK2JmjOJ6sFwAbOS06D&amp;html=&amp;pos=2&amp;folt=cit&amp;fols=" TargetMode="External"/><Relationship Id="rId2505" Type="http://schemas.openxmlformats.org/officeDocument/2006/relationships/hyperlink" Target="https://scholar.google.es/scholar_url?url=https://ieeexplore.ieee.org/abstract/document/10042054/&amp;hl=en&amp;sa=X&amp;d=772094577146816855&amp;ei=cn7rY4OZGojMyQSShKDgCg&amp;scisig=AAGBfm3PBZ2RDeZ8fuZp0pWDZWFmX1Lj_A&amp;oi=scholaralrt&amp;hist=v0_XxF0AAAAJ:198837818532394236:AAGBfm3qe8R6xgugRn4Ir9dLExqv-Y_cuA&amp;html=&amp;pos=0&amp;folt=rel&amp;fols=" TargetMode="External"/><Relationship Id="rId2506" Type="http://schemas.openxmlformats.org/officeDocument/2006/relationships/hyperlink" Target="https://scholar.google.es/scholar_url?url=https://ieeexplore.ieee.org/abstract/document/10254055/&amp;hl=en&amp;sa=X&amp;d=16025048964295382918&amp;ei=6zwTZYikIo-8ywTkxoa4Dg&amp;scisig=AFWwaeZnIlIKJRBgk-hkTH1PpDzF&amp;oi=scholaralrt&amp;hist=v0_XxF0AAAAJ:13742027118377625026:AFWwaebUHLr8wRJ2PrQQIxHyeXqg&amp;html=&amp;pos=0&amp;folt=cit&amp;fols=" TargetMode="External"/><Relationship Id="rId2507" Type="http://schemas.openxmlformats.org/officeDocument/2006/relationships/hyperlink" Target="https://scholar.google.es/scholar_url?url=https://ieeexplore.ieee.org/abstract/document/10373055/&amp;hl=en&amp;sa=X&amp;d=7157176258086797523&amp;ei=V9yPZaCvIqGJ6rQP9_y8yAg&amp;scisig=AFWwaeYcmaWnm02aKHCh3BfOeuEH&amp;oi=scholaralrt&amp;hist=v0_XxF0AAAAJ:13742027118377625026:AFWwaebUHLr8wRJ2PrQQIxHyeXqg&amp;html=&amp;pos=4&amp;folt=cit&amp;fols=" TargetMode="External"/><Relationship Id="rId2508" Type="http://schemas.openxmlformats.org/officeDocument/2006/relationships/hyperlink" Target="https://scholar.google.es/scholar_url?url=https://ieeexplore.ieee.org/abstract/document/10416130/&amp;hl=en&amp;sa=X&amp;d=127738270474584385&amp;ei=tJPCZc-WJtLFy9YPoL6q0AE&amp;scisig=AFWwaebBWFAWvSwNZC2_U7_Mxd10&amp;oi=scholaralrt&amp;hist=v0_XxF0AAAAJ:13742027118377625026:AFWwaebUHLr8wRJ2PrQQIxHyeXqg&amp;html=&amp;pos=4&amp;folt=cit&amp;fols=" TargetMode="External"/><Relationship Id="rId2509" Type="http://schemas.openxmlformats.org/officeDocument/2006/relationships/hyperlink" Target="https://scholar.google.es/scholar_url?url=https://ieeexplore.ieee.org/abstract/document/10458287/&amp;hl=en&amp;sa=X&amp;d=17683632345679871811&amp;ei=bNfsZeLSBb-46rQP7ZK8qAg&amp;scisig=AFWwaebKS4C90RQs9bKTzBFu2iIl&amp;oi=scholaralrt&amp;hist=v0_XxF0AAAAJ:13742027118377625026:AFWwaebUHLr8wRJ2PrQQIxHyeXqg&amp;html=&amp;pos=0&amp;folt=cit&amp;fols=" TargetMode="External"/><Relationship Id="rId2522" Type="http://schemas.openxmlformats.org/officeDocument/2006/relationships/hyperlink" Target="https://scholar.google.es/scholar_url?url=https://ieeexplore.ieee.org/abstract/document/10680635/&amp;hl=en&amp;sa=X&amp;d=18271325871256952201&amp;ei=b_ntZruTA7--6rQPmcTLuQc&amp;scisig=AFWwaebAXqBvLtp1OHKsqLU-p7P1&amp;oi=scholaralrt&amp;hist=v0_XxF0AAAAJ:13742027118377625026:AFWwaebUHLr8wRJ2PrQQIxHyeXqg&amp;html=&amp;pos=4&amp;folt=cit&amp;fols=" TargetMode="External"/><Relationship Id="rId2523" Type="http://schemas.openxmlformats.org/officeDocument/2006/relationships/hyperlink" Target="https://scholar.google.es/scholar_url?url=https://ieeexplore.ieee.org/abstract/document/10682067/&amp;hl=en&amp;sa=X&amp;d=874292048581140662&amp;ei=l-7xZvm5KqSs6rQPppqOiAU&amp;scisig=AFWwaeaHEmpr74KB0U1cp2SnxCAU&amp;oi=scholaralrt&amp;hist=v0_XxF0AAAAJ:13742027118377625026:AFWwaebUHLr8wRJ2PrQQIxHyeXqg&amp;html=&amp;pos=0&amp;folt=cit&amp;fols=" TargetMode="External"/><Relationship Id="rId2524" Type="http://schemas.openxmlformats.org/officeDocument/2006/relationships/hyperlink" Target="https://scholar.google.es/scholar_url?url=https://ieeexplore.ieee.org/abstract/document/10684042/&amp;hl=en&amp;sa=X&amp;d=13861445238659138715&amp;ei=l-7xZvm5KqSs6rQPppqOiAU&amp;scisig=AFWwaeadw-6yuIHNW095Alz3vmbT&amp;oi=scholaralrt&amp;hist=v0_XxF0AAAAJ:13742027118377625026:AFWwaebUHLr8wRJ2PrQQIxHyeXqg&amp;html=&amp;pos=1&amp;folt=cit&amp;fols=" TargetMode="External"/><Relationship Id="rId2525" Type="http://schemas.openxmlformats.org/officeDocument/2006/relationships/hyperlink" Target="https://scholar.google.es/scholar_url?url=https://ieeexplore.ieee.org/abstract/document/10697100/&amp;hl=en&amp;sa=X&amp;d=2921933554194452147&amp;ei=z8b8ZqzaMqSMy9YPoKv0mAY&amp;scisig=AFWwaeYNX8RLv4YnN43aIjmH3Neh&amp;oi=scholaralrt&amp;hist=v0_XxF0AAAAJ:198837818532394236:AFWwaeZmMyKvHQIW44XNBFyAPl1L&amp;html=&amp;pos=2&amp;folt=rel&amp;fols=" TargetMode="External"/><Relationship Id="rId2526" Type="http://schemas.openxmlformats.org/officeDocument/2006/relationships/hyperlink" Target="https://scholar.google.es/scholar_url?url=https://ieeexplore.ieee.org/abstract/document/10713438/&amp;hl=en&amp;sa=X&amp;d=9894236138227535215&amp;ei=UaQNZ63CMNmDy9YPyoyWgAM&amp;scisig=AFWwaeZ-m57ikEAsCCjMyI_UjQP8&amp;oi=scholaralrt&amp;hist=v0_XxF0AAAAJ:13742027118377625026:AFWwaebUHLr8wRJ2PrQQIxHyeXqg&amp;html=&amp;pos=0&amp;folt=cit&amp;fols=" TargetMode="External"/><Relationship Id="rId2527" Type="http://schemas.openxmlformats.org/officeDocument/2006/relationships/hyperlink" Target="https://scholar.google.es/scholar_url?url=https://ieeexplore.ieee.org/abstract/document/10747109/&amp;hl=en&amp;sa=X&amp;d=7891488826394699099&amp;ei=l2IzZ_L7Cf7Ey9YP0ILI2Qo&amp;scisig=AFWwaeb1KUGi93MYb34P2uQA78uC&amp;oi=scholaralrt&amp;hist=v0_XxF0AAAAJ:13742027118377625026:AFWwaebUHLr8wRJ2PrQQIxHyeXqg&amp;html=&amp;pos=0&amp;folt=cit&amp;fols=" TargetMode="External"/><Relationship Id="rId2528" Type="http://schemas.openxmlformats.org/officeDocument/2006/relationships/hyperlink" Target="https://scholar.google.es/scholar_url?url=https://ieeexplore.ieee.org/abstract/document/10757318/&amp;hl=en&amp;sa=X&amp;d=2858789211699424366&amp;ei=En1BZ6eqFZPIy9YPpdOaiAc&amp;scisig=AFWwaeYlCAlPqGArpLqWttxVUYp1&amp;oi=scholaralrt&amp;hist=v0_XxF0AAAAJ:13742027118377625026:AFWwaebUHLr8wRJ2PrQQIxHyeXqg&amp;html=&amp;pos=2&amp;folt=cit&amp;fols=" TargetMode="External"/><Relationship Id="rId2529" Type="http://schemas.openxmlformats.org/officeDocument/2006/relationships/hyperlink" Target="https://scholar.google.es/scholar_url?url=https://ieeexplore.ieee.org/abstract/document/10776574/&amp;hl=en&amp;sa=X&amp;d=13097932606250272068&amp;ei=3-hVZ9co-6HqtA-Rhb-wBw&amp;scisig=AFWwaeapeU4Krrlcu2JFWa19jwxl&amp;oi=scholaralrt&amp;hist=v0_XxF0AAAAJ:13742027118377625026:AFWwaebUHLr8wRJ2PrQQIxHyeXqg&amp;html=&amp;pos=1&amp;folt=cit&amp;fols=" TargetMode="External"/><Relationship Id="rId2520" Type="http://schemas.openxmlformats.org/officeDocument/2006/relationships/hyperlink" Target="https://scholar.google.es/scholar_url?url=https://ieeexplore.ieee.org/abstract/document/10647465/&amp;hl=en&amp;sa=X&amp;d=11480137496747587028&amp;ei=z8b8ZuOCNPbYy9YPrPDH6Aw&amp;scisig=AFWwaeYMpuF5DYsMnMcv9HggYfgf&amp;oi=scholaralrt&amp;hist=v0_XxF0AAAAJ:13742027118377625026:AFWwaebUHLr8wRJ2PrQQIxHyeXqg&amp;html=&amp;pos=3&amp;folt=cit&amp;fols=" TargetMode="External"/><Relationship Id="rId2521" Type="http://schemas.openxmlformats.org/officeDocument/2006/relationships/hyperlink" Target="https://scholar.google.es/scholar_url?url=https://ieeexplore.ieee.org/abstract/document/10647468/&amp;hl=en&amp;sa=X&amp;d=6016047451462537950&amp;ei=z8b8ZuOCNPbYy9YPrPDH6Aw&amp;scisig=AFWwaeYyK10JngQ_GcpBNgDpQUrd&amp;oi=scholaralrt&amp;hist=v0_XxF0AAAAJ:13742027118377625026:AFWwaebUHLr8wRJ2PrQQIxHyeXqg&amp;html=&amp;pos=1&amp;folt=cit&amp;fols=" TargetMode="External"/><Relationship Id="rId2511" Type="http://schemas.openxmlformats.org/officeDocument/2006/relationships/hyperlink" Target="https://scholar.google.es/scholar_url?url=https://ieeexplore.ieee.org/abstract/document/10558375/&amp;hl=en&amp;sa=X&amp;d=1075749708704458675&amp;ei=DIWMZvGjBLqJ6rQPzbG4gAw&amp;scisig=AFWwaeYJ1BTqxcZvD8-6yX6Uxbii&amp;oi=scholaralrt&amp;hist=v0_XxF0AAAAJ:13742027118377625026:AFWwaebUHLr8wRJ2PrQQIxHyeXqg&amp;html=&amp;pos=3&amp;folt=cit&amp;fols=" TargetMode="External"/><Relationship Id="rId2512" Type="http://schemas.openxmlformats.org/officeDocument/2006/relationships/hyperlink" Target="https://scholar.google.es/scholar_url?url=https://ieeexplore.ieee.org/abstract/document/10558416/&amp;hl=en&amp;sa=X&amp;d=3134638234169741268&amp;ei=DIWMZvGjBLqJ6rQPzbG4gAw&amp;scisig=AFWwaeaFNlxau1Hn9ULrYeHXnRLw&amp;oi=scholaralrt&amp;hist=v0_XxF0AAAAJ:13742027118377625026:AFWwaebUHLr8wRJ2PrQQIxHyeXqg&amp;html=&amp;pos=2&amp;folt=cit&amp;fols=" TargetMode="External"/><Relationship Id="rId2513" Type="http://schemas.openxmlformats.org/officeDocument/2006/relationships/hyperlink" Target="https://scholar.google.es/scholar_url?url=https://ieeexplore.ieee.org/abstract/document/10558601/&amp;hl=en&amp;sa=X&amp;d=13450347502612420591&amp;ei=DIWMZvGjBLqJ6rQPzbG4gAw&amp;scisig=AFWwaeb3HG0vHc3GzFMIy5iJrb5q&amp;oi=scholaralrt&amp;hist=v0_XxF0AAAAJ:13742027118377625026:AFWwaebUHLr8wRJ2PrQQIxHyeXqg&amp;html=&amp;pos=5&amp;folt=cit&amp;fols=" TargetMode="External"/><Relationship Id="rId2514" Type="http://schemas.openxmlformats.org/officeDocument/2006/relationships/hyperlink" Target="https://scholar.google.es/scholar_url?url=https://ieeexplore.ieee.org/abstract/document/10558673/&amp;hl=en&amp;sa=X&amp;d=7418824184326865955&amp;ei=DIWMZvGjBLqJ6rQPzbG4gAw&amp;scisig=AFWwaeZFN8TLi0NfSmnYc6ZsWwS1&amp;oi=scholaralrt&amp;hist=v0_XxF0AAAAJ:13742027118377625026:AFWwaebUHLr8wRJ2PrQQIxHyeXqg&amp;html=&amp;pos=4&amp;folt=cit&amp;fols=" TargetMode="External"/><Relationship Id="rId2515" Type="http://schemas.openxmlformats.org/officeDocument/2006/relationships/hyperlink" Target="https://scholar.google.es/scholar_url?url=https://ieeexplore.ieee.org/abstract/document/10563992/&amp;hl=en&amp;sa=X&amp;d=8918962935008422903&amp;ei=dbmAZpDfLbbKy9YPsbqkkAU&amp;scisig=AFWwaeaXmT32IlFoQ_dIDe-kfIIs&amp;oi=scholaralrt&amp;hist=v0_XxF0AAAAJ:198837818532394236:AFWwaeZmMyKvHQIW44XNBFyAPl1L&amp;html=&amp;pos=1&amp;folt=rel&amp;fols=" TargetMode="External"/><Relationship Id="rId2516" Type="http://schemas.openxmlformats.org/officeDocument/2006/relationships/hyperlink" Target="https://scholar.google.es/scholar_url?url=https://ieeexplore.ieee.org/abstract/document/10577332/&amp;hl=en&amp;sa=X&amp;d=11721812918121947161&amp;ei=iiaLZtrAJbGCy9YPjYql6Ac&amp;scisig=AFWwaeYHt3ihB3pd0gbeKclH-FJJ&amp;oi=scholaralrt&amp;hist=v0_XxF0AAAAJ:13742027118377625026:AFWwaebUHLr8wRJ2PrQQIxHyeXqg&amp;html=&amp;pos=0&amp;folt=cit&amp;fols=" TargetMode="External"/><Relationship Id="rId2517" Type="http://schemas.openxmlformats.org/officeDocument/2006/relationships/hyperlink" Target="https://scholar.google.es/scholar_url?url=https://ieeexplore.ieee.org/abstract/document/10597458/&amp;hl=en&amp;sa=X&amp;d=4524513164126173847&amp;ei=kqOpZrf6JP-Xy9YP-YSfsAs&amp;scisig=AFWwaebgl1MXpJRC-KuFBgfpwqYl&amp;oi=scholaralrt&amp;hist=v0_XxF0AAAAJ:13742027118377625026:AFWwaebUHLr8wRJ2PrQQIxHyeXqg&amp;html=&amp;pos=2&amp;folt=cit&amp;fols=" TargetMode="External"/><Relationship Id="rId2518" Type="http://schemas.openxmlformats.org/officeDocument/2006/relationships/hyperlink" Target="https://scholar.google.es/scholar_url?url=https://ieeexplore.ieee.org/abstract/document/10597672/&amp;hl=en&amp;sa=X&amp;d=7568454958649134424&amp;ei=7yqbZpLKMd2v6rQPzfSEuAI&amp;scisig=AFWwaeYLBXJaXjvypBcBSdRmWN9l&amp;oi=scholaralrt&amp;hist=v0_XxF0AAAAJ:13742027118377625026:AFWwaebUHLr8wRJ2PrQQIxHyeXqg&amp;html=&amp;pos=3&amp;folt=cit&amp;fols=" TargetMode="External"/><Relationship Id="rId2519" Type="http://schemas.openxmlformats.org/officeDocument/2006/relationships/hyperlink" Target="https://scholar.google.es/scholar_url?url=https://ieeexplore.ieee.org/abstract/document/10647373/&amp;hl=en&amp;sa=X&amp;d=2325849051911667725&amp;ei=z8b8ZuOCNPbYy9YPrPDH6Aw&amp;scisig=AFWwaeYsmrk6tuFXUmFWVa4m8Gsn&amp;oi=scholaralrt&amp;hist=v0_XxF0AAAAJ:13742027118377625026:AFWwaebUHLr8wRJ2PrQQIxHyeXqg&amp;html=&amp;pos=2&amp;folt=cit&amp;fols=" TargetMode="External"/><Relationship Id="rId2510" Type="http://schemas.openxmlformats.org/officeDocument/2006/relationships/hyperlink" Target="https://scholar.google.es/scholar_url?url=https://ieeexplore.ieee.org/abstract/document/10538454/&amp;hl=en&amp;sa=X&amp;d=10701630105545135927&amp;ei=CItXZpLMOevJy9YP-oDKsA8&amp;scisig=AFWwaeYG-cHa2UM3HLzvOdT_E-D0&amp;oi=scholaralrt&amp;hist=v0_XxF0AAAAJ:13742027118377625026:AFWwaebUHLr8wRJ2PrQQIxHyeXqg&amp;html=&amp;pos=0&amp;folt=cit&amp;fols=" TargetMode="External"/><Relationship Id="rId469" Type="http://schemas.openxmlformats.org/officeDocument/2006/relationships/hyperlink" Target="https://arxiv.org/abs/2403.17013" TargetMode="External"/><Relationship Id="rId468" Type="http://schemas.openxmlformats.org/officeDocument/2006/relationships/hyperlink" Target="https://arxiv.org/abs/2403.16788" TargetMode="External"/><Relationship Id="rId467" Type="http://schemas.openxmlformats.org/officeDocument/2006/relationships/hyperlink" Target="https://arxiv.org/abs/2403.16425" TargetMode="External"/><Relationship Id="rId1290" Type="http://schemas.openxmlformats.org/officeDocument/2006/relationships/hyperlink" Target="https://doi.org/10.1109/ACCESS.2021.3071261" TargetMode="External"/><Relationship Id="rId1291" Type="http://schemas.openxmlformats.org/officeDocument/2006/relationships/hyperlink" Target="https://doi.org/10.1109/ACCESS.2021.3085708" TargetMode="External"/><Relationship Id="rId1292" Type="http://schemas.openxmlformats.org/officeDocument/2006/relationships/hyperlink" Target="https://doi.org/10.1109/ACCESS.2023.3328220" TargetMode="External"/><Relationship Id="rId462" Type="http://schemas.openxmlformats.org/officeDocument/2006/relationships/hyperlink" Target="https://arxiv.org/abs/2403.11961" TargetMode="External"/><Relationship Id="rId1293" Type="http://schemas.openxmlformats.org/officeDocument/2006/relationships/hyperlink" Target="https://doi.org/10.1109/ACCESS.2024.3371487" TargetMode="External"/><Relationship Id="rId461" Type="http://schemas.openxmlformats.org/officeDocument/2006/relationships/hyperlink" Target="https://arxiv.org/abs/2403.11875" TargetMode="External"/><Relationship Id="rId1294" Type="http://schemas.openxmlformats.org/officeDocument/2006/relationships/hyperlink" Target="https://doi.org/10.1109/ACCESS.2024.3462109" TargetMode="External"/><Relationship Id="rId460" Type="http://schemas.openxmlformats.org/officeDocument/2006/relationships/hyperlink" Target="https://arxiv.org/abs/2403.11662" TargetMode="External"/><Relationship Id="rId1295" Type="http://schemas.openxmlformats.org/officeDocument/2006/relationships/hyperlink" Target="https://doi.org/10.1109/ACCESS.2025.3549910" TargetMode="External"/><Relationship Id="rId1296" Type="http://schemas.openxmlformats.org/officeDocument/2006/relationships/hyperlink" Target="https://doi.org/10.1109/ACCESS.2025.3551073" TargetMode="External"/><Relationship Id="rId466" Type="http://schemas.openxmlformats.org/officeDocument/2006/relationships/hyperlink" Target="https://arxiv.org/abs/2403.15717" TargetMode="External"/><Relationship Id="rId1297" Type="http://schemas.openxmlformats.org/officeDocument/2006/relationships/hyperlink" Target="https://doi.org/10.1109/ACCESS.2025.3580578" TargetMode="External"/><Relationship Id="rId465" Type="http://schemas.openxmlformats.org/officeDocument/2006/relationships/hyperlink" Target="https://arxiv.org/abs/2403.13800" TargetMode="External"/><Relationship Id="rId1298" Type="http://schemas.openxmlformats.org/officeDocument/2006/relationships/hyperlink" Target="https://doi.org/10.1109/ACCESS.2025.3584382" TargetMode="External"/><Relationship Id="rId464" Type="http://schemas.openxmlformats.org/officeDocument/2006/relationships/hyperlink" Target="https://arxiv.org/abs/2403.12574" TargetMode="External"/><Relationship Id="rId1299" Type="http://schemas.openxmlformats.org/officeDocument/2006/relationships/hyperlink" Target="https://doi.org/10.1109/ACCESS.2025.3589506" TargetMode="External"/><Relationship Id="rId463" Type="http://schemas.openxmlformats.org/officeDocument/2006/relationships/hyperlink" Target="https://arxiv.org/abs/2403.12534" TargetMode="External"/><Relationship Id="rId459" Type="http://schemas.openxmlformats.org/officeDocument/2006/relationships/hyperlink" Target="https://arxiv.org/abs/2403.11138" TargetMode="External"/><Relationship Id="rId458" Type="http://schemas.openxmlformats.org/officeDocument/2006/relationships/hyperlink" Target="https://arxiv.org/abs/2403.10677" TargetMode="External"/><Relationship Id="rId457" Type="http://schemas.openxmlformats.org/officeDocument/2006/relationships/hyperlink" Target="https://arxiv.org/abs/2403.10120" TargetMode="External"/><Relationship Id="rId456" Type="http://schemas.openxmlformats.org/officeDocument/2006/relationships/hyperlink" Target="https://arxiv.org/abs/2403.09392" TargetMode="External"/><Relationship Id="rId1280" Type="http://schemas.openxmlformats.org/officeDocument/2006/relationships/hyperlink" Target="https://doi.org/10.1088/1748-3190/ad2a7c" TargetMode="External"/><Relationship Id="rId1281" Type="http://schemas.openxmlformats.org/officeDocument/2006/relationships/hyperlink" Target="https://doi.org/10.1088/2515-7639/adf35a" TargetMode="External"/><Relationship Id="rId451" Type="http://schemas.openxmlformats.org/officeDocument/2006/relationships/hyperlink" Target="https://arxiv.org/abs/2403.06443" TargetMode="External"/><Relationship Id="rId1282" Type="http://schemas.openxmlformats.org/officeDocument/2006/relationships/hyperlink" Target="https://doi.org/10.1088/2634-4386/ac2bed" TargetMode="External"/><Relationship Id="rId450" Type="http://schemas.openxmlformats.org/officeDocument/2006/relationships/hyperlink" Target="https://arxiv.org/abs/2403.05839" TargetMode="External"/><Relationship Id="rId1283" Type="http://schemas.openxmlformats.org/officeDocument/2006/relationships/hyperlink" Target="https://doi.org/10.1088/2634-4386/adf091" TargetMode="External"/><Relationship Id="rId1284" Type="http://schemas.openxmlformats.org/officeDocument/2006/relationships/hyperlink" Target="https://doi.org/10.1089/soro.2022.0030" TargetMode="External"/><Relationship Id="rId1285" Type="http://schemas.openxmlformats.org/officeDocument/2006/relationships/hyperlink" Target="https://doi.org/10.1109/3DV.2018.00080" TargetMode="External"/><Relationship Id="rId455" Type="http://schemas.openxmlformats.org/officeDocument/2006/relationships/hyperlink" Target="https://arxiv.org/abs/2403.09274" TargetMode="External"/><Relationship Id="rId1286" Type="http://schemas.openxmlformats.org/officeDocument/2006/relationships/hyperlink" Target="https://doi.org/10.1109/3DV53792.2021.00030" TargetMode="External"/><Relationship Id="rId454" Type="http://schemas.openxmlformats.org/officeDocument/2006/relationships/hyperlink" Target="https://arxiv.org/abs/2403.08086" TargetMode="External"/><Relationship Id="rId1287" Type="http://schemas.openxmlformats.org/officeDocument/2006/relationships/hyperlink" Target="https://doi.org/10.1109/3DV53792.2021.00048" TargetMode="External"/><Relationship Id="rId453" Type="http://schemas.openxmlformats.org/officeDocument/2006/relationships/hyperlink" Target="https://arxiv.org/abs/2403.07436" TargetMode="External"/><Relationship Id="rId1288" Type="http://schemas.openxmlformats.org/officeDocument/2006/relationships/hyperlink" Target="https://doi.org/10.1109/3DV53792.2021.00124" TargetMode="External"/><Relationship Id="rId452" Type="http://schemas.openxmlformats.org/officeDocument/2006/relationships/hyperlink" Target="https://arxiv.org/abs/2403.07346" TargetMode="External"/><Relationship Id="rId1289" Type="http://schemas.openxmlformats.org/officeDocument/2006/relationships/hyperlink" Target="https://doi.org/10.1109/A-SSCC60305.2024.10849082" TargetMode="External"/><Relationship Id="rId3018" Type="http://schemas.openxmlformats.org/officeDocument/2006/relationships/hyperlink" Target="https://www.scholar-inbox.com/login?sha_key=bcfdc8edc36b82ab867f4a41efd785f8dcb01eb0&amp;date=11-08-2024&amp;paper_id=3869063" TargetMode="External"/><Relationship Id="rId3017" Type="http://schemas.openxmlformats.org/officeDocument/2006/relationships/hyperlink" Target="https://www.scholar-inbox.com/login?sha_key=bcfdc8edc36b82ab867f4a41efd785f8dcb01eb0&amp;date=10-11-2024&amp;paper_id=3815986" TargetMode="External"/><Relationship Id="rId3019" Type="http://schemas.openxmlformats.org/officeDocument/2006/relationships/hyperlink" Target="https://www.scholar-inbox.com/login?sha_key=bcfdc8edc36b82ab867f4a41efd785f8dcb01eb0&amp;date=11-12-2024&amp;paper_id=3876154" TargetMode="External"/><Relationship Id="rId491" Type="http://schemas.openxmlformats.org/officeDocument/2006/relationships/hyperlink" Target="https://arxiv.org/abs/2404.10564" TargetMode="External"/><Relationship Id="rId490" Type="http://schemas.openxmlformats.org/officeDocument/2006/relationships/hyperlink" Target="https://arxiv.org/abs/2404.10540" TargetMode="External"/><Relationship Id="rId489" Type="http://schemas.openxmlformats.org/officeDocument/2006/relationships/hyperlink" Target="https://arxiv.org/abs/2404.08640" TargetMode="External"/><Relationship Id="rId484" Type="http://schemas.openxmlformats.org/officeDocument/2006/relationships/hyperlink" Target="https://arxiv.org/abs/2404.04698" TargetMode="External"/><Relationship Id="rId3010" Type="http://schemas.openxmlformats.org/officeDocument/2006/relationships/hyperlink" Target="https://www.scholar-inbox.com/login?sha_key=bcfdc8edc36b82ab867f4a41efd785f8dcb01eb0&amp;date=08-13-2024&amp;paper_id=3384317" TargetMode="External"/><Relationship Id="rId483" Type="http://schemas.openxmlformats.org/officeDocument/2006/relationships/hyperlink" Target="https://arxiv.org/abs/2404.03325" TargetMode="External"/><Relationship Id="rId482" Type="http://schemas.openxmlformats.org/officeDocument/2006/relationships/hyperlink" Target="https://arxiv.org/abs/2404.03210" TargetMode="External"/><Relationship Id="rId3012" Type="http://schemas.openxmlformats.org/officeDocument/2006/relationships/hyperlink" Target="https://www.scholar-inbox.com/login?sha_key=bcfdc8edc36b82ab867f4a41efd785f8dcb01eb0&amp;date=09-17-2024&amp;paper_id=3434278" TargetMode="External"/><Relationship Id="rId481" Type="http://schemas.openxmlformats.org/officeDocument/2006/relationships/hyperlink" Target="https://arxiv.org/abs/2404.02731" TargetMode="External"/><Relationship Id="rId3011" Type="http://schemas.openxmlformats.org/officeDocument/2006/relationships/hyperlink" Target="https://www.scholar-inbox.com/login?sha_key=bcfdc8edc36b82ab867f4a41efd785f8dcb01eb0&amp;date=08-13-2024&amp;paper_id=3385237" TargetMode="External"/><Relationship Id="rId488" Type="http://schemas.openxmlformats.org/officeDocument/2006/relationships/hyperlink" Target="https://arxiv.org/abs/2404.08504" TargetMode="External"/><Relationship Id="rId3014" Type="http://schemas.openxmlformats.org/officeDocument/2006/relationships/hyperlink" Target="https://www.scholar-inbox.com/login?sha_key=bcfdc8edc36b82ab867f4a41efd785f8dcb01eb0&amp;date=09-30-2024&amp;paper_id=3784405" TargetMode="External"/><Relationship Id="rId487" Type="http://schemas.openxmlformats.org/officeDocument/2006/relationships/hyperlink" Target="https://arxiv.org/abs/2404.07551" TargetMode="External"/><Relationship Id="rId3013" Type="http://schemas.openxmlformats.org/officeDocument/2006/relationships/hyperlink" Target="https://www.scholar-inbox.com/login?sha_key=bcfdc8edc36b82ab867f4a41efd785f8dcb01eb0&amp;date=09-27-2024&amp;paper_id=3777425" TargetMode="External"/><Relationship Id="rId486" Type="http://schemas.openxmlformats.org/officeDocument/2006/relationships/hyperlink" Target="https://arxiv.org/abs/2404.05977" TargetMode="External"/><Relationship Id="rId3016" Type="http://schemas.openxmlformats.org/officeDocument/2006/relationships/hyperlink" Target="https://www.scholar-inbox.com/login?sha_key=bcfdc8edc36b82ab867f4a41efd785f8dcb01eb0&amp;date=10-04-2024&amp;paper_id=3797826" TargetMode="External"/><Relationship Id="rId485" Type="http://schemas.openxmlformats.org/officeDocument/2006/relationships/hyperlink" Target="https://arxiv.org/abs/2404.05858" TargetMode="External"/><Relationship Id="rId3015" Type="http://schemas.openxmlformats.org/officeDocument/2006/relationships/hyperlink" Target="https://www.scholar-inbox.com/login?sha_key=bcfdc8edc36b82ab867f4a41efd785f8dcb01eb0&amp;date=10-01-2024&amp;paper_id=3787266" TargetMode="External"/><Relationship Id="rId3007" Type="http://schemas.openxmlformats.org/officeDocument/2006/relationships/hyperlink" Target="https://www.scholar-inbox.com/login?sha_key=bcfdc8edc36b82ab867f4a41efd785f8dcb01eb0&amp;date=04-22-2025&amp;paper_id=4163811" TargetMode="External"/><Relationship Id="rId3006" Type="http://schemas.openxmlformats.org/officeDocument/2006/relationships/hyperlink" Target="https://www.scholar-inbox.com/login?sha_key=bcfdc8edc36b82ab867f4a41efd785f8dcb01eb0&amp;date=04-21-2025&amp;paper_id=4161994" TargetMode="External"/><Relationship Id="rId3009" Type="http://schemas.openxmlformats.org/officeDocument/2006/relationships/hyperlink" Target="https://www.scholar-inbox.com/login?sha_key=bcfdc8edc36b82ab867f4a41efd785f8dcb01eb0&amp;date=05-08-2025&amp;paper_id=4184977" TargetMode="External"/><Relationship Id="rId3008" Type="http://schemas.openxmlformats.org/officeDocument/2006/relationships/hyperlink" Target="https://www.scholar-inbox.com/login?sha_key=bcfdc8edc36b82ab867f4a41efd785f8dcb01eb0&amp;date=04-24-2025&amp;paper_id=4167752" TargetMode="External"/><Relationship Id="rId480" Type="http://schemas.openxmlformats.org/officeDocument/2006/relationships/hyperlink" Target="https://arxiv.org/abs/2404.01948" TargetMode="External"/><Relationship Id="rId479" Type="http://schemas.openxmlformats.org/officeDocument/2006/relationships/hyperlink" Target="https://arxiv.org/abs/2404.01945" TargetMode="External"/><Relationship Id="rId478" Type="http://schemas.openxmlformats.org/officeDocument/2006/relationships/hyperlink" Target="https://arxiv.org/abs/2404.01882" TargetMode="External"/><Relationship Id="rId473" Type="http://schemas.openxmlformats.org/officeDocument/2006/relationships/hyperlink" Target="https://arxiv.org/abs/2403.19976" TargetMode="External"/><Relationship Id="rId472" Type="http://schemas.openxmlformats.org/officeDocument/2006/relationships/hyperlink" Target="https://arxiv.org/abs/2403.19412" TargetMode="External"/><Relationship Id="rId471" Type="http://schemas.openxmlformats.org/officeDocument/2006/relationships/hyperlink" Target="https://arxiv.org/abs/2403.19316" TargetMode="External"/><Relationship Id="rId3001" Type="http://schemas.openxmlformats.org/officeDocument/2006/relationships/hyperlink" Target="https://www.researchgate.net/publication/393937333_Penetrating_Spatiotemporal_Correlations_in_Event-stream_Data_via_Tensor_Factorization" TargetMode="External"/><Relationship Id="rId470" Type="http://schemas.openxmlformats.org/officeDocument/2006/relationships/hyperlink" Target="https://arxiv.org/abs/2403.18330" TargetMode="External"/><Relationship Id="rId3000" Type="http://schemas.openxmlformats.org/officeDocument/2006/relationships/hyperlink" Target="https://www.researchgate.net/publication/344734520_Real-Time_Face_Eye_Tracking_and_Blink_Detection_using_Event_Cameras" TargetMode="External"/><Relationship Id="rId477" Type="http://schemas.openxmlformats.org/officeDocument/2006/relationships/hyperlink" Target="https://arxiv.org/abs/2404.01801" TargetMode="External"/><Relationship Id="rId3003" Type="http://schemas.openxmlformats.org/officeDocument/2006/relationships/hyperlink" Target="https://www.researchsquare.com/article/rs-1770323/latest.pdf" TargetMode="External"/><Relationship Id="rId476" Type="http://schemas.openxmlformats.org/officeDocument/2006/relationships/hyperlink" Target="https://arxiv.org/abs/2404.01170" TargetMode="External"/><Relationship Id="rId3002" Type="http://schemas.openxmlformats.org/officeDocument/2006/relationships/hyperlink" Target="https://www.researchgate.net/publication/396577213_Learning_Progressive_Spatial_Enhancement_and_Scene_Adaptive_Alignment_for_Robust_RGBE_Tracking" TargetMode="External"/><Relationship Id="rId475" Type="http://schemas.openxmlformats.org/officeDocument/2006/relationships/hyperlink" Target="https://arxiv.org/abs/2404.00842" TargetMode="External"/><Relationship Id="rId3005" Type="http://schemas.openxmlformats.org/officeDocument/2006/relationships/hyperlink" Target="https://www.scholar-inbox.com/login?sha_key=bcfdc8edc36b82ab867f4a41efd785f8dcb01eb0&amp;date=03-12-2025&amp;paper_id=4098874" TargetMode="External"/><Relationship Id="rId474" Type="http://schemas.openxmlformats.org/officeDocument/2006/relationships/hyperlink" Target="https://arxiv.org/abs/2404.00834" TargetMode="External"/><Relationship Id="rId3004" Type="http://schemas.openxmlformats.org/officeDocument/2006/relationships/hyperlink" Target="https://www.scholar-inbox.com/login?sha_key=bcfdc8edc36b82ab867f4a41efd785f8dcb01eb0&amp;date=01-24-2025&amp;paper_id=4021779" TargetMode="External"/><Relationship Id="rId1257" Type="http://schemas.openxmlformats.org/officeDocument/2006/relationships/hyperlink" Target="https://doi.org/10.1038/s41566-023-01308-8" TargetMode="External"/><Relationship Id="rId2588" Type="http://schemas.openxmlformats.org/officeDocument/2006/relationships/hyperlink" Target="https://scholar.google.es/scholar_url?url=https://openaccess.thecvf.com/content/CVPR2024/papers/Xu_DMR_Decomposed_Multi-Modality_Representations_for_Frames_and_Events_Fusion_in_CVPR_2024_paper.pdf&amp;hl=en&amp;sa=X&amp;d=2147306273852386243&amp;ei=GDJsZq-yL66p6rQPit2GkAE&amp;scisig=AFWwaeafD-EQib3o28qq6Z2rKiz5&amp;oi=scholaralrt&amp;hist=v0_XxF0AAAAJ:13742027118377625026:AFWwaebUHLr8wRJ2PrQQIxHyeXqg&amp;html=&amp;pos=2&amp;folt=cit&amp;fols=" TargetMode="External"/><Relationship Id="rId1258" Type="http://schemas.openxmlformats.org/officeDocument/2006/relationships/hyperlink" Target="https://doi.org/10.1038/s41586-025-08991-3" TargetMode="External"/><Relationship Id="rId2589" Type="http://schemas.openxmlformats.org/officeDocument/2006/relationships/hyperlink" Target="https://scholar.google.es/scholar_url?url=https://openaccess.thecvf.com/content/CVPR2024W/CVsports/papers/Nakabayashi_Event-based_Ball_Spin_Estimation_in_Sports_CVPRW_2024_paper.pdf&amp;hl=en&amp;sa=X&amp;d=1422890995618978220&amp;ei=GDJsZq-yL66p6rQPit2GkAE&amp;scisig=AFWwaeY4V5iOk4ANxwKSSUADYvEp&amp;oi=scholaralrt&amp;hist=v0_XxF0AAAAJ:13742027118377625026:AFWwaebUHLr8wRJ2PrQQIxHyeXqg&amp;html=&amp;pos=5&amp;folt=cit&amp;fols=" TargetMode="External"/><Relationship Id="rId1259" Type="http://schemas.openxmlformats.org/officeDocument/2006/relationships/hyperlink" Target="https://doi.org/10.1038/s41597-024-02920-1" TargetMode="External"/><Relationship Id="rId426" Type="http://schemas.openxmlformats.org/officeDocument/2006/relationships/hyperlink" Target="https://arxiv.org/abs/2401.09331" TargetMode="External"/><Relationship Id="rId425" Type="http://schemas.openxmlformats.org/officeDocument/2006/relationships/hyperlink" Target="https://arxiv.org/abs/2401.08068" TargetMode="External"/><Relationship Id="rId424" Type="http://schemas.openxmlformats.org/officeDocument/2006/relationships/hyperlink" Target="https://arxiv.org/abs/2401.05626" TargetMode="External"/><Relationship Id="rId423" Type="http://schemas.openxmlformats.org/officeDocument/2006/relationships/hyperlink" Target="https://arxiv.org/abs/2401.05030" TargetMode="External"/><Relationship Id="rId429" Type="http://schemas.openxmlformats.org/officeDocument/2006/relationships/hyperlink" Target="https://arxiv.org/abs/2401.12761" TargetMode="External"/><Relationship Id="rId428" Type="http://schemas.openxmlformats.org/officeDocument/2006/relationships/hyperlink" Target="https://arxiv.org/abs/2401.11687" TargetMode="External"/><Relationship Id="rId427" Type="http://schemas.openxmlformats.org/officeDocument/2006/relationships/hyperlink" Target="https://arxiv.org/abs/2401.09797" TargetMode="External"/><Relationship Id="rId2580" Type="http://schemas.openxmlformats.org/officeDocument/2006/relationships/hyperlink" Target="https://scholar.google.es/scholar_url?url=https://ojs.aaai.org/index.php/AAAI/article/download/34013/36168&amp;hl=en&amp;sa=X&amp;d=13929318101782230017&amp;ei=Bo79Z8a8Npuw6rQPjdfcmQQ&amp;scisig=AFWwaeaUOdpKvoZLOh_0_ybhhWyV&amp;oi=scholaralrt&amp;hist=v0_XxF0AAAAJ:198837818532394236:AFWwaeZmMyKvHQIW44XNBFyAPl1L&amp;html=&amp;pos=1&amp;folt=rel&amp;fols=" TargetMode="External"/><Relationship Id="rId1250" Type="http://schemas.openxmlformats.org/officeDocument/2006/relationships/hyperlink" Target="https://doi.org/10.1021/acsami.4c09303" TargetMode="External"/><Relationship Id="rId2581" Type="http://schemas.openxmlformats.org/officeDocument/2006/relationships/hyperlink" Target="https://scholar.google.es/scholar_url?url=https://ojs.aaai.org/index.php/AAAI/article/view/27957/27934&amp;hl=en&amp;sa=X&amp;d=7697907798243578822&amp;ei=HYoFZordD9PAy9YPwNS90Aw&amp;scisig=AFWwaebx3dBPL5ZS47Mu649QHwjD&amp;oi=scholaralrt&amp;hist=v0_XxF0AAAAJ:13742027118377625026:AFWwaebUHLr8wRJ2PrQQIxHyeXqg&amp;html=&amp;pos=1&amp;folt=cit&amp;fols=" TargetMode="External"/><Relationship Id="rId1251" Type="http://schemas.openxmlformats.org/officeDocument/2006/relationships/hyperlink" Target="https://doi.org/10.1038/s41467-024-47811-6" TargetMode="External"/><Relationship Id="rId2582" Type="http://schemas.openxmlformats.org/officeDocument/2006/relationships/hyperlink" Target="https://scholar.google.es/scholar_url?url=https://onlinelibrary.wiley.com/doi/pdf/10.1002/aisy.202300027&amp;hl=en&amp;sa=X&amp;d=14796060149684492216&amp;ei=EdivZK_uL-TBsQK9nqGIBQ&amp;scisig=ABFrs3yWGMJ9R8DVLG-0cjDqRGH9&amp;oi=scholaralrt&amp;hist=v0_XxF0AAAAJ:13742027118377625026:ABFrs3wmzmYwkdiX_1n7Cp8GQyah&amp;html=&amp;pos=0&amp;folt=cit&amp;fols=" TargetMode="External"/><Relationship Id="rId1252" Type="http://schemas.openxmlformats.org/officeDocument/2006/relationships/hyperlink" Target="https://doi.org/10.1038/s41467-024-55094-0" TargetMode="External"/><Relationship Id="rId2583" Type="http://schemas.openxmlformats.org/officeDocument/2006/relationships/hyperlink" Target="https://scholar.google.es/scholar_url?url=https://open.library.ubc.ca/media/download/pdf/24/1.0445355/4&amp;hl=en&amp;sa=X&amp;d=11408457206639378932&amp;ei=qP_jZoLLPPGF6rQP9tiDkQE&amp;scisig=AFWwaebY31qLQyeQhhqbgt-22zNB&amp;oi=scholaralrt&amp;hist=v0_XxF0AAAAJ:13742027118377625026:AFWwaebUHLr8wRJ2PrQQIxHyeXqg&amp;html=&amp;pos=5&amp;folt=cit&amp;fols=" TargetMode="External"/><Relationship Id="rId422" Type="http://schemas.openxmlformats.org/officeDocument/2006/relationships/hyperlink" Target="https://arxiv.org/abs/2401.04988" TargetMode="External"/><Relationship Id="rId1253" Type="http://schemas.openxmlformats.org/officeDocument/2006/relationships/hyperlink" Target="https://doi.org/10.1038/s41467-025-57352-1" TargetMode="External"/><Relationship Id="rId2584" Type="http://schemas.openxmlformats.org/officeDocument/2006/relationships/hyperlink" Target="https://scholar.google.es/scholar_url?url=https://open.metu.edu.tr/bitstream/handle/11511/116041/index.pdf&amp;hl=en&amp;sa=X&amp;d=8476213109613994786&amp;ei=oGnfaKWYCfiu6rQPlOqwiQY&amp;scisig=AAZF9b_Ntak2SIaGXMRD_PGer7bx&amp;oi=scholaralrt&amp;hist=v0_XxF0AAAAJ:13742027118377625026:AAZF9b802AK2JmjOJ6sFwAbOS06D&amp;html=&amp;pos=6&amp;folt=cit&amp;fols=" TargetMode="External"/><Relationship Id="rId421" Type="http://schemas.openxmlformats.org/officeDocument/2006/relationships/hyperlink" Target="https://arxiv.org/abs/2401.02826" TargetMode="External"/><Relationship Id="rId1254" Type="http://schemas.openxmlformats.org/officeDocument/2006/relationships/hyperlink" Target="https://doi.org/10.1038/s41467-025-64234-z" TargetMode="External"/><Relationship Id="rId2585" Type="http://schemas.openxmlformats.org/officeDocument/2006/relationships/hyperlink" Target="https://scholar.google.es/scholar_url?url=https://openaccess.thecvf.com/content/ACCV2024/papers/Weng_Event-based_Image_Enhancement_Under_High_Dynamic_Range_Scenarios_ACCV_2024_paper.pdf&amp;hl=en&amp;sa=X&amp;d=12016548439939029552&amp;ei=ZxpTZ5nnPI6_y9YPncPB6Q8&amp;scisig=AFWwaeYhK9Xc7aB88a-snFQgksxi&amp;oi=scholaralrt&amp;hist=v0_XxF0AAAAJ:198837818532394236:AFWwaeZmMyKvHQIW44XNBFyAPl1L&amp;html=&amp;pos=2&amp;folt=rel&amp;fols=" TargetMode="External"/><Relationship Id="rId420" Type="http://schemas.openxmlformats.org/officeDocument/2006/relationships/hyperlink" Target="https://arxiv.org/abs/2401.02274" TargetMode="External"/><Relationship Id="rId1255" Type="http://schemas.openxmlformats.org/officeDocument/2006/relationships/hyperlink" Target="https://doi.org/10.1038/s41467-025-65387-7" TargetMode="External"/><Relationship Id="rId2586" Type="http://schemas.openxmlformats.org/officeDocument/2006/relationships/hyperlink" Target="https://scholar.google.es/scholar_url?url=https://openaccess.thecvf.com/content/CVPR2024/papers/Cho_TTA-EVF_Test-Time_Adaptation_for_Event-based_Video_Frame_Interpolation_via_Reliable_CVPR_2024_paper.pdf&amp;hl=en&amp;sa=X&amp;d=11134673632235246397&amp;ei=GDJsZq2XK7qDy9YP4v2F6Aw&amp;scisig=AFWwaeYLTvpUc9IQELYp712QcCmK&amp;oi=scholaralrt&amp;hist=v0_XxF0AAAAJ:198837818532394236:AFWwaeZmMyKvHQIW44XNBFyAPl1L&amp;html=&amp;pos=7&amp;folt=rel&amp;fols=" TargetMode="External"/><Relationship Id="rId1256" Type="http://schemas.openxmlformats.org/officeDocument/2006/relationships/hyperlink" Target="https://doi.org/10.1038/s41467-025-65677-0" TargetMode="External"/><Relationship Id="rId2587" Type="http://schemas.openxmlformats.org/officeDocument/2006/relationships/hyperlink" Target="https://scholar.google.es/scholar_url?url=https://openaccess.thecvf.com/content/CVPR2024/papers/Kim_Frequency-aware_Event-based_Video_Deblurring_for_Real-World_Motion_Blur_CVPR_2024_paper.pdf&amp;hl=en&amp;sa=X&amp;d=4955948708753522443&amp;ei=GuFuZqLjC4aM6rQPpe-zqAs&amp;scisig=AFWwaeaC5zrUOvMKyFInIH0Xcxpr&amp;oi=scholaralrt&amp;hist=v0_XxF0AAAAJ:198837818532394236:AFWwaeZmMyKvHQIW44XNBFyAPl1L&amp;html=&amp;pos=0&amp;folt=rel&amp;fols=" TargetMode="External"/><Relationship Id="rId1246" Type="http://schemas.openxmlformats.org/officeDocument/2006/relationships/hyperlink" Target="https://doi.org/10.1016/j.rineng.2025.106771" TargetMode="External"/><Relationship Id="rId2577" Type="http://schemas.openxmlformats.org/officeDocument/2006/relationships/hyperlink" Target="https://scholar.google.es/scholar_url?url=https://oa.upm.es/89413/3/TFM_TOMAS_SANCHEZ.pdf&amp;hl=en&amp;sa=X&amp;d=17312036177990810563&amp;ei=UaOGaIehINSWieoPqqr2sQc&amp;scisig=AAZF9b83T3ATjcVR8m7rkBck91El&amp;oi=scholaralrt&amp;hist=v0_XxF0AAAAJ:13742027118377625026:AAZF9b802AK2JmjOJ6sFwAbOS06D&amp;html=&amp;pos=4&amp;folt=cit&amp;fols=" TargetMode="External"/><Relationship Id="rId1247" Type="http://schemas.openxmlformats.org/officeDocument/2006/relationships/hyperlink" Target="https://doi.org/10.1016/j.sigpro.2024.109580" TargetMode="External"/><Relationship Id="rId2578" Type="http://schemas.openxmlformats.org/officeDocument/2006/relationships/hyperlink" Target="https://scholar.google.es/scholar_url?url=https://ojs.aaai.org/index.php/AAAI/article/download/25298/25070&amp;hl=en&amp;sa=X&amp;d=17399265523337303767&amp;ei=ArigZO3aM_qDy9YPpOa_kAI&amp;scisig=ABFrs3wG8PJMwajNiA27YneLMpgO&amp;oi=scholaralrt&amp;hist=v0_XxF0AAAAJ:13742027118377625026:ABFrs3wmzmYwkdiX_1n7Cp8GQyah&amp;html=&amp;pos=2&amp;folt=cit&amp;fols=" TargetMode="External"/><Relationship Id="rId1248" Type="http://schemas.openxmlformats.org/officeDocument/2006/relationships/hyperlink" Target="https://doi.org/10.1016/j.sintl.2025.100355" TargetMode="External"/><Relationship Id="rId2579" Type="http://schemas.openxmlformats.org/officeDocument/2006/relationships/hyperlink" Target="https://scholar.google.es/scholar_url?url=https://ojs.aaai.org/index.php/AAAI/article/download/25336/25108&amp;hl=en&amp;sa=X&amp;d=10063449484267627351&amp;ei=ArigZO3aM_qDy9YPpOa_kAI&amp;scisig=ABFrs3whqOm_tMVyNiyer1alIxOx&amp;oi=scholaralrt&amp;hist=v0_XxF0AAAAJ:13742027118377625026:ABFrs3wmzmYwkdiX_1n7Cp8GQyah&amp;html=&amp;pos=9&amp;folt=cit&amp;fols=" TargetMode="External"/><Relationship Id="rId1249" Type="http://schemas.openxmlformats.org/officeDocument/2006/relationships/hyperlink" Target="https://doi.org/10.1016/j.visres.2025.108732" TargetMode="External"/><Relationship Id="rId415" Type="http://schemas.openxmlformats.org/officeDocument/2006/relationships/hyperlink" Target="https://arxiv.org/abs/2312.00425" TargetMode="External"/><Relationship Id="rId414" Type="http://schemas.openxmlformats.org/officeDocument/2006/relationships/hyperlink" Target="https://arxiv.org/abs/2312.00113" TargetMode="External"/><Relationship Id="rId413" Type="http://schemas.openxmlformats.org/officeDocument/2006/relationships/hyperlink" Target="https://arxiv.org/abs/2311.18592" TargetMode="External"/><Relationship Id="rId412" Type="http://schemas.openxmlformats.org/officeDocument/2006/relationships/hyperlink" Target="https://arxiv.org/abs/2311.17286" TargetMode="External"/><Relationship Id="rId419" Type="http://schemas.openxmlformats.org/officeDocument/2006/relationships/hyperlink" Target="https://arxiv.org/abs/2401.01042" TargetMode="External"/><Relationship Id="rId418" Type="http://schemas.openxmlformats.org/officeDocument/2006/relationships/hyperlink" Target="https://arxiv.org/abs/2312.16933" TargetMode="External"/><Relationship Id="rId417" Type="http://schemas.openxmlformats.org/officeDocument/2006/relationships/hyperlink" Target="https://arxiv.org/abs/2312.09800" TargetMode="External"/><Relationship Id="rId416" Type="http://schemas.openxmlformats.org/officeDocument/2006/relationships/hyperlink" Target="https://arxiv.org/abs/2312.01236" TargetMode="External"/><Relationship Id="rId2570" Type="http://schemas.openxmlformats.org/officeDocument/2006/relationships/hyperlink" Target="https://scholar.google.es/scholar_url?url=https://link.springer.com/chapter/10.1007/978-981-99-8126-7_37&amp;hl=en&amp;sa=X&amp;d=8122559147813634527&amp;ei=pEtmZZjjK4nemQGh_JTgCA&amp;scisig=AFWwaeaedAFzProDe-hyHAOVPkXQ&amp;oi=scholaralrt&amp;hist=v0_XxF0AAAAJ:198837818532394236:AFWwaeZmMyKvHQIW44XNBFyAPl1L&amp;html=&amp;pos=0&amp;folt=rel&amp;fols=" TargetMode="External"/><Relationship Id="rId1240" Type="http://schemas.openxmlformats.org/officeDocument/2006/relationships/hyperlink" Target="https://doi.org/10.1016/j.optlastec.2023.110136" TargetMode="External"/><Relationship Id="rId2571" Type="http://schemas.openxmlformats.org/officeDocument/2006/relationships/hyperlink" Target="https://scholar.google.es/scholar_url?url=https://link.springer.com/content/pdf/10.1007/978-3-031-73383-3_12.pdf&amp;hl=en&amp;sa=X&amp;d=10640695710823895168&amp;ei=xz45Z7SUJZ236rQP4eisoAY&amp;scisig=AFWwaebqpSW0vtC1SOdK8HvUJGca&amp;oi=scholaralrt&amp;hist=v0_XxF0AAAAJ:13742027118377625026:AFWwaebUHLr8wRJ2PrQQIxHyeXqg&amp;html=&amp;pos=2&amp;folt=cit&amp;fols=" TargetMode="External"/><Relationship Id="rId1241" Type="http://schemas.openxmlformats.org/officeDocument/2006/relationships/hyperlink" Target="https://doi.org/10.1016/j.optlastec.2025.113682" TargetMode="External"/><Relationship Id="rId2572" Type="http://schemas.openxmlformats.org/officeDocument/2006/relationships/hyperlink" Target="https://scholar.google.es/scholar_url?url=https://lup.lub.lu.se/student-papers/record/9142302/file/9142457.pdf&amp;hl=en&amp;sa=X&amp;d=17652495590458610392&amp;ei=sKmNZebbDqaAy9YP9tm6uAo&amp;scisig=AFWwaebksIiDWX7EyhSeuhgVEAn5&amp;oi=scholaralrt&amp;hist=v0_XxF0AAAAJ:13742027118377625026:AFWwaebUHLr8wRJ2PrQQIxHyeXqg&amp;html=&amp;pos=2&amp;folt=cit&amp;fols=" TargetMode="External"/><Relationship Id="rId411" Type="http://schemas.openxmlformats.org/officeDocument/2006/relationships/hyperlink" Target="https://arxiv.org/abs/2311.17119" TargetMode="External"/><Relationship Id="rId1242" Type="http://schemas.openxmlformats.org/officeDocument/2006/relationships/hyperlink" Target="https://doi.org/10.1016/j.optlastec.2025.114083" TargetMode="External"/><Relationship Id="rId2573" Type="http://schemas.openxmlformats.org/officeDocument/2006/relationships/hyperlink" Target="https://scholar.google.es/scholar_url?url=https://mediatum.ub.tum.de/doc/1730953/fvdhuqavp1zqafmjp3cy753kh.pdf&amp;hl=en&amp;sa=X&amp;d=9990182032531987384&amp;ei=5fGfZeTzN8KAy9YP4bqs-Ac&amp;scisig=AFWwaeYp5wYdcJGIpKZqiRl7Nmap&amp;oi=scholaralrt&amp;hist=v0_XxF0AAAAJ:198837818532394236:AFWwaeZmMyKvHQIW44XNBFyAPl1L&amp;html=&amp;pos=1&amp;folt=rel&amp;fols=" TargetMode="External"/><Relationship Id="rId410" Type="http://schemas.openxmlformats.org/officeDocument/2006/relationships/hyperlink" Target="https://arxiv.org/abs/2311.11853" TargetMode="External"/><Relationship Id="rId1243" Type="http://schemas.openxmlformats.org/officeDocument/2006/relationships/hyperlink" Target="https://doi.org/10.1016/j.patcog.2023.110215" TargetMode="External"/><Relationship Id="rId2574" Type="http://schemas.openxmlformats.org/officeDocument/2006/relationships/hyperlink" Target="https://scholar.google.es/scholar_url?url=https://mediatum.ub.tum.de/doc/1759594/8fnm9kkemo6hh647zn14vu5sq.IAC-24,A6,IP,54,x84856.pdf&amp;hl=en&amp;sa=X&amp;d=7801277880542109946&amp;ei=q6AoZ7vRNv7Ey9YP05vQ6Aw&amp;scisig=AFWwaebTOeuHkCFAfPV-a73JhtVg&amp;oi=scholaralrt&amp;hist=v0_XxF0AAAAJ:13742027118377625026:AFWwaebUHLr8wRJ2PrQQIxHyeXqg&amp;html=&amp;pos=0&amp;folt=cit&amp;fols=" TargetMode="External"/><Relationship Id="rId1244" Type="http://schemas.openxmlformats.org/officeDocument/2006/relationships/hyperlink" Target="https://doi.org/10.1016/j.patcog.2024.111320" TargetMode="External"/><Relationship Id="rId2575" Type="http://schemas.openxmlformats.org/officeDocument/2006/relationships/hyperlink" Target="https://scholar.google.es/scholar_url?url=https://mediatum.ub.tum.de/doc/1759640/j6je2yoap73rgpqu5ioycnjls.IAC%25202024%2520Manuscript%2520B5,IP,4.pdf&amp;hl=en&amp;sa=X&amp;d=3508171834960799856&amp;ei=q6AoZ7vRNv7Ey9YP05vQ6Aw&amp;scisig=AFWwaeaIE6kZvuaqCuupjJ4JUyPj&amp;oi=scholaralrt&amp;hist=v0_XxF0AAAAJ:13742027118377625026:AFWwaebUHLr8wRJ2PrQQIxHyeXqg&amp;html=&amp;pos=1&amp;folt=cit&amp;fols=" TargetMode="External"/><Relationship Id="rId1245" Type="http://schemas.openxmlformats.org/officeDocument/2006/relationships/hyperlink" Target="https://doi.org/10.1016/j.patcog.2025.112718" TargetMode="External"/><Relationship Id="rId2576" Type="http://schemas.openxmlformats.org/officeDocument/2006/relationships/hyperlink" Target="https://scholar.google.es/scholar_url?url=https://ndia-mich.org/images/events/gvsets/2025/papers/aair/10%252050%2520AM%2520Uncrewed%2520Aerial%2520System%2520Detection%2520and%2520Tracking%2520with%2520Event%2520Cameras.pdf&amp;hl=en&amp;sa=X&amp;d=14348872115250406722&amp;ei=BLuoaNvrEszM6rQPr-ns-Q8&amp;scisig=AAZF9b9mCjy8GnC1dXyAwrb9kisv&amp;oi=scholaralrt&amp;hist=v0_XxF0AAAAJ:198837818532394236:AAZF9b-3jVPI_G2C1ZFisyDADLOa&amp;html=&amp;pos=3&amp;folt=rel&amp;fols=" TargetMode="External"/><Relationship Id="rId1279" Type="http://schemas.openxmlformats.org/officeDocument/2006/relationships/hyperlink" Target="https://doi.org/10.1080/10447318.2025.2595547" TargetMode="External"/><Relationship Id="rId448" Type="http://schemas.openxmlformats.org/officeDocument/2006/relationships/hyperlink" Target="https://arxiv.org/abs/2403.00416" TargetMode="External"/><Relationship Id="rId447" Type="http://schemas.openxmlformats.org/officeDocument/2006/relationships/hyperlink" Target="https://arxiv.org/abs/2402.16398" TargetMode="External"/><Relationship Id="rId446" Type="http://schemas.openxmlformats.org/officeDocument/2006/relationships/hyperlink" Target="https://arxiv.org/abs/2402.15584" TargetMode="External"/><Relationship Id="rId445" Type="http://schemas.openxmlformats.org/officeDocument/2006/relationships/hyperlink" Target="https://arxiv.org/abs/2402.15121" TargetMode="External"/><Relationship Id="rId449" Type="http://schemas.openxmlformats.org/officeDocument/2006/relationships/hyperlink" Target="https://arxiv.org/abs/2403.04562" TargetMode="External"/><Relationship Id="rId1270" Type="http://schemas.openxmlformats.org/officeDocument/2006/relationships/hyperlink" Target="https://doi.org/10.1038/s44335-025-00047-z" TargetMode="External"/><Relationship Id="rId440" Type="http://schemas.openxmlformats.org/officeDocument/2006/relationships/hyperlink" Target="https://arxiv.org/abs/2402.09270" TargetMode="External"/><Relationship Id="rId1271" Type="http://schemas.openxmlformats.org/officeDocument/2006/relationships/hyperlink" Target="https://doi.org/10.1038/s44460-025-00013-z" TargetMode="External"/><Relationship Id="rId1272" Type="http://schemas.openxmlformats.org/officeDocument/2006/relationships/hyperlink" Target="https://doi.org/10.1039/D5JA00238A" TargetMode="External"/><Relationship Id="rId1273" Type="http://schemas.openxmlformats.org/officeDocument/2006/relationships/hyperlink" Target="https://doi.org/10.1049/hve2.12498" TargetMode="External"/><Relationship Id="rId1274" Type="http://schemas.openxmlformats.org/officeDocument/2006/relationships/hyperlink" Target="https://doi.org/10.1063/5.0090714" TargetMode="External"/><Relationship Id="rId444" Type="http://schemas.openxmlformats.org/officeDocument/2006/relationships/hyperlink" Target="https://arxiv.org/abs/2402.11957" TargetMode="External"/><Relationship Id="rId1275" Type="http://schemas.openxmlformats.org/officeDocument/2006/relationships/hyperlink" Target="https://doi.org/10.1063/5.0160748" TargetMode="External"/><Relationship Id="rId443" Type="http://schemas.openxmlformats.org/officeDocument/2006/relationships/hyperlink" Target="https://arxiv.org/abs/2402.11631" TargetMode="External"/><Relationship Id="rId1276" Type="http://schemas.openxmlformats.org/officeDocument/2006/relationships/hyperlink" Target="https://doi.org/10.1063/5.0199514" TargetMode="External"/><Relationship Id="rId442" Type="http://schemas.openxmlformats.org/officeDocument/2006/relationships/hyperlink" Target="https://arxiv.org/abs/2402.10476" TargetMode="External"/><Relationship Id="rId1277" Type="http://schemas.openxmlformats.org/officeDocument/2006/relationships/hyperlink" Target="https://doi.org/10.1073/pnas.2528654122" TargetMode="External"/><Relationship Id="rId441" Type="http://schemas.openxmlformats.org/officeDocument/2006/relationships/hyperlink" Target="https://arxiv.org/abs/2402.10078" TargetMode="External"/><Relationship Id="rId1278" Type="http://schemas.openxmlformats.org/officeDocument/2006/relationships/hyperlink" Target="https://doi.org/10.1080/10447318.2025.2491187" TargetMode="External"/><Relationship Id="rId1268" Type="http://schemas.openxmlformats.org/officeDocument/2006/relationships/hyperlink" Target="https://doi.org/10.1038/s44335-025-00036-2" TargetMode="External"/><Relationship Id="rId2599" Type="http://schemas.openxmlformats.org/officeDocument/2006/relationships/hyperlink" Target="https://scholar.google.es/scholar_url?url=https://openreview.net/pdf%3Fid%3Dp4MdxsQVXu&amp;hl=en&amp;sa=X&amp;d=4070840866762493309&amp;ei=RFioZrjzBZiCy9YP6MORyQk&amp;scisig=AFWwaebomNYL6CpD_p8a_3VJlY2p&amp;oi=scholaralrt&amp;hist=v0_XxF0AAAAJ:13742027118377625026:AFWwaebUHLr8wRJ2PrQQIxHyeXqg&amp;html=&amp;pos=9&amp;folt=cit&amp;fols=" TargetMode="External"/><Relationship Id="rId1269" Type="http://schemas.openxmlformats.org/officeDocument/2006/relationships/hyperlink" Target="https://doi.org/10.1038/s44335-025-00046-0" TargetMode="External"/><Relationship Id="rId437" Type="http://schemas.openxmlformats.org/officeDocument/2006/relationships/hyperlink" Target="https://arxiv.org/abs/2402.05619" TargetMode="External"/><Relationship Id="rId436" Type="http://schemas.openxmlformats.org/officeDocument/2006/relationships/hyperlink" Target="https://arxiv.org/abs/2402.01287" TargetMode="External"/><Relationship Id="rId435" Type="http://schemas.openxmlformats.org/officeDocument/2006/relationships/hyperlink" Target="https://arxiv.org/abs/2402.01269" TargetMode="External"/><Relationship Id="rId434" Type="http://schemas.openxmlformats.org/officeDocument/2006/relationships/hyperlink" Target="https://arxiv.org/abs/2401.17642" TargetMode="External"/><Relationship Id="rId439" Type="http://schemas.openxmlformats.org/officeDocument/2006/relationships/hyperlink" Target="https://arxiv.org/abs/2402.08936" TargetMode="External"/><Relationship Id="rId438" Type="http://schemas.openxmlformats.org/officeDocument/2006/relationships/hyperlink" Target="https://arxiv.org/abs/2402.06805" TargetMode="External"/><Relationship Id="rId2590" Type="http://schemas.openxmlformats.org/officeDocument/2006/relationships/hyperlink" Target="https://scholar.google.es/scholar_url?url=https://openaccess.thecvf.com/content/CVPR2024W/MULA/papers/Devulapally_Multi-Modal_Fusion_of_Event_and_RGB_for_Monocular_Depth_Estimation_CVPRW_2024_paper.pdf&amp;hl=en&amp;sa=X&amp;d=7526396297183071175&amp;ei=GDJsZq-yL66p6rQPit2GkAE&amp;scisig=AFWwaebIGTriZPD5lnmfqU3WFFwy&amp;oi=scholaralrt&amp;hist=v0_XxF0AAAAJ:13742027118377625026:AFWwaebUHLr8wRJ2PrQQIxHyeXqg&amp;html=&amp;pos=8&amp;folt=cit&amp;fols=" TargetMode="External"/><Relationship Id="rId1260" Type="http://schemas.openxmlformats.org/officeDocument/2006/relationships/hyperlink" Target="https://doi.org/10.1038/s41597-025-04536-5" TargetMode="External"/><Relationship Id="rId2591" Type="http://schemas.openxmlformats.org/officeDocument/2006/relationships/hyperlink" Target="https://scholar.google.es/scholar_url?url=https://openaccess.thecvf.com/content/WACV2025W/EVGEN/papers/Pawar_Blurring_for_Clarity_Passive_Computation_for_Defocus-Driven_Parsimonious_Navigation_using_WACVW_2025_paper.pdf&amp;hl=en&amp;sa=X&amp;d=3115859506550462726&amp;ei=y3fLZ9n9IsCSieoP8qaZ-Aw&amp;scisig=AFWwaeYPrRNCxafj2hasyRz6RzHD&amp;oi=scholaralrt&amp;hist=v0_XxF0AAAAJ:13742027118377625026:AFWwaebUHLr8wRJ2PrQQIxHyeXqg&amp;html=&amp;pos=8&amp;folt=cit&amp;fols=" TargetMode="External"/><Relationship Id="rId1261" Type="http://schemas.openxmlformats.org/officeDocument/2006/relationships/hyperlink" Target="https://doi.org/10.1038/s41598-024-57333-2" TargetMode="External"/><Relationship Id="rId2592" Type="http://schemas.openxmlformats.org/officeDocument/2006/relationships/hyperlink" Target="https://scholar.google.es/scholar_url?url=https://openreview.net/pdf%3Fid%3D11fe8wKkmk&amp;hl=en&amp;sa=X&amp;d=10331423634770936032&amp;ei=iQQKac3ZGtrZzwL1oN24Aw&amp;scisig=ABGrvjI0L3wc0eS5nLNFyG46wLCT&amp;oi=scholaralrt&amp;hist=v0_XxF0AAAAJ:13742027118377625026:ABGrvjKBHUi6MFH_DtNclerNeAZe&amp;html=&amp;pos=0&amp;folt=cit&amp;fols=" TargetMode="External"/><Relationship Id="rId1262" Type="http://schemas.openxmlformats.org/officeDocument/2006/relationships/hyperlink" Target="https://doi.org/10.1038/s41598-025-09821-2" TargetMode="External"/><Relationship Id="rId2593" Type="http://schemas.openxmlformats.org/officeDocument/2006/relationships/hyperlink" Target="https://scholar.google.es/scholar_url?url=https://openreview.net/pdf%3Fid%3DAV1JQKAGkF&amp;hl=en&amp;sa=X&amp;d=9994102144599269380&amp;ei=heWqZuDHKr2Uy9YP74XdwAw&amp;scisig=AFWwaebnxiSyPprKUjWB41HS5JRh&amp;oi=scholaralrt&amp;hist=v0_XxF0AAAAJ:198837818532394236:AFWwaeZmMyKvHQIW44XNBFyAPl1L&amp;html=&amp;pos=0&amp;folt=rel&amp;fols=" TargetMode="External"/><Relationship Id="rId1263" Type="http://schemas.openxmlformats.org/officeDocument/2006/relationships/hyperlink" Target="https://doi.org/10.1038/s41598-025-19215-z" TargetMode="External"/><Relationship Id="rId2594" Type="http://schemas.openxmlformats.org/officeDocument/2006/relationships/hyperlink" Target="https://scholar.google.es/scholar_url?url=https://openreview.net/pdf%3Fid%3DBWpMTkRrEO&amp;hl=en&amp;sa=X&amp;d=13455723693106125339&amp;ei=iQQKac3ZGtrZzwL1oN24Aw&amp;scisig=ABGrvjL_x9vMAelnL0_dNKMXv85o&amp;oi=scholaralrt&amp;hist=v0_XxF0AAAAJ:13742027118377625026:ABGrvjKBHUi6MFH_DtNclerNeAZe&amp;html=&amp;pos=1&amp;folt=cit&amp;fols=" TargetMode="External"/><Relationship Id="rId433" Type="http://schemas.openxmlformats.org/officeDocument/2006/relationships/hyperlink" Target="https://arxiv.org/abs/2401.17151" TargetMode="External"/><Relationship Id="rId1264" Type="http://schemas.openxmlformats.org/officeDocument/2006/relationships/hyperlink" Target="https://doi.org/10.1038/s42005-025-02142-w" TargetMode="External"/><Relationship Id="rId2595" Type="http://schemas.openxmlformats.org/officeDocument/2006/relationships/hyperlink" Target="https://scholar.google.es/scholar_url?url=https://openreview.net/pdf%3Fid%3DcJCROTFMEM&amp;hl=en&amp;sa=X&amp;d=6271454462776569769&amp;ei=UrtkaO6lNIOuieoPqtaP6Ag&amp;scisig=AAZF9b8uHFZj3VA_tPHBO5MqsEb1&amp;oi=scholaralrt&amp;hist=v0_XxF0AAAAJ:13742027118377625026:AAZF9b802AK2JmjOJ6sFwAbOS06D&amp;html=&amp;pos=1&amp;folt=cit&amp;fols=" TargetMode="External"/><Relationship Id="rId432" Type="http://schemas.openxmlformats.org/officeDocument/2006/relationships/hyperlink" Target="https://arxiv.org/abs/2401.17121" TargetMode="External"/><Relationship Id="rId1265" Type="http://schemas.openxmlformats.org/officeDocument/2006/relationships/hyperlink" Target="https://doi.org/10.1038/s43588-024-00751-z" TargetMode="External"/><Relationship Id="rId2596" Type="http://schemas.openxmlformats.org/officeDocument/2006/relationships/hyperlink" Target="https://scholar.google.es/scholar_url?url=https://openreview.net/pdf%3Fid%3DDNopfn4hZf&amp;hl=en&amp;sa=X&amp;d=4755463110115989043&amp;ei=QVoMZ7C5PKG26rQPxZz7oAs&amp;scisig=AFWwaeZ7w8hQrB0WBsNR99w7GAtM&amp;oi=scholaralrt&amp;hist=v0_XxF0AAAAJ:13742027118377625026:AFWwaebUHLr8wRJ2PrQQIxHyeXqg&amp;html=&amp;pos=4&amp;folt=cit&amp;fols=" TargetMode="External"/><Relationship Id="rId431" Type="http://schemas.openxmlformats.org/officeDocument/2006/relationships/hyperlink" Target="https://arxiv.org/abs/2401.17064" TargetMode="External"/><Relationship Id="rId1266" Type="http://schemas.openxmlformats.org/officeDocument/2006/relationships/hyperlink" Target="https://doi.org/10.1038/s44172-025-00555-7" TargetMode="External"/><Relationship Id="rId2597" Type="http://schemas.openxmlformats.org/officeDocument/2006/relationships/hyperlink" Target="https://scholar.google.es/scholar_url?url=https://openreview.net/pdf%3Fid%3DEJZfcKXdiT&amp;hl=en&amp;sa=X&amp;d=801222703979423209&amp;ei=xz45Z7SUJZ236rQP4eisoAY&amp;scisig=AFWwaeZiAhwIK-q4U6mi-CQBPhq8&amp;oi=scholaralrt&amp;hist=v0_XxF0AAAAJ:13742027118377625026:AFWwaebUHLr8wRJ2PrQQIxHyeXqg&amp;html=&amp;pos=1&amp;folt=cit&amp;fols=" TargetMode="External"/><Relationship Id="rId430" Type="http://schemas.openxmlformats.org/officeDocument/2006/relationships/hyperlink" Target="https://arxiv.org/abs/2401.15212" TargetMode="External"/><Relationship Id="rId1267" Type="http://schemas.openxmlformats.org/officeDocument/2006/relationships/hyperlink" Target="https://doi.org/10.1038/s44335-025-00031-7" TargetMode="External"/><Relationship Id="rId2598" Type="http://schemas.openxmlformats.org/officeDocument/2006/relationships/hyperlink" Target="https://scholar.google.es/scholar_url?url=https://openreview.net/pdf%3Fid%3DHs2lECzJi9&amp;hl=en&amp;sa=X&amp;d=407760028309942344&amp;ei=heWqZuDHKr2Uy9YP74XdwAw&amp;scisig=AFWwaeZlrIz_rHpJ3kxohX9iAEwn&amp;oi=scholaralrt&amp;hist=v0_XxF0AAAAJ:198837818532394236:AFWwaeZmMyKvHQIW44XNBFyAPl1L&amp;html=&amp;pos=3&amp;folt=rel&amp;fols=" TargetMode="External"/><Relationship Id="rId3070" Type="http://schemas.openxmlformats.org/officeDocument/2006/relationships/hyperlink" Target="https://www.semanticscholar.org/paper/Low-Complexity-Lossless-Coding-of-Asynchronous-for-Schiopu-Bilcu/74e2098af678b6b7b86e8e0b04fa5000315813ab?utm_source=alert_email&amp;utm_content=AuthorCitation&amp;utm_campaign=AlertEmails_DAILY&amp;utm_term=AuthorCitation&amp;email_index=7-0-7&amp;utm_medium=10169095" TargetMode="External"/><Relationship Id="rId3072" Type="http://schemas.openxmlformats.org/officeDocument/2006/relationships/hyperlink" Target="https://www.semanticscholar.org/paper/Neuromorphic-Driver-Monitoring-Systems%3A-A-for-Yawn-Kielty-Dilmaghani/fa6344c0372db2c8645283ef73b3f08b3978b3b7?utm_source=alert_email&amp;utm_content=AuthorCitation&amp;utm_campaign=AlertEmails_DAILY&amp;utm_term=AuthorCitation&amp;email_index=1-0-1&amp;utm_medium=21676568" TargetMode="External"/><Relationship Id="rId3071" Type="http://schemas.openxmlformats.org/officeDocument/2006/relationships/hyperlink" Target="https://www.semanticscholar.org/paper/Motion-Segmentation-for-Neuromorphic-Aerial-Arja-Marcireau/c7bdff96091286b4f507b67c327859847ba795b5?utm_source=alert_email&amp;utm_content=LibraryFolder&amp;utm_campaign=AlertEmails_DAILY&amp;utm_term=LibraryFolder&amp;email_index=1-0-1&amp;utm_medium=42918184" TargetMode="External"/><Relationship Id="rId3074" Type="http://schemas.openxmlformats.org/officeDocument/2006/relationships/hyperlink" Target="https://www.semanticscholar.org/paper/Neuromorphic-Eye-Tracking-for-Low-Latency-Pupil-Hueber-Peres/5c407030b7bb917c0fe9043bcfd89c878d62d9bc?utm_source=alert_email&amp;utm_content=AuthorCitation&amp;utm_campaign=AlertEmails_DAILY&amp;utm_term=AuthorCitation&amp;email_index=11-2-21&amp;utm_medium=67390912" TargetMode="External"/><Relationship Id="rId3073" Type="http://schemas.openxmlformats.org/officeDocument/2006/relationships/hyperlink" Target="https://www.semanticscholar.org/paper/Neuromorphic-Engineering%3A-In-Memory-of-Misha-Mead/5fe07bd212cb322bb551e4afa236853ddc54cf55?utm_source=alert_email&amp;utm_content=AuthorCitation&amp;utm_campaign=AlertEmails_DAILY&amp;utm_term=LibraryFolder+AuthorCitation&amp;email_index=13-1-16&amp;utm_medium=12267056" TargetMode="External"/><Relationship Id="rId3076" Type="http://schemas.openxmlformats.org/officeDocument/2006/relationships/hyperlink" Target="https://www.semanticscholar.org/paper/Pose-Estimation-for-Event-Camera-Using-Charuco-on-Mai-Komatsu/4dd15d5715c810de2a6d915eddcb4416ac5e6fa4?utm_source=alert_email&amp;utm_content=LibraryFolder&amp;utm_campaign=AlertEmails_DAILY&amp;utm_term=LibraryFolder&amp;email_index=0-0-0&amp;utm_medium=12117371" TargetMode="External"/><Relationship Id="rId3075" Type="http://schemas.openxmlformats.org/officeDocument/2006/relationships/hyperlink" Target="https://www.semanticscholar.org/paper/Neuromorphic-Imaging-with-Joint-Image-Deblurring-Zhang-Liu/702f0082fffe0be43f629bb738857a52e0be3d09?utm_source=alert_email&amp;utm_content=AuthorCitation&amp;utm_campaign=AlertEmails_DAILY&amp;utm_term=LibraryFolder+AuthorCitation&amp;email_index=14-0-26&amp;utm_medium=22423367" TargetMode="External"/><Relationship Id="rId3078" Type="http://schemas.openxmlformats.org/officeDocument/2006/relationships/hyperlink" Target="https://www.semanticscholar.org/paper/SEEN%3A-A-Convolutional-Spiking-Neural-Network-for-Troconis-Vella/d845683ba475503d0edb9bcb955deac6fbd9aaf1?utm_source=alert_email&amp;utm_content=AuthorCitation&amp;utm_campaign=AlertEmails_DAILY&amp;utm_term=AuthorCitation&amp;email_index=4-2-9&amp;utm_medium=57768043" TargetMode="External"/><Relationship Id="rId3077" Type="http://schemas.openxmlformats.org/officeDocument/2006/relationships/hyperlink" Target="https://www.semanticscholar.org/paper/SCTN%3A-Event-based-object-tracking-with-deep-spiking-Ji-Wang/0355f191403be883c4156656d180b602e8291346?utm_source=alert_email&amp;utm_content=AuthorCitation&amp;utm_campaign=AlertEmails_DAILY&amp;utm_term=LibraryFolder+AuthorCitation&amp;email_index=13-0-15&amp;utm_medium=12267056" TargetMode="External"/><Relationship Id="rId3079" Type="http://schemas.openxmlformats.org/officeDocument/2006/relationships/hyperlink" Target="https://www.semanticscholar.org/paper/Semantic-E2VID%3A-a-Semantic-Enriched-Paradigm-for-Wu-Jia/2c7fbf54bc5eb4b278a86884363df04c816815f7?utm_source=alert_email&amp;utm_content=LibraryFolder&amp;utm_campaign=AlertEmails_DAILY&amp;utm_term=LibraryFolder&amp;email_index=0-0-0&amp;utm_medium=68872067" TargetMode="External"/><Relationship Id="rId3061" Type="http://schemas.openxmlformats.org/officeDocument/2006/relationships/hyperlink" Target="https://www.semanticscholar.org/paper/Event-based-Shape-from-Polarization-with-Spiking-Kang-Banerjee/eb3226a3d9c97c5c48d3dcff24577613c38d0c6f?utm_source=alert_email&amp;utm_content=AuthorCitation&amp;utm_campaign=AlertEmails_DAILY&amp;utm_term=AuthorCitation&amp;email_index=7-0-7&amp;utm_medium=26858283" TargetMode="External"/><Relationship Id="rId3060" Type="http://schemas.openxmlformats.org/officeDocument/2006/relationships/hyperlink" Target="https://www.semanticscholar.org/paper/Event-based-dataset-for-the-detection-and-of-tasks-Duarte-Neto/8c43ad6985c50931f5e5edef9f3a5cbf26dd412c?utm_source=alert_email&amp;utm_content=AuthorCitation&amp;utm_campaign=AlertEmails_DAILY&amp;utm_term=AuthorCitation&amp;email_index=2-5-7&amp;utm_medium=31184081" TargetMode="External"/><Relationship Id="rId3063" Type="http://schemas.openxmlformats.org/officeDocument/2006/relationships/hyperlink" Target="https://www.semanticscholar.org/paper/Event-based-Single-Molecule-Localization-Microscopy-Basumatary-Aravinth/914e2f69575ab1e70be7ccd75946e79dd1a30900?utm_source=alert_email&amp;utm_content=AuthorCitation&amp;utm_campaign=AlertEmails_DAILY&amp;utm_term=AuthorCitation&amp;email_index=9-1-12&amp;utm_medium=27226613" TargetMode="External"/><Relationship Id="rId3062" Type="http://schemas.openxmlformats.org/officeDocument/2006/relationships/hyperlink" Target="https://www.semanticscholar.org/paper/Event-based-Simultaneous-Localization-and-Mapping%3A-Huang-Zhang/a6e06a3f2685beb36a587cf88503f337662f0b1f?utm_source=alert_email&amp;utm_content=LibraryFolder&amp;utm_campaign=AlertEmails_DAILY&amp;utm_term=LibraryFolder&amp;email_index=0-0-0&amp;utm_medium=14768009" TargetMode="External"/><Relationship Id="rId3065" Type="http://schemas.openxmlformats.org/officeDocument/2006/relationships/hyperlink" Target="https://www.semanticscholar.org/paper/Flow-Based-Line-Detection-and-Segmentation-for-Khairallah-Bonardi/a4de846410c3ae667c0cf1076ef91f223d0315de?email_index=5-0-7" TargetMode="External"/><Relationship Id="rId3064" Type="http://schemas.openxmlformats.org/officeDocument/2006/relationships/hyperlink" Target="https://www.semanticscholar.org/paper/EventDrop%3A-data-augmentation-for-event-based-Gu-Sng/a6375b317001d4da028bfb19ddaea152548e18f1?utm_source=alert_email&amp;utm_content=AuthorCitation&amp;utm_campaign=AlertEmails_DAILY&amp;utm_term=AuthorCitation&amp;email_index=0-0-0&amp;utm_medium=2233295" TargetMode="External"/><Relationship Id="rId3067" Type="http://schemas.openxmlformats.org/officeDocument/2006/relationships/hyperlink" Target="https://www.semanticscholar.org/paper/Global-shutter-CMOS-vision-sensors-and-event-for-Jaklin-Garc%C3%ADa-Lesta/727267c2b91ea90aba269be2d931ae7b66897511?utm_source=alert_email&amp;utm_content=AuthorCitation&amp;utm_campaign=AlertEmails_DAILY&amp;utm_term=AuthorCitation&amp;email_index=22-10-43&amp;utm_medium=35598018" TargetMode="External"/><Relationship Id="rId3066" Type="http://schemas.openxmlformats.org/officeDocument/2006/relationships/hyperlink" Target="https://www.semanticscholar.org/paper/Frame-based-Feature-Tracking-and-EKF-Framework-for-Liu-Xue/a97da282324bc0962655ba87cb95380f3cdd9fb7?utm_source=alert_email&amp;utm_content=AuthorCitation&amp;utm_campaign=AlertEmails_DAILY&amp;utm_term=AuthorCitation&amp;email_index=5-0-5&amp;utm_medium=10169095" TargetMode="External"/><Relationship Id="rId3069" Type="http://schemas.openxmlformats.org/officeDocument/2006/relationships/hyperlink" Target="https://www.semanticscholar.org/paper/Incorporating-Event-Information-for-High-Quality-Yang-Jiang/71f007800f954d4a24d299fc2d0c5f8707efb63a?utm_source=alert_email&amp;utm_content=AuthorCitation&amp;utm_campaign=AlertEmails_DAILY&amp;utm_term=AuthorCitation&amp;email_index=6-3-12&amp;utm_medium=25146821" TargetMode="External"/><Relationship Id="rId3068" Type="http://schemas.openxmlformats.org/officeDocument/2006/relationships/hyperlink" Target="https://www.semanticscholar.org/paper/Improving-Keypoints-Tracking-With-Machine-Learned-Chiodini-Trevisanuto/f8a9d5a61b04840fb41d5dcef22365a14024ee04?utm_source=alert_email&amp;utm_content=LibraryFolder&amp;utm_campaign=AlertEmails_DAILY&amp;utm_term=LibraryFolder&amp;email_index=0-0-0&amp;utm_medium=37781465" TargetMode="External"/><Relationship Id="rId3090" Type="http://schemas.openxmlformats.org/officeDocument/2006/relationships/hyperlink" Target="https://www.spiedigitallibrary.org/conference-proceedings-of-spie/11970/0000/Rapid-phase-recovery-from-through-focus-intensity-measured-by-event/10.1117/12.2608099.full" TargetMode="External"/><Relationship Id="rId3092" Type="http://schemas.openxmlformats.org/officeDocument/2006/relationships/hyperlink" Target="https://www.spiedigitallibrary.org/conference-proceedings-of-spie/12233/122330B/Automated-characterization-techniques-and-testbeds-for-event-based-cameras/10.1117/12.2634166.full" TargetMode="External"/><Relationship Id="rId3091" Type="http://schemas.openxmlformats.org/officeDocument/2006/relationships/hyperlink" Target="https://www.spiedigitallibrary.org/conference-proceedings-of-spie/12107/1210704/Event-based-SWIR-sensor/10.1117/12.2618290.full" TargetMode="External"/><Relationship Id="rId3094" Type="http://schemas.openxmlformats.org/officeDocument/2006/relationships/hyperlink" Target="https://www.spiedigitallibrary.org/conference-proceedings-of-spie/12514/1251409/Event-based-sensing-for-the-detection-of-modulated-signals-in/10.1117/12.2663385.short" TargetMode="External"/><Relationship Id="rId3093" Type="http://schemas.openxmlformats.org/officeDocument/2006/relationships/hyperlink" Target="https://www.spiedigitallibrary.org/conference-proceedings-of-spie/12272/122720G/Application-of-an-event-sensor-to-situational-awareness/10.1117/12.2638545.full" TargetMode="External"/><Relationship Id="rId3096" Type="http://schemas.openxmlformats.org/officeDocument/2006/relationships/hyperlink" Target="https://www.spiedigitallibrary.org/conference-proceedings-of-spie/12693/126930W/Analysis-of-event-based-sensor-system-performance-with-moving-object/10.1117/12.2675770.short" TargetMode="External"/><Relationship Id="rId3095" Type="http://schemas.openxmlformats.org/officeDocument/2006/relationships/hyperlink" Target="https://www.spiedigitallibrary.org/conference-proceedings-of-spie/12534/1253405/SWIFT-EI-event-based-SWIR-sensor-for-tactical-applications/10.1117/12.2663026.full" TargetMode="External"/><Relationship Id="rId3098" Type="http://schemas.openxmlformats.org/officeDocument/2006/relationships/hyperlink" Target="https://www.spiedigitallibrary.org/conference-proceedings-of-spie/12693/1269311/Off-axis-laser-scatter-detection-with-an-event-camera/10.1117/12.2677203.short" TargetMode="External"/><Relationship Id="rId3097" Type="http://schemas.openxmlformats.org/officeDocument/2006/relationships/hyperlink" Target="https://www.spiedigitallibrary.org/conference-proceedings-of-spie/12693/126930Y/Optical-contrast-amplification-for-enhancing-event-based-vision/10.1117/12.2678160.short?SSO=1" TargetMode="External"/><Relationship Id="rId3099" Type="http://schemas.openxmlformats.org/officeDocument/2006/relationships/hyperlink" Target="https://www.spiedigitallibrary.org/conference-proceedings-of-spie/12693/1269313/Modeling-and-decoding-event-based-sensor-lightning-response/10.1117/12.2674435.short" TargetMode="External"/><Relationship Id="rId3081" Type="http://schemas.openxmlformats.org/officeDocument/2006/relationships/hyperlink" Target="https://www.semanticscholar.org/paper/SpikingSIM%3A-A-Bio-Inspired-Spiking-Simulator-Zhao-Zhang/82c6222f57091f3ea2efa123e5635b503ceeb99a?utm_source=alert_email&amp;utm_content=AuthorCitation&amp;utm_campaign=AlertEmails_DAILY&amp;utm_term=AuthorCitation&amp;email_index=3-0-4&amp;utm_medium=9030533" TargetMode="External"/><Relationship Id="rId3080" Type="http://schemas.openxmlformats.org/officeDocument/2006/relationships/hyperlink" Target="https://www.semanticscholar.org/paper/Semi-Dense-Scene-Reconstruction-Based-on-Stereo-Huang-Shi/167f7b88286084fb59b213f89509afa3bfacb997?utm_source=alert_email&amp;utm_content=AuthorCitation&amp;utm_campaign=AlertEmails_DAILY&amp;utm_term=AuthorCitation&amp;email_index=11-0-17&amp;utm_medium=55220278" TargetMode="External"/><Relationship Id="rId3083" Type="http://schemas.openxmlformats.org/officeDocument/2006/relationships/hyperlink" Target="https://www.semanticscholar.org/paper/Strong-Robust-LIO-System-Based-on-Event-Camera-Guo-Zhang/a0371a3613e9a31991e0ee6ebad11ab3ea1b0e01?utm_source=alert_email&amp;utm_content=AuthorCitation&amp;utm_campaign=AlertEmails_DAILY&amp;utm_term=AuthorCitation&amp;email_index=20-0-28&amp;utm_medium=43089141" TargetMode="External"/><Relationship Id="rId3082" Type="http://schemas.openxmlformats.org/officeDocument/2006/relationships/hyperlink" Target="https://www.semanticscholar.org/paper/Stereo-Visual-Localization-Dataset-Featuring-Event-Hadviger-%C5%A0tironja/27f0f94aba89a370f974a1dcd69a1a2d0e47dc2a?utm_source=alert_email&amp;utm_content=LibraryFolder&amp;utm_campaign=AlertEmails_DAILY&amp;utm_term=LibraryFolder&amp;email_index=0-0-0&amp;utm_medium=22254761" TargetMode="External"/><Relationship Id="rId3085" Type="http://schemas.openxmlformats.org/officeDocument/2006/relationships/hyperlink" Target="https://www.semanticscholar.org/paper/YYNet%3A-A-Deep-Learning-Based-Frame-to-Event-Method-Zhang/14bb344d802a98215e838d5af846525b8385acd1?utm_source=alert_email&amp;utm_content=AuthorCitation&amp;utm_campaign=AlertEmails_DAILY&amp;utm_term=AuthorCitation&amp;email_index=19-1-34&amp;utm_medium=41007725" TargetMode="External"/><Relationship Id="rId3084" Type="http://schemas.openxmlformats.org/officeDocument/2006/relationships/hyperlink" Target="https://www.semanticscholar.org/paper/TactiGraph%3A-An-Asynchronous-Graph-Neural-Network-Sajwani-Ayyad/04fff86fa8fd339ac757f0d97b48d5df32431cf2?utm_source=alert_email&amp;utm_content=AuthorCitation&amp;utm_campaign=AlertEmails_DAILY&amp;utm_term=AuthorCitation&amp;email_index=10-2-19&amp;utm_medium=18895153" TargetMode="External"/><Relationship Id="rId3087" Type="http://schemas.openxmlformats.org/officeDocument/2006/relationships/hyperlink" Target="https://www.slamcore.com/" TargetMode="External"/><Relationship Id="rId3086" Type="http://schemas.openxmlformats.org/officeDocument/2006/relationships/hyperlink" Target="https://www.semanticscholar.org/reader/2985ce749291566aac634740b3fdd79bf69c9f59" TargetMode="External"/><Relationship Id="rId3089" Type="http://schemas.openxmlformats.org/officeDocument/2006/relationships/hyperlink" Target="https://www.sony-semicon.com/en/technology/industry/evs.html" TargetMode="External"/><Relationship Id="rId3088" Type="http://schemas.openxmlformats.org/officeDocument/2006/relationships/hyperlink" Target="https://www.sony-semicon.com/en/products/is/industry/evs.html" TargetMode="External"/><Relationship Id="rId3039" Type="http://schemas.openxmlformats.org/officeDocument/2006/relationships/hyperlink" Target="https://www.scitepress.org/PublishedPapers/2023/116159/" TargetMode="External"/><Relationship Id="rId1" Type="http://schemas.openxmlformats.org/officeDocument/2006/relationships/hyperlink" Target="http://arxiv.org/abs/2203.06145" TargetMode="External"/><Relationship Id="rId2" Type="http://schemas.openxmlformats.org/officeDocument/2006/relationships/hyperlink" Target="http://arxiv.org/abs/2203.12247" TargetMode="External"/><Relationship Id="rId3" Type="http://schemas.openxmlformats.org/officeDocument/2006/relationships/hyperlink" Target="http://arxiv.org/abs/2206.12455" TargetMode="External"/><Relationship Id="rId4" Type="http://schemas.openxmlformats.org/officeDocument/2006/relationships/hyperlink" Target="http://arxiv.org/abs/2207.04007" TargetMode="External"/><Relationship Id="rId3030" Type="http://schemas.openxmlformats.org/officeDocument/2006/relationships/hyperlink" Target="https://www.sciencedirect.com/science/article/pii/S0026269224000958" TargetMode="External"/><Relationship Id="rId9" Type="http://schemas.openxmlformats.org/officeDocument/2006/relationships/hyperlink" Target="http://arxiv.org/abs/2208.02253" TargetMode="External"/><Relationship Id="rId3032" Type="http://schemas.openxmlformats.org/officeDocument/2006/relationships/hyperlink" Target="https://www.sciencedirect.com/science/article/pii/S0263224123004311" TargetMode="External"/><Relationship Id="rId3031" Type="http://schemas.openxmlformats.org/officeDocument/2006/relationships/hyperlink" Target="https://www.sciencedirect.com/science/article/pii/S0143816624000058" TargetMode="External"/><Relationship Id="rId3034" Type="http://schemas.openxmlformats.org/officeDocument/2006/relationships/hyperlink" Target="https://www.sciencedirect.com/science/article/pii/S0893608022002659" TargetMode="External"/><Relationship Id="rId3033" Type="http://schemas.openxmlformats.org/officeDocument/2006/relationships/hyperlink" Target="https://www.sciencedirect.com/science/article/pii/S0278612523000456" TargetMode="External"/><Relationship Id="rId5" Type="http://schemas.openxmlformats.org/officeDocument/2006/relationships/hyperlink" Target="http://arxiv.org/abs/2207.07332" TargetMode="External"/><Relationship Id="rId3036" Type="http://schemas.openxmlformats.org/officeDocument/2006/relationships/hyperlink" Target="https://www.sciengine.com/doi/10.3788/IRLA20220824" TargetMode="External"/><Relationship Id="rId6" Type="http://schemas.openxmlformats.org/officeDocument/2006/relationships/hyperlink" Target="http://arxiv.org/abs/2207.11605" TargetMode="External"/><Relationship Id="rId3035" Type="http://schemas.openxmlformats.org/officeDocument/2006/relationships/hyperlink" Target="https://www.sciencedirect.com/science/article/pii/S0967066123000990" TargetMode="External"/><Relationship Id="rId7" Type="http://schemas.openxmlformats.org/officeDocument/2006/relationships/hyperlink" Target="http://arxiv.org/abs/2207.13345" TargetMode="External"/><Relationship Id="rId3038" Type="http://schemas.openxmlformats.org/officeDocument/2006/relationships/hyperlink" Target="https://www.scitepress.org/PublicationsDetail.aspx?ID=Jv1Szbx9zGs=&amp;t=1" TargetMode="External"/><Relationship Id="rId8" Type="http://schemas.openxmlformats.org/officeDocument/2006/relationships/hyperlink" Target="http://arxiv.org/abs/2208.01710" TargetMode="External"/><Relationship Id="rId3037" Type="http://schemas.openxmlformats.org/officeDocument/2006/relationships/hyperlink" Target="https://www.scitepress.org/Papers/2023/116604/116604.pdf" TargetMode="External"/><Relationship Id="rId3029" Type="http://schemas.openxmlformats.org/officeDocument/2006/relationships/hyperlink" Target="https://www.sciencedirect.com/science/article/pii/S0026269221002949" TargetMode="External"/><Relationship Id="rId3028" Type="http://schemas.openxmlformats.org/officeDocument/2006/relationships/hyperlink" Target="https://www.sciencedirect.com/science/article/pii/S0020025523007557" TargetMode="External"/><Relationship Id="rId3021" Type="http://schemas.openxmlformats.org/officeDocument/2006/relationships/hyperlink" Target="https://www.science.org/doi/10.1126/scirobotics.abl8419" TargetMode="External"/><Relationship Id="rId3020" Type="http://schemas.openxmlformats.org/officeDocument/2006/relationships/hyperlink" Target="https://www.scholar-inbox.com/login?sha_key=bcfdc8edc36b82ab867f4a41efd785f8dcb01eb0&amp;date=12-20-2024&amp;paper_id=3970204" TargetMode="External"/><Relationship Id="rId3023" Type="http://schemas.openxmlformats.org/officeDocument/2006/relationships/hyperlink" Target="https://www.science.org/doi/10.1126/scirobotics.ads3968" TargetMode="External"/><Relationship Id="rId3022" Type="http://schemas.openxmlformats.org/officeDocument/2006/relationships/hyperlink" Target="https://www.science.org/doi/10.1126/scirobotics.adi0591" TargetMode="External"/><Relationship Id="rId3025" Type="http://schemas.openxmlformats.org/officeDocument/2006/relationships/hyperlink" Target="https://www.sciencedirect.com/science/article/abs/pii/S0952197623010229" TargetMode="External"/><Relationship Id="rId3024" Type="http://schemas.openxmlformats.org/officeDocument/2006/relationships/hyperlink" Target="https://www.sciencedirect.com/science/article/abs/pii/S0893608023003660" TargetMode="External"/><Relationship Id="rId3027" Type="http://schemas.openxmlformats.org/officeDocument/2006/relationships/hyperlink" Target="https://www.sciencedirect.com/science/article/abs/pii/S1077314224002704" TargetMode="External"/><Relationship Id="rId3026" Type="http://schemas.openxmlformats.org/officeDocument/2006/relationships/hyperlink" Target="https://www.sciencedirect.com/science/article/abs/pii/S1077314223001972" TargetMode="External"/><Relationship Id="rId3050" Type="http://schemas.openxmlformats.org/officeDocument/2006/relationships/hyperlink" Target="https://www.semanticscholar.org/paper/An-event-driven-asynchronous-feature-tracking-Xu-Jin/1c0c8e5c345f047a9f9b334101a7a9be24460f7c?utm_source=alert_email&amp;utm_content=LibraryFolder&amp;utm_campaign=AlertEmails_DAILY&amp;utm_term=LibraryFolder&amp;email_index=0-1-1&amp;utm_medium=22254761" TargetMode="External"/><Relationship Id="rId3052" Type="http://schemas.openxmlformats.org/officeDocument/2006/relationships/hyperlink" Target="https://www.semanticscholar.org/paper/be040b51c55fe0ad5c311db116863a62e3cdcb76" TargetMode="External"/><Relationship Id="rId3051" Type="http://schemas.openxmlformats.org/officeDocument/2006/relationships/hyperlink" Target="https://www.semanticscholar.org/paper/An-FPGA-Implementation-of-An-Event-Driven-Feature-Jose-Xu/5055aaf39ff72157cb65ee14aed67292d585fc02?utm_source=alert_email&amp;utm_content=AuthorCitation&amp;utm_campaign=AlertEmails_DAILY&amp;utm_term=AuthorCitation&amp;email_index=17-0-31&amp;utm_medium=36894909" TargetMode="External"/><Relationship Id="rId3054" Type="http://schemas.openxmlformats.org/officeDocument/2006/relationships/hyperlink" Target="https://www.semanticscholar.org/paper/Deformable-Convolutions-and-LSTM-based-Flexible-for-Yang-Yamac/c886f61271a5bc4ea13aad247d59c73d4cbf15e9?utm_source=alert_email&amp;utm_content=LibraryFolder&amp;utm_campaign=AlertEmails_DAILY&amp;utm_term=LibraryFolder&amp;email_index=0-0-0&amp;utm_medium=16766972" TargetMode="External"/><Relationship Id="rId3053" Type="http://schemas.openxmlformats.org/officeDocument/2006/relationships/hyperlink" Target="https://www.semanticscholar.org/paper/CSTR%3A-A-Compact-Spatio-Temporal-Representation-for-Shair-Hassani/285030cd03267cf220ea5ce1739879ff68eaee53?utm_source=alert_email&amp;utm_content=AuthorCitation&amp;utm_campaign=AlertEmails_DAILY&amp;utm_term=LibraryFolder+AuthorCitation&amp;email_index=13-0-25&amp;utm_medium=22423367" TargetMode="External"/><Relationship Id="rId3056" Type="http://schemas.openxmlformats.org/officeDocument/2006/relationships/hyperlink" Target="https://www.semanticscholar.org/paper/Edge-Device-CNN-Classification-Using-Eventized-RF-Smith-Temple/6bd3100baa308bf03bef452fae5c64d805433944?utm_source=alert_email&amp;utm_content=AuthorCitation&amp;utm_campaign=AlertEmails_DAILY&amp;utm_term=AuthorCitation&amp;email_index=8-5-18&amp;utm_medium=45627571" TargetMode="External"/><Relationship Id="rId3055" Type="http://schemas.openxmlformats.org/officeDocument/2006/relationships/hyperlink" Target="https://www.semanticscholar.org/paper/Direct-3D-model-based-object-tracking-with-event-by-Kang-Caron/00b7295e901a0c27de2255620bab6e7285f28424?utm_source=alert_email&amp;utm_content=LibraryFolder&amp;utm_campaign=AlertEmails_DAILY&amp;utm_term=LibraryFolder&amp;email_index=0-0-0&amp;utm_medium=30043482" TargetMode="External"/><Relationship Id="rId3058" Type="http://schemas.openxmlformats.org/officeDocument/2006/relationships/hyperlink" Target="https://www.semanticscholar.org/paper/Event-based-Classification-with-Recurrent-Spiking-Boretti-Prono/a4f5adc6e82e0ab1b5233d81304b41a409c3b765?utm_source=alert_email&amp;utm_content=AuthorCitation&amp;utm_campaign=AlertEmails_DAILY&amp;utm_term=AuthorCitation&amp;email_index=10-5-22&amp;utm_medium=18895153" TargetMode="External"/><Relationship Id="rId3057" Type="http://schemas.openxmlformats.org/officeDocument/2006/relationships/hyperlink" Target="https://www.semanticscholar.org/paper/EV-Tach%3A-A-Handheld-Rotational-Speed-Estimation-Zhao-Shen/e6f8af5c47a66feaefab511e4cc3b054f074d3c0?utm_source=alert_email&amp;utm_content=AuthorCitation&amp;utm_campaign=AlertEmails_DAILY&amp;utm_term=AuthorCitation&amp;email_index=9-0-9&amp;utm_medium=26858283" TargetMode="External"/><Relationship Id="rId3059" Type="http://schemas.openxmlformats.org/officeDocument/2006/relationships/hyperlink" Target="https://www.semanticscholar.org/paper/Event-Based-Control-in-Industry-Practice%3A-Paving-of-Aranda%E2%80%90Escol%C3%A1stico-Guinaldo/c7426686732c11183eeada567586d15885638909?utm_source=alert_email&amp;utm_content=AuthorCitation&amp;utm_campaign=AlertEmails_DAILY&amp;utm_term=AuthorCitation&amp;email_index=13-1-21&amp;utm_medium=36894909" TargetMode="External"/><Relationship Id="rId3041" Type="http://schemas.openxmlformats.org/officeDocument/2006/relationships/hyperlink" Target="https://www.semanticscholar.org/paper/A-23.5-TOPS-W-Depthwise-Separable-Convolution-for-Brito-Yamasaki/c399474862882c7115421f608621ae1db32ea60e?utm_source=alert_email&amp;utm_content=AuthorCitation&amp;utm_campaign=AlertEmails_DAILY&amp;utm_term=AuthorCitation&amp;email_index=7-3-15&amp;utm_medium=56810157" TargetMode="External"/><Relationship Id="rId3040" Type="http://schemas.openxmlformats.org/officeDocument/2006/relationships/hyperlink" Target="https://www.scitepress.org/PublishedPapers/2024/123265/" TargetMode="External"/><Relationship Id="rId3043" Type="http://schemas.openxmlformats.org/officeDocument/2006/relationships/hyperlink" Target="https://www.semanticscholar.org/paper/A-Lightweight-Real-time-Multi-sensor-Fusion-State-Lan-Zhu/7b31545e47f4731d0c753adc80903453dc6c2047?utm_source=alert_email&amp;utm_content=AuthorCitation&amp;utm_campaign=AlertEmails_DAILY&amp;utm_term=AuthorCitation&amp;email_index=13-0-25&amp;utm_medium=50833944" TargetMode="External"/><Relationship Id="rId3042" Type="http://schemas.openxmlformats.org/officeDocument/2006/relationships/hyperlink" Target="https://www.semanticscholar.org/paper/A-Heterogeneous-RRAM-In-Memory-and-SRAM-Near-Memory-Lele-Chang/3f2fd657007d70d7650b08974788447f4d66816e?utm_source=alert_email&amp;utm_content=AuthorCitation&amp;utm_campaign=AlertEmails_DAILY&amp;utm_term=AuthorCitation&amp;email_index=8-0-8&amp;utm_medium=26858283" TargetMode="External"/><Relationship Id="rId3045" Type="http://schemas.openxmlformats.org/officeDocument/2006/relationships/hyperlink" Target="https://www.semanticscholar.org/paper/A-Review-of-Event-Based-Indoor-Positioning-and-Shi-Song/0d08fd4cdb189643cb03a5e958e735f72dacd676?email_index=0-0-0" TargetMode="External"/><Relationship Id="rId3044" Type="http://schemas.openxmlformats.org/officeDocument/2006/relationships/hyperlink" Target="https://www.semanticscholar.org/paper/A-Memory-Efficient-High-Speed-Event-based-Object-Lu-Cui/b9283c10562be0d4320dea0d04f2f3dadace13a0?utm_source=alert_email&amp;utm_content=AuthorCitation&amp;utm_campaign=AlertEmails_DAILY&amp;utm_term=AuthorCitation&amp;email_index=13-2-22&amp;utm_medium=36894909" TargetMode="External"/><Relationship Id="rId3047" Type="http://schemas.openxmlformats.org/officeDocument/2006/relationships/hyperlink" Target="https://www.semanticscholar.org/paper/Aerial-Transportation-of-Cable-Suspended-Loads-With-Panetsos-Karras/be2248fd57e681203d6fcc726fb5503a2f4c1260?utm_source=alert_email&amp;utm_content=AuthorCitation&amp;utm_campaign=AlertEmails_DAILY&amp;utm_term=AuthorCitation&amp;email_index=6-0-9&amp;utm_medium=25146821" TargetMode="External"/><Relationship Id="rId3046" Type="http://schemas.openxmlformats.org/officeDocument/2006/relationships/hyperlink" Target="https://www.semanticscholar.org/paper/A-Simple-Low-Cost-Approach-to-Detect-Hand-Gesture-Akbarzadeh-Vahedian/5c466112d5e5d3295d818d4b6b60c27cd02965de?email_index=3-0-4" TargetMode="External"/><Relationship Id="rId3049" Type="http://schemas.openxmlformats.org/officeDocument/2006/relationships/hyperlink" Target="https://www.semanticscholar.org/paper/An-Energy-Efficient-Object-Detection-System-in-IoT-Li-Lu/86101806ac54cf5af0394eb3f63f4b2bcaf9f124?utm_source=alert_email&amp;utm_content=AuthorCitation&amp;utm_campaign=AlertEmails_DAILY&amp;utm_term=AuthorCitation&amp;email_index=13-3-23&amp;utm_medium=36894909" TargetMode="External"/><Relationship Id="rId3048" Type="http://schemas.openxmlformats.org/officeDocument/2006/relationships/hyperlink" Target="https://www.semanticscholar.org/paper/An-Asynchronous-Intensity-Representation-for-Framed-Freeman-Singh/1ea762ab5dc36f809891ce1d59f58e6a4e899775?utm_source=alert_email&amp;utm_content=LibraryFolder&amp;utm_campaign=AlertEmails_DAILY&amp;utm_term=LibraryFolder&amp;email_index=0-0-0&amp;utm_medium=11175079" TargetMode="External"/><Relationship Id="rId2600" Type="http://schemas.openxmlformats.org/officeDocument/2006/relationships/hyperlink" Target="https://scholar.google.es/scholar_url?url=https://openreview.net/pdf%3Fid%3DQp0d7CfKq8&amp;hl=en&amp;sa=X&amp;d=7408317532788023318&amp;ei=RFioZrjzBZiCy9YP6MORyQk&amp;scisig=AFWwaeaaJf_DT4bAuDxqcr-iYqpF&amp;oi=scholaralrt&amp;hist=v0_XxF0AAAAJ:13742027118377625026:AFWwaebUHLr8wRJ2PrQQIxHyeXqg&amp;html=&amp;pos=5&amp;folt=cit&amp;fols=" TargetMode="External"/><Relationship Id="rId2601" Type="http://schemas.openxmlformats.org/officeDocument/2006/relationships/hyperlink" Target="https://scholar.google.es/scholar_url?url=https://openreview.net/pdf%3Fid%3DvCtyqomphj&amp;hl=en&amp;sa=X&amp;d=16809701747073471804&amp;ei=qjdbaM-xM9SWieoPzP3EKA&amp;scisig=AAZF9b9Pr_uFFsgSmPPggt2ZGLSa&amp;oi=scholaralrt&amp;hist=v0_XxF0AAAAJ:13742027118377625026:AAZF9b802AK2JmjOJ6sFwAbOS06D&amp;html=&amp;pos=2&amp;folt=cit&amp;fols=" TargetMode="External"/><Relationship Id="rId2602" Type="http://schemas.openxmlformats.org/officeDocument/2006/relationships/hyperlink" Target="https://scholar.google.es/scholar_url?url=https://openreview.net/pdf%3Fid%3DYxuuzyplFZ&amp;hl=en&amp;sa=X&amp;d=585981152820006746&amp;ei=78E7Z4rQFKKXy9YPy9PvsQU&amp;scisig=AFWwaeZhaoN7D-sMKlnmqh7c_TVw&amp;oi=scholaralrt&amp;hist=v0_XxF0AAAAJ:13742027118377625026:AFWwaebUHLr8wRJ2PrQQIxHyeXqg&amp;html=&amp;pos=1&amp;folt=cit&amp;fols=" TargetMode="External"/><Relationship Id="rId2603" Type="http://schemas.openxmlformats.org/officeDocument/2006/relationships/hyperlink" Target="https://scholar.google.es/scholar_url?url=https://openreview.net/pdf%3Fid%3Dzctvc3QQr2&amp;hl=en&amp;sa=X&amp;d=3702128430468885111&amp;ei=heWqZuDHKr2Uy9YP74XdwAw&amp;scisig=AFWwaeay6r3cCfDtPY_sXfBzsdaa&amp;oi=scholaralrt&amp;hist=v0_XxF0AAAAJ:198837818532394236:AFWwaeZmMyKvHQIW44XNBFyAPl1L&amp;html=&amp;pos=2&amp;folt=rel&amp;fols=" TargetMode="External"/><Relationship Id="rId2604" Type="http://schemas.openxmlformats.org/officeDocument/2006/relationships/hyperlink" Target="https://scholar.google.es/scholar_url?url=https://opg.optica.org/abstract.cfm%3Furi%3Dol-48-5-1304&amp;hl=en&amp;sa=X&amp;d=17350773817789626571&amp;ei=pxYDZMGZJ4WL6rQPsvqk4AE&amp;scisig=AAGBfm38UbigZa-dnp8jbpb60VlgOjXENw&amp;oi=scholaralrt&amp;hist=v0_XxF0AAAAJ:198837818532394236:AAGBfm3qe8R6xgugRn4Ir9dLExqv-Y_cuA&amp;html=&amp;pos=0&amp;folt=rel&amp;fols=" TargetMode="External"/><Relationship Id="rId2605" Type="http://schemas.openxmlformats.org/officeDocument/2006/relationships/hyperlink" Target="https://scholar.google.es/scholar_url?url=https://opg.optica.org/abstract.cfm%3Furi%3Dol-49-12-3376&amp;hl=en&amp;sa=X&amp;d=1371432551203869905&amp;ei=HNxkZtjRJ_KJ6rQPq6GJ4QY&amp;scisig=AFWwaeaFjD-VFB809hPz3jUMipd6&amp;oi=scholaralrt&amp;hist=v0_XxF0AAAAJ:13742027118377625026:AFWwaebUHLr8wRJ2PrQQIxHyeXqg&amp;html=&amp;pos=1&amp;folt=cit&amp;fols=" TargetMode="External"/><Relationship Id="rId2606" Type="http://schemas.openxmlformats.org/officeDocument/2006/relationships/hyperlink" Target="https://scholar.google.es/scholar_url?url=https://opg.optica.org/oe/fulltext.cfm%3Furi%3Doe-31-8-13328&amp;hl=en&amp;sa=X&amp;d=7600452505558308138&amp;ei=1k01ZNLdGoKJy9YPlKyU8Ac&amp;scisig=AJ9-iYut6DK1_nT0Pf-p1EXabsA1&amp;oi=scholaralrt&amp;hist=v0_XxF0AAAAJ:13742027118377625026:AJ9-iYul-8LSola92fEXQwk5J1jm&amp;html=&amp;pos=2&amp;folt=cit&amp;fols=" TargetMode="External"/><Relationship Id="rId808" Type="http://schemas.openxmlformats.org/officeDocument/2006/relationships/hyperlink" Target="https://arxiv.org/abs/2509.07525" TargetMode="External"/><Relationship Id="rId2607" Type="http://schemas.openxmlformats.org/officeDocument/2006/relationships/hyperlink" Target="https://scholar.google.es/scholar_url?url=https://opg.optica.org/viewmedia.cfm%3Furi%3Dao-63-35-8936%26seq%3D0%26html%3Dtrue&amp;hl=en&amp;sa=X&amp;d=16691449170918000431&amp;ei=aBpTZ7yJBYWJy9YPl--DuQU&amp;scisig=AFWwaeZtOS-yvKvjwS3WB5iXFwWr&amp;oi=scholaralrt&amp;hist=v0_XxF0AAAAJ:13742027118377625026:AFWwaebUHLr8wRJ2PrQQIxHyeXqg&amp;html=&amp;pos=6&amp;folt=cit&amp;fols=" TargetMode="External"/><Relationship Id="rId807" Type="http://schemas.openxmlformats.org/officeDocument/2006/relationships/hyperlink" Target="https://arxiv.org/abs/2509.06767" TargetMode="External"/><Relationship Id="rId2608" Type="http://schemas.openxmlformats.org/officeDocument/2006/relationships/hyperlink" Target="https://scholar.google.es/scholar_url?url=https://opus.uleth.ca/bitstreams/ec0619d1-2c59-4e9d-bb16-07c22cc962c1/download&amp;hl=en&amp;sa=X&amp;d=3563231083860399869&amp;ei=xUwHZIDNIoLYmgG3koOAAQ&amp;scisig=AAGBfm07O-k_fGMoEC8nNfneN_8Xb-BfDA&amp;oi=scholaralrt&amp;hist=v0_XxF0AAAAJ:13742027118377625026:AAGBfm3UjufN_devjhEx0oELtR65UjD64A&amp;html=&amp;pos=4&amp;folt=cit&amp;fols=" TargetMode="External"/><Relationship Id="rId806" Type="http://schemas.openxmlformats.org/officeDocument/2006/relationships/hyperlink" Target="https://arxiv.org/abs/2509.06741" TargetMode="External"/><Relationship Id="rId2609" Type="http://schemas.openxmlformats.org/officeDocument/2006/relationships/hyperlink" Target="https://scholar.google.es/scholar_url?url=https://papers.bmvc2023.org/0660.pdf&amp;hl=en&amp;sa=X&amp;d=7893140292852995961&amp;ei=pEtmZc6fLbKey9YP2K6pmAU&amp;scisig=AFWwaebuH3ojvROsdWLEVIJy51SD&amp;oi=scholaralrt&amp;hist=v0_XxF0AAAAJ:13742027118377625026:AFWwaebUHLr8wRJ2PrQQIxHyeXqg&amp;html=&amp;pos=2&amp;folt=cit&amp;fols=" TargetMode="External"/><Relationship Id="rId805" Type="http://schemas.openxmlformats.org/officeDocument/2006/relationships/hyperlink" Target="https://arxiv.org/abs/2509.04117" TargetMode="External"/><Relationship Id="rId809" Type="http://schemas.openxmlformats.org/officeDocument/2006/relationships/hyperlink" Target="https://arxiv.org/abs/2509.08260" TargetMode="External"/><Relationship Id="rId800" Type="http://schemas.openxmlformats.org/officeDocument/2006/relationships/hyperlink" Target="https://arxiv.org/abs/2508.18071" TargetMode="External"/><Relationship Id="rId804" Type="http://schemas.openxmlformats.org/officeDocument/2006/relationships/hyperlink" Target="https://arxiv.org/abs/2509.03872" TargetMode="External"/><Relationship Id="rId803" Type="http://schemas.openxmlformats.org/officeDocument/2006/relationships/hyperlink" Target="https://arxiv.org/abs/2509.03808" TargetMode="External"/><Relationship Id="rId802" Type="http://schemas.openxmlformats.org/officeDocument/2006/relationships/hyperlink" Target="https://arxiv.org/abs/2508.20594" TargetMode="External"/><Relationship Id="rId801" Type="http://schemas.openxmlformats.org/officeDocument/2006/relationships/hyperlink" Target="https://arxiv.org/abs/2508.19094" TargetMode="External"/><Relationship Id="rId1334" Type="http://schemas.openxmlformats.org/officeDocument/2006/relationships/hyperlink" Target="https://doi.org/10.1109/EBCCSP56922.2022.9845500" TargetMode="External"/><Relationship Id="rId2665" Type="http://schemas.openxmlformats.org/officeDocument/2006/relationships/hyperlink" Target="https://scholar.google.es/scholar_url?url=https://www.nature.com/articles/s44172-025-00492-5&amp;hl=en&amp;sa=X&amp;d=15804149868455610695&amp;ei=zZ2iaKyKB4rO6rQPiamN-Ag&amp;scisig=AAZF9b8yzLMKISmvozd5V8WfFull&amp;oi=scholaralrt&amp;hist=v0_XxF0AAAAJ:13742027118377625026:AAZF9b802AK2JmjOJ6sFwAbOS06D&amp;html=&amp;pos=3&amp;folt=cit&amp;fols=" TargetMode="External"/><Relationship Id="rId1335" Type="http://schemas.openxmlformats.org/officeDocument/2006/relationships/hyperlink" Target="https://doi.org/10.1109/EBCCSP56922.2022.9845526" TargetMode="External"/><Relationship Id="rId2666" Type="http://schemas.openxmlformats.org/officeDocument/2006/relationships/hyperlink" Target="https://scholar.google.es/scholar_url?url=https://www.research-collection.ethz.ch/bitstream/handle/20.500.11850/588085/1/adimauro_dissertation.pdf&amp;hl=en&amp;sa=X&amp;d=18037255878055921675&amp;ei=L6ymYxXOk8sEjYeZqA4&amp;scisig=AAGBfm0gDbmCBN_smCm_rT-TPYUp6N1yFQ&amp;oi=scholaralrt&amp;hist=v0_XxF0AAAAJ:13742027118377625026:AAGBfm3UjufN_devjhEx0oELtR65UjD64A&amp;html=&amp;pos=4&amp;folt=cit&amp;fols=" TargetMode="External"/><Relationship Id="rId1336" Type="http://schemas.openxmlformats.org/officeDocument/2006/relationships/hyperlink" Target="https://doi.org/10.1109/EBCCSP56922.2022.9845595" TargetMode="External"/><Relationship Id="rId2667" Type="http://schemas.openxmlformats.org/officeDocument/2006/relationships/hyperlink" Target="https://scholar.google.es/scholar_url?url=https://www.research-collection.ethz.ch/bitstream/handle/20.500.11850/716439/2/2404.19165v2.pdf&amp;hl=en&amp;sa=X&amp;d=4035159656592847990&amp;ei=y1GyZ-_sO6q0ieoPv5agmAs&amp;scisig=AFWwaeYt2ftecblsZeZJDMJwBhkA&amp;oi=scholaralrt&amp;hist=v0_XxF0AAAAJ:13742027118377625026:AFWwaebUHLr8wRJ2PrQQIxHyeXqg&amp;html=&amp;pos=1&amp;folt=cit&amp;fols=" TargetMode="External"/><Relationship Id="rId1337" Type="http://schemas.openxmlformats.org/officeDocument/2006/relationships/hyperlink" Target="https://doi.org/10.1109/EBCCSP56922.2022.9845622" TargetMode="External"/><Relationship Id="rId2668" Type="http://schemas.openxmlformats.org/officeDocument/2006/relationships/hyperlink" Target="https://scholar.google.es/scholar_url?url=https://www.researchgate.net/profile/Ahmed-Tabia/publication/394129822_6-DOF_Pose_Estimation_For_Event_Cameras_Using_A_Transformer-Based_Approach/links/688b23282209617bb738aaf0/6-DOF-Pose-Estimation-For-Event-Cameras-Using-A-Transformer-Based-Approach.pdf&amp;hl=en&amp;sa=X&amp;d=10515094781926678255&amp;ei=v1mRaJjDGKWMieoP-avC4Q4&amp;scisig=AAZF9b_4T3wqsxOKT4Szd9VR3L-D&amp;oi=scholaralrt&amp;hist=v0_XxF0AAAAJ:198837818532394236:AAZF9b-3jVPI_G2C1ZFisyDADLOa&amp;html=&amp;pos=0&amp;folt=rel&amp;fols=" TargetMode="External"/><Relationship Id="rId1338" Type="http://schemas.openxmlformats.org/officeDocument/2006/relationships/hyperlink" Target="https://doi.org/10.1109/EBCCSP56922.2022.9845661" TargetMode="External"/><Relationship Id="rId2669" Type="http://schemas.openxmlformats.org/officeDocument/2006/relationships/hyperlink" Target="https://scholar.google.es/scholar_url?url=https://www.researchgate.net/profile/Christoph-Steinhausen/publication/396203936_On_the_feasibility_of_visualizing_transient_droplet_dynamic_process_with_event_based_imaging/links/68e1b0499383755fd7094282/On-the-feasibility-of-visualizing-transient-droplet-dynamic-process-with-event-based-imaging.pdf&amp;hl=en&amp;sa=X&amp;d=9199327542472971766&amp;ei=EYroaNSUEcasieoPkJyXiQ8&amp;scisig=AAZF9b-eIf2ld4rk0WGuCF2KW4RC&amp;oi=scholaralrt&amp;hist=v0_XxF0AAAAJ:13742027118377625026:AAZF9b802AK2JmjOJ6sFwAbOS06D&amp;html=&amp;pos=0&amp;folt=cit&amp;fols=" TargetMode="External"/><Relationship Id="rId1339" Type="http://schemas.openxmlformats.org/officeDocument/2006/relationships/hyperlink" Target="https://doi.org/10.1109/EBCCSP56922.2022.9845664" TargetMode="External"/><Relationship Id="rId745" Type="http://schemas.openxmlformats.org/officeDocument/2006/relationships/hyperlink" Target="https://arxiv.org/abs/2505.12026" TargetMode="External"/><Relationship Id="rId744" Type="http://schemas.openxmlformats.org/officeDocument/2006/relationships/hyperlink" Target="https://arxiv.org/abs/2505.11433" TargetMode="External"/><Relationship Id="rId743" Type="http://schemas.openxmlformats.org/officeDocument/2006/relationships/hyperlink" Target="https://arxiv.org/abs/2505.11282" TargetMode="External"/><Relationship Id="rId742" Type="http://schemas.openxmlformats.org/officeDocument/2006/relationships/hyperlink" Target="https://arxiv.org/abs/2505.11116" TargetMode="External"/><Relationship Id="rId749" Type="http://schemas.openxmlformats.org/officeDocument/2006/relationships/hyperlink" Target="https://arxiv.org/abs/2505.19938" TargetMode="External"/><Relationship Id="rId748" Type="http://schemas.openxmlformats.org/officeDocument/2006/relationships/hyperlink" Target="https://arxiv.org/abs/2505.18899" TargetMode="External"/><Relationship Id="rId747" Type="http://schemas.openxmlformats.org/officeDocument/2006/relationships/hyperlink" Target="https://arxiv.org/abs/2505.15412v1" TargetMode="External"/><Relationship Id="rId746" Type="http://schemas.openxmlformats.org/officeDocument/2006/relationships/hyperlink" Target="https://arxiv.org/abs/2505.12588" TargetMode="External"/><Relationship Id="rId2660" Type="http://schemas.openxmlformats.org/officeDocument/2006/relationships/hyperlink" Target="https://scholar.google.es/scholar_url?url=https://www.jstage.jst.go.jp/article/elex/advpub/0/advpub_20.20230379/_pdf&amp;hl=en&amp;sa=X&amp;d=10662199758063747414&amp;ei=1rolZZTMOJH7mQG8oKWgBQ&amp;scisig=AFWwaeb9tBN_OaAM2bMVwlbUMNrJ&amp;oi=scholaralrt&amp;hist=v0_XxF0AAAAJ:198837818532394236:AFWwaeZmMyKvHQIW44XNBFyAPl1L&amp;html=&amp;pos=3&amp;folt=rel&amp;fols=" TargetMode="External"/><Relationship Id="rId741" Type="http://schemas.openxmlformats.org/officeDocument/2006/relationships/hyperlink" Target="https://arxiv.org/abs/2505.08438" TargetMode="External"/><Relationship Id="rId1330" Type="http://schemas.openxmlformats.org/officeDocument/2006/relationships/hyperlink" Target="https://doi.org/10.1109/DASC62030.2024.10749524" TargetMode="External"/><Relationship Id="rId2661" Type="http://schemas.openxmlformats.org/officeDocument/2006/relationships/hyperlink" Target="https://scholar.google.es/scholar_url?url=https://www.mdpi.com/1424-8220/23/4/1839&amp;hl=en&amp;sa=X&amp;d=16291727347119434769&amp;ei=_vEJZN2TAouGmQHZ-onQCA&amp;scisig=AAGBfm1Iu_A-FQis2UdmFj9iT9_KVjjDSA&amp;oi=scholaralrt&amp;hist=v0_XxF0AAAAJ:198837818532394236:AAGBfm3qe8R6xgugRn4Ir9dLExqv-Y_cuA&amp;html=&amp;pos=0&amp;folt=rel&amp;fols=" TargetMode="External"/><Relationship Id="rId740" Type="http://schemas.openxmlformats.org/officeDocument/2006/relationships/hyperlink" Target="https://arxiv.org/abs/2505.08126" TargetMode="External"/><Relationship Id="rId1331" Type="http://schemas.openxmlformats.org/officeDocument/2006/relationships/hyperlink" Target="https://doi.org/10.1109/DCC.2018.00020" TargetMode="External"/><Relationship Id="rId2662" Type="http://schemas.openxmlformats.org/officeDocument/2006/relationships/hyperlink" Target="https://scholar.google.es/scholar_url?url=https://www.mrforum.com/wp-content/uploads/open_access/9781644902813/150.pdf&amp;hl=en&amp;sa=X&amp;d=1064201626462497606&amp;ei=731tZtO0EKaty9YPr4eR2A8&amp;scisig=AFWwaebhMLrd6XE50wVQBvl8-rPc&amp;oi=scholaralrt&amp;hist=v0_XxF0AAAAJ:13742027118377625026:AFWwaebUHLr8wRJ2PrQQIxHyeXqg&amp;html=&amp;pos=1&amp;folt=cit&amp;fols=" TargetMode="External"/><Relationship Id="rId1332" Type="http://schemas.openxmlformats.org/officeDocument/2006/relationships/hyperlink" Target="https://doi.org/10.1109/DCIS67520.2025.11281900" TargetMode="External"/><Relationship Id="rId2663" Type="http://schemas.openxmlformats.org/officeDocument/2006/relationships/hyperlink" Target="https://scholar.google.es/scholar_url?url=https://www.nature.com/articles/s41928-023-01055-2&amp;hl=en&amp;sa=X&amp;d=48668740626800953&amp;ei=LG9WZYa7NrOk6rQP4Yqw6A8&amp;scisig=AFWwaebN89UXl5F3EylRCInPfPAz&amp;oi=scholaralrt&amp;hist=v0_XxF0AAAAJ:13742027118377625026:AFWwaebUHLr8wRJ2PrQQIxHyeXqg&amp;html=&amp;pos=0&amp;folt=cit&amp;fols=" TargetMode="External"/><Relationship Id="rId1333" Type="http://schemas.openxmlformats.org/officeDocument/2006/relationships/hyperlink" Target="https://doi.org/10.1109/DICTA56598.2022.10034617" TargetMode="External"/><Relationship Id="rId2664" Type="http://schemas.openxmlformats.org/officeDocument/2006/relationships/hyperlink" Target="https://scholar.google.es/scholar_url?url=https://www.nature.com/articles/s43588-025-00868-9&amp;hl=en&amp;sa=X&amp;d=18057201001025024624&amp;ei=DA7PaNnhFJ3XieoPyouG-QE&amp;scisig=AAZF9b9JomsC5dLfz_wQs4AWWPhf&amp;oi=scholaralrt&amp;hist=v0_XxF0AAAAJ:198837818532394236:AAZF9b-3jVPI_G2C1ZFisyDADLOa&amp;html=&amp;pos=1&amp;folt=rel&amp;fols=" TargetMode="External"/><Relationship Id="rId1323" Type="http://schemas.openxmlformats.org/officeDocument/2006/relationships/hyperlink" Target="https://doi.org/10.1109/CVPR.2017.781" TargetMode="External"/><Relationship Id="rId2654" Type="http://schemas.openxmlformats.org/officeDocument/2006/relationships/hyperlink" Target="https://scholar.google.es/scholar_url?url=https://www.frontiersin.org/articles/10.3389/fmars.2024.1366815/pdf&amp;hl=en&amp;sa=X&amp;d=11975067226679837825&amp;ei=HNxkZtjRJ_KJ6rQPq6GJ4QY&amp;scisig=AFWwaeYqZ2yQ6XlKk6qZgQdFyH2r&amp;oi=scholaralrt&amp;hist=v0_XxF0AAAAJ:13742027118377625026:AFWwaebUHLr8wRJ2PrQQIxHyeXqg&amp;html=&amp;pos=0&amp;folt=cit&amp;fols=" TargetMode="External"/><Relationship Id="rId1324" Type="http://schemas.openxmlformats.org/officeDocument/2006/relationships/hyperlink" Target="https://doi.org/10.1109/CVPRW.2014.69" TargetMode="External"/><Relationship Id="rId2655" Type="http://schemas.openxmlformats.org/officeDocument/2006/relationships/hyperlink" Target="https://scholar.google.es/scholar_url?url=https://www.hs-niederrhein.de/fileadmin/dateien/Institute_und_Kompetenzzentren/iPattern/selfarchived/gebler-ipra2024.pdf&amp;hl=en&amp;sa=X&amp;d=6576612921837120698&amp;ei=5HocZg-jisvWD-GQmvAK&amp;scisig=AFWwaeZ54_6og-5P9t4XMbF7UNGn&amp;oi=scholaralrt&amp;hist=v0_XxF0AAAAJ:13742027118377625026:AFWwaebUHLr8wRJ2PrQQIxHyeXqg&amp;html=&amp;pos=3&amp;folt=cit&amp;fols=" TargetMode="External"/><Relationship Id="rId1325" Type="http://schemas.openxmlformats.org/officeDocument/2006/relationships/hyperlink" Target="https://doi.org/10.1109/CVPRW.2014.97" TargetMode="External"/><Relationship Id="rId2656" Type="http://schemas.openxmlformats.org/officeDocument/2006/relationships/hyperlink" Target="https://scholar.google.es/scholar_url?url=https://www.hs-niederrhein.de/fileadmin/dateien/Institute_und_Kompetenzzentren/iPattern/selfarchived/visapp23_dvs_insect_monitoring.pdf&amp;hl=en&amp;sa=X&amp;d=2908672155164215672&amp;ei=yHAVZLrCNISNygSCsrCYDg&amp;scisig=AAGBfm0rWm8-NlRTrEamsBag5KPob7Zk3g&amp;oi=scholaralrt&amp;hist=v0_XxF0AAAAJ:13742027118377625026:AAGBfm3UjufN_devjhEx0oELtR65UjD64A&amp;html=&amp;pos=2&amp;folt=cit&amp;fols=" TargetMode="External"/><Relationship Id="rId1326" Type="http://schemas.openxmlformats.org/officeDocument/2006/relationships/hyperlink" Target="https://doi.org/10.1109/CVPRW63382.2024.00224" TargetMode="External"/><Relationship Id="rId2657" Type="http://schemas.openxmlformats.org/officeDocument/2006/relationships/hyperlink" Target="https://scholar.google.es/scholar_url?url=https://www.hs-niederrhein.de/fileadmin/dateien/Institute_und_Kompetenzzentren/iPattern/selfarchived/visapp23_dvs_nmupets_dataset.pdf&amp;hl=en&amp;sa=X&amp;d=3398999724542260512&amp;ei=yHAVZLrCNISNygSCsrCYDg&amp;scisig=AAGBfm2blM-Hw9mGYIbyQYNQKUqioJ_28w&amp;oi=scholaralrt&amp;hist=v0_XxF0AAAAJ:13742027118377625026:AAGBfm3UjufN_devjhEx0oELtR65UjD64A&amp;html=&amp;pos=7&amp;folt=cit&amp;fols=" TargetMode="External"/><Relationship Id="rId1327" Type="http://schemas.openxmlformats.org/officeDocument/2006/relationships/hyperlink" Target="https://doi.org/10.1109/CyberC58899.2023.00023" TargetMode="External"/><Relationship Id="rId2658" Type="http://schemas.openxmlformats.org/officeDocument/2006/relationships/hyperlink" Target="https://scholar.google.es/scholar_url?url=https://www.hs-niederrhein.de/fileadmin/dateien/Institute_und_Kompetenzzentren/iPattern/selfarchived/visapp23_dvs_semseg_pnet_unet.pdf&amp;hl=en&amp;sa=X&amp;d=1774722770627073681&amp;ei=yHAVZJP5L9eAmAHD9YaQBw&amp;scisig=AAGBfm2GgBdlrMn5pVUeu2KkjarWsbdBTA&amp;oi=scholaralrt&amp;hist=v0_XxF0AAAAJ:198837818532394236:AAGBfm3qe8R6xgugRn4Ir9dLExqv-Y_cuA&amp;html=&amp;pos=0&amp;folt=rel&amp;fols=" TargetMode="External"/><Relationship Id="rId1328" Type="http://schemas.openxmlformats.org/officeDocument/2006/relationships/hyperlink" Target="https://doi.org/10.1109/DAC63849.2025.11132508" TargetMode="External"/><Relationship Id="rId2659" Type="http://schemas.openxmlformats.org/officeDocument/2006/relationships/hyperlink" Target="https://scholar.google.es/scholar_url?url=https://www.ieice.org/publications/conference-FIT-DVDs/FIT2023/data/html/program/pdf/CH-007.pdf&amp;hl=en&amp;sa=X&amp;d=9856530527175684848&amp;ei=ZKlfZuS7HdWSy9YPhoC8wQk&amp;scisig=AFWwaeYLAT3xwivSj8fnTR9wolve&amp;oi=scholaralrt&amp;hist=v0_XxF0AAAAJ:13742027118377625026:AFWwaebUHLr8wRJ2PrQQIxHyeXqg&amp;html=&amp;pos=0&amp;folt=cit&amp;fols=" TargetMode="External"/><Relationship Id="rId1329" Type="http://schemas.openxmlformats.org/officeDocument/2006/relationships/hyperlink" Target="https://doi.org/10.1109/DAC63849.2025.11133248" TargetMode="External"/><Relationship Id="rId739" Type="http://schemas.openxmlformats.org/officeDocument/2006/relationships/hyperlink" Target="https://arxiv.org/abs/2505.07715" TargetMode="External"/><Relationship Id="rId734" Type="http://schemas.openxmlformats.org/officeDocument/2006/relationships/hyperlink" Target="https://arxiv.org/abs/2505.05391" TargetMode="External"/><Relationship Id="rId733" Type="http://schemas.openxmlformats.org/officeDocument/2006/relationships/hyperlink" Target="https://arxiv.org/abs/2505.05307" TargetMode="External"/><Relationship Id="rId732" Type="http://schemas.openxmlformats.org/officeDocument/2006/relationships/hyperlink" Target="https://arxiv.org/abs/2505.05089" TargetMode="External"/><Relationship Id="rId731" Type="http://schemas.openxmlformats.org/officeDocument/2006/relationships/hyperlink" Target="https://arxiv.org/abs/2505.04657" TargetMode="External"/><Relationship Id="rId738" Type="http://schemas.openxmlformats.org/officeDocument/2006/relationships/hyperlink" Target="https://arxiv.org/abs/2505.07661" TargetMode="External"/><Relationship Id="rId737" Type="http://schemas.openxmlformats.org/officeDocument/2006/relationships/hyperlink" Target="https://arxiv.org/abs/2505.07556" TargetMode="External"/><Relationship Id="rId736" Type="http://schemas.openxmlformats.org/officeDocument/2006/relationships/hyperlink" Target="https://arxiv.org/abs/2505.06602" TargetMode="External"/><Relationship Id="rId735" Type="http://schemas.openxmlformats.org/officeDocument/2006/relationships/hyperlink" Target="https://arxiv.org/abs/2505.05488" TargetMode="External"/><Relationship Id="rId730" Type="http://schemas.openxmlformats.org/officeDocument/2006/relationships/hyperlink" Target="https://arxiv.org/abs/2505.03116" TargetMode="External"/><Relationship Id="rId2650" Type="http://schemas.openxmlformats.org/officeDocument/2006/relationships/hyperlink" Target="https://scholar.google.es/scholar_url?url=https://www.diva-portal.org/smash/get/diva2:1985751/FULLTEXT01.pdf&amp;hl=en&amp;sa=X&amp;d=12251373517861382371&amp;ei=9jeXaJvwBebTieoP6vy7uAY&amp;scisig=AAZF9b_jgWchZF3wzu8L8G1ZpO_2&amp;oi=scholaralrt&amp;hist=v0_XxF0AAAAJ:13742027118377625026:AAZF9b802AK2JmjOJ6sFwAbOS06D&amp;html=&amp;pos=4&amp;folt=cit&amp;fols=" TargetMode="External"/><Relationship Id="rId1320" Type="http://schemas.openxmlformats.org/officeDocument/2006/relationships/hyperlink" Target="https://doi.org/10.1109/CVIDL65390.2025.11085943" TargetMode="External"/><Relationship Id="rId2651" Type="http://schemas.openxmlformats.org/officeDocument/2006/relationships/hyperlink" Target="https://scholar.google.es/scholar_url?url=https://www.diva-portal.org/smash/get/diva2:1985753/FULLTEXT01.pdf&amp;hl=en&amp;sa=X&amp;d=13156737989777581188&amp;ei=k8qYaOKSFs2EywSKufygBg&amp;scisig=AAZF9b9VG_fwxQhp_wmiC2_WxvyK&amp;oi=scholaralrt&amp;hist=v0_XxF0AAAAJ:13742027118377625026:AAZF9b802AK2JmjOJ6sFwAbOS06D&amp;html=&amp;pos=5&amp;folt=cit&amp;fols=" TargetMode="External"/><Relationship Id="rId1321" Type="http://schemas.openxmlformats.org/officeDocument/2006/relationships/hyperlink" Target="https://doi.org/10.1109/CVPR.2015.7298644" TargetMode="External"/><Relationship Id="rId2652" Type="http://schemas.openxmlformats.org/officeDocument/2006/relationships/hyperlink" Target="https://scholar.google.es/scholar_url?url=https://www.diva-portal.org/smash/get/diva2:1986465/FULLTEXT01.pdf&amp;hl=en&amp;sa=X&amp;d=10434653146140667619&amp;ei=ltagaMbDH-bTieoPktvT0Ag&amp;scisig=AAZF9b8ZvORC-FsQ4BRcae-wH3Dw&amp;oi=scholaralrt&amp;hist=v0_XxF0AAAAJ:13742027118377625026:AAZF9b802AK2JmjOJ6sFwAbOS06D&amp;html=&amp;pos=2&amp;folt=cit&amp;fols=" TargetMode="External"/><Relationship Id="rId1322" Type="http://schemas.openxmlformats.org/officeDocument/2006/relationships/hyperlink" Target="https://doi.org/10.1109/CVPR.2017.616" TargetMode="External"/><Relationship Id="rId2653" Type="http://schemas.openxmlformats.org/officeDocument/2006/relationships/hyperlink" Target="https://scholar.google.es/scholar_url?url=https://www.diva-portal.org/smash/get/diva2:2002886/FULLTEXT01.pdf&amp;hl=en&amp;sa=X&amp;d=10285961127604211766&amp;ei=ZxzkaMTWDMSz6rQPyKGw-Ag&amp;scisig=AAZF9b-aeildNnf8REATON8HpnTp&amp;oi=scholaralrt&amp;hist=v0_XxF0AAAAJ:13742027118377625026:AAZF9b802AK2JmjOJ6sFwAbOS06D&amp;html=&amp;pos=2&amp;folt=cit&amp;fols=" TargetMode="External"/><Relationship Id="rId1356" Type="http://schemas.openxmlformats.org/officeDocument/2006/relationships/hyperlink" Target="https://doi.org/10.1109/ICCPHOT.2017.7951488" TargetMode="External"/><Relationship Id="rId2687" Type="http://schemas.openxmlformats.org/officeDocument/2006/relationships/hyperlink" Target="https://scholar.google.es/scholar_url?url=https://www.sciencedirect.com/science/article/pii/S1359431123020331&amp;hl=en&amp;sa=X&amp;d=8838031078892997835&amp;ei=pEtmZc6fLbKey9YP2K6pmAU&amp;scisig=AFWwaeaKn-wS2WEy6PjzGM4Pj2ft&amp;oi=scholaralrt&amp;hist=v0_XxF0AAAAJ:13742027118377625026:AFWwaebUHLr8wRJ2PrQQIxHyeXqg&amp;html=&amp;pos=0&amp;folt=cit&amp;fols=" TargetMode="External"/><Relationship Id="rId1357" Type="http://schemas.openxmlformats.org/officeDocument/2006/relationships/hyperlink" Target="https://doi.org/10.1109/ICCV.2015.63" TargetMode="External"/><Relationship Id="rId2688" Type="http://schemas.openxmlformats.org/officeDocument/2006/relationships/hyperlink" Target="https://scholar.google.es/scholar_url?url=https://www.spiedigitallibrary.org/conference-proceedings-of-spie/12857/1285703/Computational-neuromorphic-imaging-principles-and-applications/10.1117/12.3012192.short&amp;hl=en&amp;sa=X&amp;d=12530156097514388643&amp;ei=ebX2ZaGJKpu36rQP4LmawAs&amp;scisig=AFWwaeZT_-cq_uKbC-dvLipe-wwI&amp;oi=scholaralrt&amp;hist=v0_XxF0AAAAJ:198837818532394236:AFWwaeZmMyKvHQIW44XNBFyAPl1L&amp;html=&amp;pos=1&amp;folt=rel&amp;fols=" TargetMode="External"/><Relationship Id="rId1358" Type="http://schemas.openxmlformats.org/officeDocument/2006/relationships/hyperlink" Target="https://doi.org/10.1109/ICECS58634.2023.10382873" TargetMode="External"/><Relationship Id="rId2689" Type="http://schemas.openxmlformats.org/officeDocument/2006/relationships/hyperlink" Target="https://scholar.google.es/scholar_url?url=https://www.spiedigitallibrary.org/conference-proceedings-of-spie/13157/1315707/Research-of-event-cameras-in-space-object-detection/10.1117/12.3013400.short&amp;hl=en&amp;sa=X&amp;d=9351826393875698792&amp;ei=81w1ZuHlEde16rQPysa4mAc&amp;scisig=AFWwaeYE5ZUcy9febSIoeWm6kpwn&amp;oi=scholaralrt&amp;hist=v0_XxF0AAAAJ:13742027118377625026:AFWwaebUHLr8wRJ2PrQQIxHyeXqg&amp;html=&amp;pos=4&amp;folt=cit&amp;fols=" TargetMode="External"/><Relationship Id="rId1359" Type="http://schemas.openxmlformats.org/officeDocument/2006/relationships/hyperlink" Target="https://doi.org/10.1109/ICECS61496.2024.10848983" TargetMode="External"/><Relationship Id="rId767" Type="http://schemas.openxmlformats.org/officeDocument/2006/relationships/hyperlink" Target="https://arxiv.org/abs/2506.23078" TargetMode="External"/><Relationship Id="rId766" Type="http://schemas.openxmlformats.org/officeDocument/2006/relationships/hyperlink" Target="https://arxiv.org/abs/2506.20222" TargetMode="External"/><Relationship Id="rId765" Type="http://schemas.openxmlformats.org/officeDocument/2006/relationships/hyperlink" Target="https://arxiv.org/abs/2506.14272" TargetMode="External"/><Relationship Id="rId764" Type="http://schemas.openxmlformats.org/officeDocument/2006/relationships/hyperlink" Target="https://arxiv.org/abs/2506.13722" TargetMode="External"/><Relationship Id="rId769" Type="http://schemas.openxmlformats.org/officeDocument/2006/relationships/hyperlink" Target="https://arxiv.org/abs/2506.23575" TargetMode="External"/><Relationship Id="rId768" Type="http://schemas.openxmlformats.org/officeDocument/2006/relationships/hyperlink" Target="https://arxiv.org/abs/2506.23157" TargetMode="External"/><Relationship Id="rId2680" Type="http://schemas.openxmlformats.org/officeDocument/2006/relationships/hyperlink" Target="https://scholar.google.es/scholar_url?url=https://www.sciencedirect.com/science/article/pii/S0167739X23002704&amp;hl=en&amp;sa=X&amp;d=8935915395260763099&amp;ei=x9LIZKqPBpaAy9YPoJCYsAk&amp;scisig=AFWwaeYoP-boxMaVEQtdVf8GvZ79&amp;oi=scholaralrt&amp;hist=v0_XxF0AAAAJ:13742027118377625026:AFWwaebUHLr8wRJ2PrQQIxHyeXqg&amp;html=&amp;pos=2&amp;folt=cit&amp;fols=" TargetMode="External"/><Relationship Id="rId1350" Type="http://schemas.openxmlformats.org/officeDocument/2006/relationships/hyperlink" Target="https://doi.org/10.1109/ICASSP49660.2025.10889468" TargetMode="External"/><Relationship Id="rId2681" Type="http://schemas.openxmlformats.org/officeDocument/2006/relationships/hyperlink" Target="https://scholar.google.es/scholar_url?url=https://www.sciencedirect.com/science/article/pii/S0263224124007851&amp;hl=en&amp;sa=X&amp;d=11283480124750109006&amp;ei=WvBIZqrtOYrSy9YP5JWFwA4&amp;scisig=AFWwaeYquuFpDCrquhZ8nbgQv1cq&amp;oi=scholaralrt&amp;hist=v0_XxF0AAAAJ:13742027118377625026:AFWwaebUHLr8wRJ2PrQQIxHyeXqg&amp;html=&amp;pos=0&amp;folt=cit&amp;fols=" TargetMode="External"/><Relationship Id="rId1351" Type="http://schemas.openxmlformats.org/officeDocument/2006/relationships/hyperlink" Target="https://doi.org/10.1109/ICASSP49660.2025.10889628" TargetMode="External"/><Relationship Id="rId2682" Type="http://schemas.openxmlformats.org/officeDocument/2006/relationships/hyperlink" Target="https://scholar.google.es/scholar_url?url=https://www.sciencedirect.com/science/article/pii/S0278612523000456&amp;hl=en&amp;sa=X&amp;d=17419884361778618138&amp;ei=79gLZJzxMo7gygSPuIegDA&amp;scisig=AAGBfm0exB6uu65_vjmWsbyHWcQlddYdxA&amp;oi=scholaralrt&amp;hist=v0_XxF0AAAAJ:13742027118377625026:AAGBfm3UjufN_devjhEx0oELtR65UjD64A&amp;html=&amp;pos=0&amp;folt=cit&amp;fols=" TargetMode="External"/><Relationship Id="rId763" Type="http://schemas.openxmlformats.org/officeDocument/2006/relationships/hyperlink" Target="https://arxiv.org/abs/2506.13440" TargetMode="External"/><Relationship Id="rId1352" Type="http://schemas.openxmlformats.org/officeDocument/2006/relationships/hyperlink" Target="https://doi.org/10.1109/ICCCWorkshops67136.2025.11148099" TargetMode="External"/><Relationship Id="rId2683" Type="http://schemas.openxmlformats.org/officeDocument/2006/relationships/hyperlink" Target="https://scholar.google.es/scholar_url?url=https://www.sciencedirect.com/science/article/pii/S0893608023007530&amp;hl=en&amp;sa=X&amp;d=12686185005041690062&amp;ei=V9yPZaCvIqGJ6rQP9_y8yAg&amp;scisig=AFWwaebPcmDsbtIvd8Rw86gWH_gV&amp;oi=scholaralrt&amp;hist=v0_XxF0AAAAJ:13742027118377625026:AFWwaebUHLr8wRJ2PrQQIxHyeXqg&amp;html=&amp;pos=5&amp;folt=cit&amp;fols=" TargetMode="External"/><Relationship Id="rId762" Type="http://schemas.openxmlformats.org/officeDocument/2006/relationships/hyperlink" Target="https://arxiv.org/abs/2506.10790" TargetMode="External"/><Relationship Id="rId1353" Type="http://schemas.openxmlformats.org/officeDocument/2006/relationships/hyperlink" Target="https://doi.org/10.1109/ICCE59016.2024.10444301" TargetMode="External"/><Relationship Id="rId2684" Type="http://schemas.openxmlformats.org/officeDocument/2006/relationships/hyperlink" Target="https://scholar.google.es/scholar_url?url=https://www.sciencedirect.com/science/article/pii/S0957417424012089&amp;hl=en&amp;sa=X&amp;d=8273750840095914612&amp;ei=kDFiZufTN_KJ6rQPoaWhkAQ&amp;scisig=AFWwaebVE76VVyVZUNG5rCdfDMZr&amp;oi=scholaralrt&amp;hist=v0_XxF0AAAAJ:13742027118377625026:AFWwaebUHLr8wRJ2PrQQIxHyeXqg&amp;html=&amp;pos=0&amp;folt=cit&amp;fols=" TargetMode="External"/><Relationship Id="rId761" Type="http://schemas.openxmlformats.org/officeDocument/2006/relationships/hyperlink" Target="https://arxiv.org/abs/2506.09098" TargetMode="External"/><Relationship Id="rId1354" Type="http://schemas.openxmlformats.org/officeDocument/2006/relationships/hyperlink" Target="https://doi.org/10.1109/ICCKE60553.2023.10326267" TargetMode="External"/><Relationship Id="rId2685" Type="http://schemas.openxmlformats.org/officeDocument/2006/relationships/hyperlink" Target="https://scholar.google.es/scholar_url?url=https://www.sciencedirect.com/science/article/pii/S0957417425016598&amp;hl=en&amp;sa=X&amp;d=4663014609085906943&amp;ei=b58maKiIFtik6rQPxsnhiAs&amp;scisig=AAZF9b_VYubB-CUaQmzFMANqH2-O&amp;oi=scholaralrt&amp;hist=v0_XxF0AAAAJ:13742027118377625026:AAZF9b802AK2JmjOJ6sFwAbOS06D&amp;html=&amp;pos=1&amp;folt=cit&amp;fols=" TargetMode="External"/><Relationship Id="rId760" Type="http://schemas.openxmlformats.org/officeDocument/2006/relationships/hyperlink" Target="https://arxiv.org/abs/2506.08327" TargetMode="External"/><Relationship Id="rId1355" Type="http://schemas.openxmlformats.org/officeDocument/2006/relationships/hyperlink" Target="https://doi.org/10.1109/ICCPHOT.2015.7168370" TargetMode="External"/><Relationship Id="rId2686" Type="http://schemas.openxmlformats.org/officeDocument/2006/relationships/hyperlink" Target="https://scholar.google.es/scholar_url?url=https://www.sciencedirect.com/science/article/pii/S1047320323001372&amp;hl=en&amp;sa=X&amp;d=10295293869174339236&amp;ei=NW6iZNWaIaOP6rQP8paw6Ao&amp;scisig=ABFrs3xStrTqVOSNj8mfD0gTKKq4&amp;oi=scholaralrt&amp;hist=v0_XxF0AAAAJ:198837818532394236:ABFrs3xMKCIfhEZJbbWSRf0pgf1p&amp;html=&amp;pos=0&amp;folt=rel&amp;fols=" TargetMode="External"/><Relationship Id="rId1345" Type="http://schemas.openxmlformats.org/officeDocument/2006/relationships/hyperlink" Target="https://doi.org/10.1109/ICASSP49357.2023.10094677" TargetMode="External"/><Relationship Id="rId2676" Type="http://schemas.openxmlformats.org/officeDocument/2006/relationships/hyperlink" Target="https://scholar.google.es/scholar_url?url=https://www.sciencedirect.com/science/article/pii/S0020025524005735&amp;hl=en&amp;sa=X&amp;d=4747994446486485925&amp;ei=HPhgZpvqL5WDy9YP5v6zwAI&amp;scisig=AFWwaeamkP6mz4of17odHSl40OjV&amp;oi=scholaralrt&amp;hist=v0_XxF0AAAAJ:198837818532394236:AFWwaeZmMyKvHQIW44XNBFyAPl1L&amp;html=&amp;pos=0&amp;folt=rel&amp;fols=" TargetMode="External"/><Relationship Id="rId1346" Type="http://schemas.openxmlformats.org/officeDocument/2006/relationships/hyperlink" Target="https://doi.org/10.1109/ICASSP49660.2025.10888388" TargetMode="External"/><Relationship Id="rId2677" Type="http://schemas.openxmlformats.org/officeDocument/2006/relationships/hyperlink" Target="https://scholar.google.es/scholar_url?url=https://www.sciencedirect.com/science/article/pii/S0030399224006418&amp;hl=en&amp;sa=X&amp;d=11979152641442520253&amp;ei=9R5NZsHPEPevy9YP9K2ckAU&amp;scisig=AFWwaebzBYrxH4DLwQ12mq8cRGgg&amp;oi=scholaralrt&amp;hist=v0_XxF0AAAAJ:13742027118377625026:AFWwaebUHLr8wRJ2PrQQIxHyeXqg&amp;html=&amp;pos=0&amp;folt=cit&amp;fols=" TargetMode="External"/><Relationship Id="rId1347" Type="http://schemas.openxmlformats.org/officeDocument/2006/relationships/hyperlink" Target="https://doi.org/10.1109/ICASSP49660.2025.10888665" TargetMode="External"/><Relationship Id="rId2678" Type="http://schemas.openxmlformats.org/officeDocument/2006/relationships/hyperlink" Target="https://scholar.google.es/scholar_url?url=https://www.sciencedirect.com/science/article/pii/S0031320323007021&amp;hl=en&amp;sa=X&amp;d=6395044274868535130&amp;ei=Rj0cZdnnApH4yASkjaj4DQ&amp;scisig=AFWwaeZt6HWR-J479LVKLPLfN5C5&amp;oi=scholaralrt&amp;hist=v0_XxF0AAAAJ:13742027118377625026:AFWwaebUHLr8wRJ2PrQQIxHyeXqg&amp;html=&amp;pos=8&amp;folt=cit&amp;fols=" TargetMode="External"/><Relationship Id="rId1348" Type="http://schemas.openxmlformats.org/officeDocument/2006/relationships/hyperlink" Target="https://doi.org/10.1109/ICASSP49660.2025.10888760" TargetMode="External"/><Relationship Id="rId2679" Type="http://schemas.openxmlformats.org/officeDocument/2006/relationships/hyperlink" Target="https://scholar.google.es/scholar_url?url=https://www.sciencedirect.com/science/article/pii/S0143816624007450&amp;hl=en&amp;sa=X&amp;d=12486168416543950144&amp;ei=Wx5lZ5H5Kr6_y9YP1YLqoQw&amp;scisig=AFWwaebgCliCnjsb7VbkwwVrwZzg&amp;oi=scholaralrt&amp;hist=v0_XxF0AAAAJ:13742027118377625026:AFWwaebUHLr8wRJ2PrQQIxHyeXqg&amp;html=&amp;pos=2&amp;folt=cit&amp;fols=" TargetMode="External"/><Relationship Id="rId1349" Type="http://schemas.openxmlformats.org/officeDocument/2006/relationships/hyperlink" Target="https://doi.org/10.1109/ICASSP49660.2025.10889195" TargetMode="External"/><Relationship Id="rId756" Type="http://schemas.openxmlformats.org/officeDocument/2006/relationships/hyperlink" Target="https://arxiv.org/abs/2506.06918" TargetMode="External"/><Relationship Id="rId755" Type="http://schemas.openxmlformats.org/officeDocument/2006/relationships/hyperlink" Target="https://arxiv.org/abs/2506.06120" TargetMode="External"/><Relationship Id="rId754" Type="http://schemas.openxmlformats.org/officeDocument/2006/relationships/hyperlink" Target="https://arxiv.org/abs/2506.06016" TargetMode="External"/><Relationship Id="rId753" Type="http://schemas.openxmlformats.org/officeDocument/2006/relationships/hyperlink" Target="https://arxiv.org/abs/2506.05163v1/" TargetMode="External"/><Relationship Id="rId759" Type="http://schemas.openxmlformats.org/officeDocument/2006/relationships/hyperlink" Target="https://arxiv.org/abs/2506.07878" TargetMode="External"/><Relationship Id="rId758" Type="http://schemas.openxmlformats.org/officeDocument/2006/relationships/hyperlink" Target="https://arxiv.org/abs/2506.07860" TargetMode="External"/><Relationship Id="rId757" Type="http://schemas.openxmlformats.org/officeDocument/2006/relationships/hyperlink" Target="https://arxiv.org/abs/2506.07627" TargetMode="External"/><Relationship Id="rId2670" Type="http://schemas.openxmlformats.org/officeDocument/2006/relationships/hyperlink" Target="https://scholar.google.es/scholar_url?url=https://www.researchgate.net/profile/Naiara-Escudero/publication/374501540_Enabling_UAVs_night-time_navigation_through_Mutual_Information-based_matching_of_event-generated_images/links/65200ab2b0df2f20a2163159/Enabling-UAVs-night-time-navigation-through-Mutual-Information-based-matching-of-event-generated-images.pdf&amp;hl=en&amp;sa=X&amp;d=18218893942511182457&amp;ei=SwwoZcP6BN6h6rQPj7eBuAo&amp;scisig=AFWwaeb9iK_ngjsPsau_Sn9_VxjI&amp;oi=scholaralrt&amp;hist=v0_XxF0AAAAJ:13742027118377625026:AFWwaebUHLr8wRJ2PrQQIxHyeXqg&amp;html=&amp;pos=2&amp;folt=cit&amp;fols=" TargetMode="External"/><Relationship Id="rId1340" Type="http://schemas.openxmlformats.org/officeDocument/2006/relationships/hyperlink" Target="https://doi.org/10.1109/FG.2018.00055" TargetMode="External"/><Relationship Id="rId2671" Type="http://schemas.openxmlformats.org/officeDocument/2006/relationships/hyperlink" Target="https://scholar.google.es/scholar_url?url=https://www.researchgate.net/profile/Sebastiano-Chiodini/publication/375178786_Trajectory_reconstruction_by_means_of_an_event-camera-based_visual_odometry_method_and_machine_learned_features/links/6549efdab1398a779d6bce43/Trajectory-reconstruction-by-means-of-an-event-camera-based-visual-odometry-method-and-machine-learned-features.pdf&amp;hl=en&amp;sa=X&amp;d=13055891203409931856&amp;ei=J-ZPZfaKFJC-y9YPtNO5wAc&amp;scisig=AFWwaeaHEL-U0DPyCcV6tPuQO8wg&amp;oi=scholaralrt&amp;hist=v0_XxF0AAAAJ:198837818532394236:AFWwaeZmMyKvHQIW44XNBFyAPl1L&amp;html=&amp;pos=0&amp;folt=rel&amp;fols=" TargetMode="External"/><Relationship Id="rId752" Type="http://schemas.openxmlformats.org/officeDocument/2006/relationships/hyperlink" Target="https://arxiv.org/abs/2506.04048" TargetMode="External"/><Relationship Id="rId1341" Type="http://schemas.openxmlformats.org/officeDocument/2006/relationships/hyperlink" Target="https://doi.org/10.1109/I2MTC62753.2025.11078951" TargetMode="External"/><Relationship Id="rId2672" Type="http://schemas.openxmlformats.org/officeDocument/2006/relationships/hyperlink" Target="https://scholar.google.es/scholar_url?url=https://www.researchgate.net/profile/Tobias-Fleck/publication/373480371_Low-Power_Traffic_Surveillance_using_Multiple_RGB_and_Event_Cameras_A_Survey/links/64edeed845865f47bbbeaef3/Low-Power-Traffic-Surveillance-using-Multiple-RGB-and-Event-Cameras-A-Survey.pdf&amp;hl=en&amp;sa=X&amp;d=5281467063906251217&amp;ei=i_j2ZObEKreAy9YPzI686As&amp;scisig=AFWwaebpXX1OH2JOd5FVhZtGiMW6&amp;oi=scholaralrt&amp;hist=v0_XxF0AAAAJ:198837818532394236:AFWwaeZmMyKvHQIW44XNBFyAPl1L&amp;html=&amp;pos=0&amp;folt=rel&amp;fols=" TargetMode="External"/><Relationship Id="rId751" Type="http://schemas.openxmlformats.org/officeDocument/2006/relationships/hyperlink" Target="https://arxiv.org/abs/2506.00578" TargetMode="External"/><Relationship Id="rId1342" Type="http://schemas.openxmlformats.org/officeDocument/2006/relationships/hyperlink" Target="https://doi.org/10.1109/IAEAC59436.2024.10503865" TargetMode="External"/><Relationship Id="rId2673" Type="http://schemas.openxmlformats.org/officeDocument/2006/relationships/hyperlink" Target="https://scholar.google.es/scholar_url?url=https://www.researchgate.net/profile/Victoria-Clerico/publication/383236482_Retina-inspired_Object_Motion_Segmentation_for_Event-Cameras/links/67b3328e207c0c20fa8c58eb/Retina-inspired-Object-Motion-Segmentation-for-Event-Cameras.pdf&amp;hl=en&amp;sa=X&amp;d=1538398774638913808&amp;ei=LWPSZ7rZNuehieoPw9e4wQE&amp;scisig=AFWwaeZHTOaF1r3TowGfirnnqA8L&amp;oi=scholaralrt&amp;hist=v0_XxF0AAAAJ:13742027118377625026:AFWwaebUHLr8wRJ2PrQQIxHyeXqg&amp;html=&amp;pos=3&amp;folt=cit&amp;fols=" TargetMode="External"/><Relationship Id="rId750" Type="http://schemas.openxmlformats.org/officeDocument/2006/relationships/hyperlink" Target="https://arxiv.org/abs/2505.21187" TargetMode="External"/><Relationship Id="rId1343" Type="http://schemas.openxmlformats.org/officeDocument/2006/relationships/hyperlink" Target="https://doi.org/10.1109/ICARSC65809.2025.10970178" TargetMode="External"/><Relationship Id="rId2674" Type="http://schemas.openxmlformats.org/officeDocument/2006/relationships/hyperlink" Target="https://scholar.google.es/scholar_url?url=https://www.researchsquare.com/article/rs-4415554/latest.pdf&amp;hl=en&amp;sa=X&amp;d=6172819173377134788&amp;ei=p9xYZoyPAfevy9YP_ICLgA4&amp;scisig=AFWwaebDup8iQydX0HG6q5m-aUCY&amp;oi=scholaralrt&amp;hist=v0_XxF0AAAAJ:13742027118377625026:AFWwaebUHLr8wRJ2PrQQIxHyeXqg&amp;html=&amp;pos=1&amp;folt=cit&amp;fols=" TargetMode="External"/><Relationship Id="rId1344" Type="http://schemas.openxmlformats.org/officeDocument/2006/relationships/hyperlink" Target="https://doi.org/10.1109/ICASSP48485.2024.10447951" TargetMode="External"/><Relationship Id="rId2675" Type="http://schemas.openxmlformats.org/officeDocument/2006/relationships/hyperlink" Target="https://scholar.google.es/scholar_url?url=https://www.science.org/doi/pdf/10.1126/scirobotics.adg3679&amp;hl=en&amp;sa=X&amp;d=17030431491192722397&amp;ei=3mYYZb_HN9OQ6rQP-8yf2Ak&amp;scisig=AFWwaebLOmt_a9mNrAQhYt9dbPpZ&amp;oi=scholaralrt&amp;hist=v0_XxF0AAAAJ:13742027118377625026:AFWwaebUHLr8wRJ2PrQQIxHyeXqg&amp;html=&amp;pos=0&amp;folt=cit&amp;fols=" TargetMode="External"/><Relationship Id="rId2621" Type="http://schemas.openxmlformats.org/officeDocument/2006/relationships/hyperlink" Target="https://scholar.google.es/scholar_url?url=https://roboticimaging.org/Papers/munasinghe2024towards.pdf&amp;hl=en&amp;sa=X&amp;d=16909100827535553075&amp;ei=LVVWZoieFbaA6rQP-K6ksAQ&amp;scisig=AFWwaeYqnfTD29UqWdZGko-HFogF&amp;oi=scholaralrt&amp;hist=v0_XxF0AAAAJ:13742027118377625026:AFWwaebUHLr8wRJ2PrQQIxHyeXqg&amp;html=&amp;pos=1&amp;folt=cit&amp;fols=" TargetMode="External"/><Relationship Id="rId2622" Type="http://schemas.openxmlformats.org/officeDocument/2006/relationships/hyperlink" Target="https://scholar.google.es/scholar_url?url=https://scholarspace.manoa.hawaii.edu/bitstreams/035813d8-a40d-44dd-a86d-be72c6ccc8d5/download&amp;hl=en&amp;sa=X&amp;d=7374605873387123712&amp;ei=VPpxZ8DCJ4qay9YP7vuXyQg&amp;scisig=AFWwaeal6G51XPI_gQ_mwclwdJj2&amp;oi=scholaralrt&amp;hist=v0_XxF0AAAAJ:13742027118377625026:AFWwaebUHLr8wRJ2PrQQIxHyeXqg&amp;html=&amp;pos=1&amp;folt=cit&amp;fols=" TargetMode="External"/><Relationship Id="rId2623" Type="http://schemas.openxmlformats.org/officeDocument/2006/relationships/hyperlink" Target="https://scholar.google.es/scholar_url?url=https://scholarspace.manoa.hawaii.edu/bitstreams/1396a358-fdae-4b71-a42a-d5727009d591/download&amp;hl=en&amp;sa=X&amp;d=17253831856092747174&amp;ei=VPpxZ6r5Jfuh6rQPosHk8Ag&amp;scisig=AFWwaeYqIEPLuXTrgQjV7BAsK-7h&amp;oi=scholaralrt&amp;hist=v0_XxF0AAAAJ:198837818532394236:AFWwaeZmMyKvHQIW44XNBFyAPl1L&amp;html=&amp;pos=1&amp;folt=rel&amp;fols=" TargetMode="External"/><Relationship Id="rId2624" Type="http://schemas.openxmlformats.org/officeDocument/2006/relationships/hyperlink" Target="https://scholar.google.es/scholar_url?url=https://search.proquest.com/openview/36da65c3945a59cbe36f443ebc288570/1%3Fpq-origsite%3Dgscholar%26cbl%3D18750%26diss%3Dy&amp;hl=en&amp;sa=X&amp;d=15679757250237065085&amp;ei=n-0JZb3aA432yASH8YjICw&amp;scisig=AFWwaeYGjyT9iS8ON8LArkvLpX9O&amp;oi=scholaralrt&amp;hist=v0_XxF0AAAAJ:13742027118377625026:AFWwaebUHLr8wRJ2PrQQIxHyeXqg&amp;html=&amp;pos=1&amp;folt=cit&amp;fols=" TargetMode="External"/><Relationship Id="rId2625" Type="http://schemas.openxmlformats.org/officeDocument/2006/relationships/hyperlink" Target="https://scholar.google.es/scholar_url?url=https://search.proquest.com/openview/9a9cff0847516d81fc1ff87be2002d7f/1%3Fpq-origsite%3Dgscholar%26cbl%3D18750%26diss%3Dy&amp;hl=en&amp;sa=X&amp;d=10611965600464538467&amp;ei=K_RoZ7qWD57Iy9YP1bSDiQY&amp;scisig=AFWwaeY9RibmMAPaKDevK-ikqSA0&amp;oi=scholaralrt&amp;hist=v0_XxF0AAAAJ:13742027118377625026:AFWwaebUHLr8wRJ2PrQQIxHyeXqg&amp;html=&amp;pos=2&amp;folt=cit&amp;fols=" TargetMode="External"/><Relationship Id="rId2626" Type="http://schemas.openxmlformats.org/officeDocument/2006/relationships/hyperlink" Target="https://scholar.google.es/scholar_url?url=https://search.proquest.com/openview/acb3c1300508e69aff1548db2b3bc0d6/1%3Fpq-origsite%3Dgscholar%26cbl%3D18750%26diss%3Dy&amp;hl=en&amp;sa=X&amp;d=15280253908275366653&amp;ei=1DhoaL6MIs2l6rQPh4i_0AE&amp;scisig=AAZF9b_e_cvOiKkYYZQP-Toog3Ld&amp;oi=scholaralrt&amp;hist=v0_XxF0AAAAJ:13742027118377625026:AAZF9b802AK2JmjOJ6sFwAbOS06D&amp;html=&amp;pos=1&amp;folt=cit&amp;fols=" TargetMode="External"/><Relationship Id="rId2627" Type="http://schemas.openxmlformats.org/officeDocument/2006/relationships/hyperlink" Target="https://scholar.google.es/scholar_url?url=https://search.proquest.com/openview/b2a0175d2a22000f71c3569a5e6f1ed5/1%3Fpq-origsite%3Dgscholar%26cbl%3D18750%26diss%3Dy&amp;hl=en&amp;sa=X&amp;d=687836345068351585&amp;ei=RFioZrjzBZiCy9YP6MORyQk&amp;scisig=AFWwaeb46AodhvMtrdx6zRc2CrnW&amp;oi=scholaralrt&amp;hist=v0_XxF0AAAAJ:13742027118377625026:AFWwaebUHLr8wRJ2PrQQIxHyeXqg&amp;html=&amp;pos=8&amp;folt=cit&amp;fols=" TargetMode="External"/><Relationship Id="rId2628" Type="http://schemas.openxmlformats.org/officeDocument/2006/relationships/hyperlink" Target="https://scholar.google.es/scholar_url?url=https://skemman.is/bitstream/1946/48710/1/msc-thesis-unnar-2024-10-14.pdf&amp;hl=en&amp;sa=X&amp;d=17992077493637334506&amp;ei=yRwtZ8fmIqS-y9YPv4yW6QM&amp;scisig=AFWwaeYTA5y4qVs3D0PigvTHt9Ic&amp;oi=scholaralrt&amp;hist=v0_XxF0AAAAJ:13742027118377625026:AFWwaebUHLr8wRJ2PrQQIxHyeXqg&amp;html=&amp;pos=3&amp;folt=cit&amp;fols=" TargetMode="External"/><Relationship Id="rId709" Type="http://schemas.openxmlformats.org/officeDocument/2006/relationships/hyperlink" Target="https://arxiv.org/abs/2504.08588" TargetMode="External"/><Relationship Id="rId2629" Type="http://schemas.openxmlformats.org/officeDocument/2006/relationships/hyperlink" Target="https://scholar.google.es/scholar_url?url=https://tesidottorato.depositolegale.it/bitstream/20.500.14242/170935/1/PhD_Thesis_Chiara_conv_final.pdf&amp;hl=en&amp;sa=X&amp;d=18096321354983157089&amp;ei=2IFJZ6GPBaWs6rQP9YDGsAY&amp;scisig=AFWwaeZmAGd95PSGUVEqs8bm0L2M&amp;oi=scholaralrt&amp;hist=v0_XxF0AAAAJ:13742027118377625026:AFWwaebUHLr8wRJ2PrQQIxHyeXqg&amp;html=&amp;pos=6&amp;folt=cit&amp;fols=" TargetMode="External"/><Relationship Id="rId708" Type="http://schemas.openxmlformats.org/officeDocument/2006/relationships/hyperlink" Target="https://arxiv.org/abs/2504.07503" TargetMode="External"/><Relationship Id="rId707" Type="http://schemas.openxmlformats.org/officeDocument/2006/relationships/hyperlink" Target="https://arxiv.org/abs/2504.05679" TargetMode="External"/><Relationship Id="rId706" Type="http://schemas.openxmlformats.org/officeDocument/2006/relationships/hyperlink" Target="https://arxiv.org/abs/2504.04451" TargetMode="External"/><Relationship Id="rId701" Type="http://schemas.openxmlformats.org/officeDocument/2006/relationships/hyperlink" Target="https://arxiv.org/abs/2503.22963" TargetMode="External"/><Relationship Id="rId700" Type="http://schemas.openxmlformats.org/officeDocument/2006/relationships/hyperlink" Target="https://arxiv.org/abs/2503.22943" TargetMode="External"/><Relationship Id="rId705" Type="http://schemas.openxmlformats.org/officeDocument/2006/relationships/hyperlink" Target="https://arxiv.org/abs/2504.01257" TargetMode="External"/><Relationship Id="rId704" Type="http://schemas.openxmlformats.org/officeDocument/2006/relationships/hyperlink" Target="https://arxiv.org/abs/2504.00370" TargetMode="External"/><Relationship Id="rId703" Type="http://schemas.openxmlformats.org/officeDocument/2006/relationships/hyperlink" Target="https://arxiv.org/abs/2503.24210" TargetMode="External"/><Relationship Id="rId702" Type="http://schemas.openxmlformats.org/officeDocument/2006/relationships/hyperlink" Target="https://arxiv.org/abs/2503.23685" TargetMode="External"/><Relationship Id="rId2620" Type="http://schemas.openxmlformats.org/officeDocument/2006/relationships/hyperlink" Target="https://scholar.google.es/scholar_url?url=https://researchrepository.universityofgalway.ie/bitstreams/db7b6c58-366d-477a-ae55-48f445c268a8/download&amp;hl=en&amp;sa=X&amp;d=12870044750424041892&amp;ei=XR6waLHyIvnSieoPxKLpgQ0&amp;scisig=AAZF9b8plc3v5Dsd_ichhlrR1jvn&amp;oi=scholaralrt&amp;hist=v0_XxF0AAAAJ:13742027118377625026:AAZF9b802AK2JmjOJ6sFwAbOS06D&amp;html=&amp;pos=0&amp;folt=cit&amp;fols=" TargetMode="External"/><Relationship Id="rId2610" Type="http://schemas.openxmlformats.org/officeDocument/2006/relationships/hyperlink" Target="https://scholar.google.es/scholar_url?url=https://pure.ulster.ac.uk/files/126749219/IAS.pdf&amp;hl=en&amp;sa=X&amp;d=15286117270794767894&amp;ei=CItXZpLMOevJy9YP-oDKsA8&amp;scisig=AFWwaeY8Ttpujp0F7lLwcQdS3jnD&amp;oi=scholaralrt&amp;hist=v0_XxF0AAAAJ:13742027118377625026:AFWwaebUHLr8wRJ2PrQQIxHyeXqg&amp;html=&amp;pos=1&amp;folt=cit&amp;fols=" TargetMode="External"/><Relationship Id="rId2611" Type="http://schemas.openxmlformats.org/officeDocument/2006/relationships/hyperlink" Target="https://scholar.google.es/scholar_url?url=https://raw.githubusercontent.com/mlresearch/v278/main/assets/zhang25c/zhang25c.pdf&amp;hl=en&amp;sa=X&amp;d=9109142023373450570&amp;ei=-mMIaa65KOSv6rQP5unnwAs&amp;scisig=ABGrvjL0H9At5PzEzeZktzbGFv2o&amp;oi=scholaralrt&amp;hist=v0_XxF0AAAAJ:198837818532394236:ABGrvjKnZpEfMdl4uRMBXNBmd2F5&amp;html=&amp;pos=3&amp;folt=rel&amp;fols=" TargetMode="External"/><Relationship Id="rId2612" Type="http://schemas.openxmlformats.org/officeDocument/2006/relationships/hyperlink" Target="https://scholar.google.es/scholar_url?url=https://repository.rit.edu/cgi/viewcontent.cgi%3Farticle%3D12869%26context%3Dtheses&amp;hl=en&amp;sa=X&amp;d=11485032791231708323&amp;ei=SbpPZvqIL8OJ6rQPyua5mAQ&amp;scisig=AFWwaeZ1AZcgNR1d4e8o5TNjsGJ6&amp;oi=scholaralrt&amp;hist=v0_XxF0AAAAJ:13742027118377625026:AFWwaebUHLr8wRJ2PrQQIxHyeXqg&amp;html=&amp;pos=5&amp;folt=cit&amp;fols=" TargetMode="External"/><Relationship Id="rId2613" Type="http://schemas.openxmlformats.org/officeDocument/2006/relationships/hyperlink" Target="https://scholar.google.es/scholar_url?url=https://research.birmingham.ac.uk/files/255483301/Statistical_Distribution_Study_of_Dynamic_Vision_Sensor_Data.pdf&amp;hl=en&amp;sa=X&amp;d=7618613153074005708&amp;ei=Y2opaJDaKOG86rQP8bDQeA&amp;scisig=AAZF9b-KBqUghusyWk2VyGS3dPlN&amp;oi=scholaralrt&amp;hist=v0_XxF0AAAAJ:13742027118377625026:AAZF9b802AK2JmjOJ6sFwAbOS06D&amp;html=&amp;pos=4&amp;folt=cit&amp;fols=" TargetMode="External"/><Relationship Id="rId2614" Type="http://schemas.openxmlformats.org/officeDocument/2006/relationships/hyperlink" Target="https://scholar.google.es/scholar_url?url=https://research.tue.nl/files/321079828/Wang_S.pdf&amp;hl=en&amp;sa=X&amp;d=2144608987145049839&amp;ei=ZxzkaMTWDMSz6rQPyKGw-Ag&amp;scisig=AAZF9b-p_G1fAFiC9YYPkUaYZwY9&amp;oi=scholaralrt&amp;hist=v0_XxF0AAAAJ:13742027118377625026:AAZF9b802AK2JmjOJ6sFwAbOS06D&amp;html=&amp;pos=4&amp;folt=cit&amp;fols=" TargetMode="External"/><Relationship Id="rId2615" Type="http://schemas.openxmlformats.org/officeDocument/2006/relationships/hyperlink" Target="https://scholar.google.es/scholar_url?url=https://research.tue.nl/files/329695432/2304.04640v3.pdf&amp;hl=en&amp;sa=X&amp;d=12651208264455342111&amp;ei=GuFuZsveDo3A6rQPjqSPmAY&amp;scisig=AFWwaeZTzanoL7LJgWhPvSzy1But&amp;oi=scholaralrt&amp;hist=v0_XxF0AAAAJ:13742027118377625026:AFWwaebUHLr8wRJ2PrQQIxHyeXqg&amp;html=&amp;pos=0&amp;folt=cit&amp;fols=" TargetMode="External"/><Relationship Id="rId2616" Type="http://schemas.openxmlformats.org/officeDocument/2006/relationships/hyperlink" Target="https://scholar.google.es/scholar_url?url=https://research.tue.nl/files/347045213/Asilomar_draft-2.pdf&amp;hl=en&amp;sa=X&amp;d=1589764922129837787&amp;ei=mRRdZ83LK-i96rQPgvP5mAI&amp;scisig=AFWwaeaQgI6LQ2Ur7f7P3a87Rdvu&amp;oi=scholaralrt&amp;hist=v0_XxF0AAAAJ:198837818532394236:AFWwaeZmMyKvHQIW44XNBFyAPl1L&amp;html=&amp;pos=4&amp;folt=rel&amp;fols=" TargetMode="External"/><Relationship Id="rId2617" Type="http://schemas.openxmlformats.org/officeDocument/2006/relationships/hyperlink" Target="https://scholar.google.es/scholar_url?url=https://researchdirect.westernsydney.edu.au/islandora/object/uws:67799/datastream/PDF/view&amp;hl=en&amp;sa=X&amp;d=14838555793157647984&amp;ei=U4-hY_vAIuiD6rQPitaN2AE&amp;scisig=AAGBfm1F85vTlAxFOA-JmFW4lpUTUCR7XQ&amp;oi=scholaralrt&amp;hist=v0_XxF0AAAAJ:13742027118377625026:AAGBfm3UjufN_devjhEx0oELtR65UjD64A&amp;html=&amp;pos=2&amp;folt=cit&amp;fols=" TargetMode="External"/><Relationship Id="rId2618" Type="http://schemas.openxmlformats.org/officeDocument/2006/relationships/hyperlink" Target="https://scholar.google.es/scholar_url?url=https://researchdirect.westernsydney.edu.au/islandora/object/uws:71908/datastream/PDF/view&amp;hl=en&amp;sa=X&amp;d=15810106674528203921&amp;ei=PRH6ZKLPGbeAy9YPzI686As&amp;scisig=AFWwaebHmE5FygbJozEgrK2CEZW2&amp;oi=scholaralrt&amp;hist=v0_XxF0AAAAJ:13742027118377625026:AFWwaebUHLr8wRJ2PrQQIxHyeXqg&amp;html=&amp;pos=3&amp;folt=cit&amp;fols=" TargetMode="External"/><Relationship Id="rId2619" Type="http://schemas.openxmlformats.org/officeDocument/2006/relationships/hyperlink" Target="https://scholar.google.es/scholar_url?url=https://researchrepository.universityofgalway.ie/bitstreams/4108a3ce-5274-4f30-bb87-cf5f6b3471e7/download&amp;hl=en&amp;sa=X&amp;d=7230436368027883429&amp;ei=GYSIaOCIPNmN6rQPnsa-EQ&amp;scisig=AAZF9b_rC4aUqHteTGPzfvmGj0px&amp;oi=scholaralrt&amp;hist=v0_XxF0AAAAJ:13742027118377625026:AAZF9b802AK2JmjOJ6sFwAbOS06D&amp;html=&amp;pos=6&amp;folt=cit&amp;fols=" TargetMode="External"/><Relationship Id="rId1312" Type="http://schemas.openxmlformats.org/officeDocument/2006/relationships/hyperlink" Target="https://doi.org/10.1109/CDC49753.2023.10383696" TargetMode="External"/><Relationship Id="rId2643" Type="http://schemas.openxmlformats.org/officeDocument/2006/relationships/hyperlink" Target="https://scholar.google.es/scholar_url?url=https://www.degruyterbrill.com/document/doi/10.1515/teme-2025-0018/html&amp;hl=en&amp;sa=X&amp;d=17274454684862963905&amp;ei=Y2opaJDaKOG86rQP8bDQeA&amp;scisig=AAZF9b9KBTZJTvXUAq9ZDekpuG72&amp;oi=scholaralrt&amp;hist=v0_XxF0AAAAJ:13742027118377625026:AAZF9b802AK2JmjOJ6sFwAbOS06D&amp;html=&amp;pos=3&amp;folt=cit&amp;fols=" TargetMode="External"/><Relationship Id="rId1313" Type="http://schemas.openxmlformats.org/officeDocument/2006/relationships/hyperlink" Target="https://doi.org/10.1109/CDC57313.2025.11312322" TargetMode="External"/><Relationship Id="rId2644" Type="http://schemas.openxmlformats.org/officeDocument/2006/relationships/hyperlink" Target="https://scholar.google.es/scholar_url?url=https://www.diva-portal.org/smash/get/diva2:1858787/FULLTEXT01.pdf&amp;hl=en&amp;sa=X&amp;d=3137505804655725557&amp;ei=JQ5RZvaRBNS-6rQPwtGe4AU&amp;scisig=AFWwaebdBzppKiMqSfo0jHAhfprL&amp;oi=scholaralrt&amp;hist=v0_XxF0AAAAJ:13742027118377625026:AFWwaebUHLr8wRJ2PrQQIxHyeXqg&amp;html=&amp;pos=2&amp;folt=cit&amp;fols=" TargetMode="External"/><Relationship Id="rId1314" Type="http://schemas.openxmlformats.org/officeDocument/2006/relationships/hyperlink" Target="https://doi.org/10.1109/CISP-BMEI60920.2023.10373309" TargetMode="External"/><Relationship Id="rId2645" Type="http://schemas.openxmlformats.org/officeDocument/2006/relationships/hyperlink" Target="https://scholar.google.es/scholar_url?url=https://www.diva-portal.org/smash/get/diva2:1859128/FULLTEXT01.pdf&amp;hl=en&amp;sa=X&amp;d=4301709749097683433&amp;ei=SFVSZsLcHoHHy9YP8_iImAc&amp;scisig=AFWwaeaOeIMgW8-gPZOgXGiZ6l7G&amp;oi=scholaralrt&amp;hist=v0_XxF0AAAAJ:13742027118377625026:AFWwaebUHLr8wRJ2PrQQIxHyeXqg&amp;html=&amp;pos=1&amp;folt=cit&amp;fols=" TargetMode="External"/><Relationship Id="rId1315" Type="http://schemas.openxmlformats.org/officeDocument/2006/relationships/hyperlink" Target="https://doi.org/10.1109/CISP-BMEI60920.2023.10373321" TargetMode="External"/><Relationship Id="rId2646" Type="http://schemas.openxmlformats.org/officeDocument/2006/relationships/hyperlink" Target="https://scholar.google.es/scholar_url?url=https://www.diva-portal.org/smash/get/diva2:1878318/FULLTEXT01.pdf&amp;hl=en&amp;sa=X&amp;d=11508019364012681733&amp;ei=akSHZsmUCcPOy9YPoN-ggAk&amp;scisig=AFWwaebTeUlJO0vHh7_aVmuGJEqC&amp;oi=scholaralrt&amp;hist=v0_XxF0AAAAJ:13742027118377625026:AFWwaebUHLr8wRJ2PrQQIxHyeXqg&amp;html=&amp;pos=1&amp;folt=cit&amp;fols=" TargetMode="External"/><Relationship Id="rId1316" Type="http://schemas.openxmlformats.org/officeDocument/2006/relationships/hyperlink" Target="https://doi.org/10.1109/CLEO/Europe-EQEC65582.2025.11110537" TargetMode="External"/><Relationship Id="rId2647" Type="http://schemas.openxmlformats.org/officeDocument/2006/relationships/hyperlink" Target="https://scholar.google.es/scholar_url?url=https://www.diva-portal.org/smash/get/diva2:1939109/FULLTEXT02&amp;hl=en&amp;sa=X&amp;d=2447361910950739174&amp;ei=68LCZ6-CHIC96rQPkZbxiA0&amp;scisig=AFWwaealz7Qou9E3uQhphNyiFei0&amp;oi=scholaralrt&amp;hist=v0_XxF0AAAAJ:13742027118377625026:AFWwaebUHLr8wRJ2PrQQIxHyeXqg&amp;html=&amp;pos=0&amp;folt=cit&amp;fols=" TargetMode="External"/><Relationship Id="rId1317" Type="http://schemas.openxmlformats.org/officeDocument/2006/relationships/hyperlink" Target="https://doi.org/10.1109/CONECCT57959.2023.10234775" TargetMode="External"/><Relationship Id="rId2648" Type="http://schemas.openxmlformats.org/officeDocument/2006/relationships/hyperlink" Target="https://scholar.google.es/scholar_url?url=https://www.diva-portal.org/smash/get/diva2:1969211/FULLTEXT01.pdf&amp;hl=en&amp;sa=X&amp;d=9815313282053204977&amp;ei=hORcaKTcCPfWieoPnL2FoA4&amp;scisig=AAZF9b-2obmqyjFnxal5NRoYSfAA&amp;oi=scholaralrt&amp;hist=v0_XxF0AAAAJ:13742027118377625026:AAZF9b802AK2JmjOJ6sFwAbOS06D&amp;html=&amp;pos=0&amp;folt=cit&amp;fols=" TargetMode="External"/><Relationship Id="rId1318" Type="http://schemas.openxmlformats.org/officeDocument/2006/relationships/hyperlink" Target="https://doi.org/10.1109/CONIT65521.2025.11166960" TargetMode="External"/><Relationship Id="rId2649" Type="http://schemas.openxmlformats.org/officeDocument/2006/relationships/hyperlink" Target="https://scholar.google.es/scholar_url?url=https://www.diva-portal.org/smash/get/diva2:1985748/FULLTEXT01.pdf&amp;hl=en&amp;sa=X&amp;d=9559152831823874772&amp;ei=k8qYaOKSFs2EywSKufygBg&amp;scisig=AAZF9b_pIrtS8YcfgHGAKP0p7G0c&amp;oi=scholaralrt&amp;hist=v0_XxF0AAAAJ:13742027118377625026:AAZF9b802AK2JmjOJ6sFwAbOS06D&amp;html=&amp;pos=4&amp;folt=cit&amp;fols=" TargetMode="External"/><Relationship Id="rId1319" Type="http://schemas.openxmlformats.org/officeDocument/2006/relationships/hyperlink" Target="https://doi.org/10.1109/CRC55853.2022.10041200" TargetMode="External"/><Relationship Id="rId729" Type="http://schemas.openxmlformats.org/officeDocument/2006/relationships/hyperlink" Target="https://arxiv.org/abs/2505.02593" TargetMode="External"/><Relationship Id="rId728" Type="http://schemas.openxmlformats.org/officeDocument/2006/relationships/hyperlink" Target="https://arxiv.org/abs/2505.02393" TargetMode="External"/><Relationship Id="rId723" Type="http://schemas.openxmlformats.org/officeDocument/2006/relationships/hyperlink" Target="https://arxiv.org/abs/2504.18249" TargetMode="External"/><Relationship Id="rId722" Type="http://schemas.openxmlformats.org/officeDocument/2006/relationships/hyperlink" Target="https://arxiv.org/abs/2504.16740" TargetMode="External"/><Relationship Id="rId721" Type="http://schemas.openxmlformats.org/officeDocument/2006/relationships/hyperlink" Target="https://arxiv.org/abs/2504.16616" TargetMode="External"/><Relationship Id="rId720" Type="http://schemas.openxmlformats.org/officeDocument/2006/relationships/hyperlink" Target="https://arxiv.org/abs/2504.15863" TargetMode="External"/><Relationship Id="rId727" Type="http://schemas.openxmlformats.org/officeDocument/2006/relationships/hyperlink" Target="https://arxiv.org/abs/2505.01548" TargetMode="External"/><Relationship Id="rId726" Type="http://schemas.openxmlformats.org/officeDocument/2006/relationships/hyperlink" Target="https://arxiv.org/abs/2504.20736" TargetMode="External"/><Relationship Id="rId725" Type="http://schemas.openxmlformats.org/officeDocument/2006/relationships/hyperlink" Target="https://arxiv.org/abs/2504.19417" TargetMode="External"/><Relationship Id="rId724" Type="http://schemas.openxmlformats.org/officeDocument/2006/relationships/hyperlink" Target="https://arxiv.org/abs/2504.19253" TargetMode="External"/><Relationship Id="rId2640" Type="http://schemas.openxmlformats.org/officeDocument/2006/relationships/hyperlink" Target="https://scholar.google.es/scholar_url?url=https://www.computer.org/csdl/journal/tg/5555/01/10683888/20lmezrqD9S&amp;hl=en&amp;sa=X&amp;d=4978684959368980349&amp;ei=wqXwZpXACfbYy9YPrPDH6Aw&amp;scisig=AFWwaeaq5YKDUWqLEIVr-G5GpmUv&amp;oi=scholaralrt&amp;hist=v0_XxF0AAAAJ:13742027118377625026:AFWwaebUHLr8wRJ2PrQQIxHyeXqg&amp;html=&amp;pos=3&amp;folt=cit&amp;fols=" TargetMode="External"/><Relationship Id="rId1310" Type="http://schemas.openxmlformats.org/officeDocument/2006/relationships/hyperlink" Target="https://doi.org/10.1109/CASE58245.2025.11163738" TargetMode="External"/><Relationship Id="rId2641" Type="http://schemas.openxmlformats.org/officeDocument/2006/relationships/hyperlink" Target="https://scholar.google.es/scholar_url?url=https://www.computer.org/csdl/journal/tp/5555/01/10794600/22AQphtgqFW&amp;hl=en&amp;sa=X&amp;d=3277061997753625005&amp;ei=skleZ4rnHpXMy9YP6O_2mQw&amp;scisig=AFWwaeb_h0dLTdoj3ZcIHHPg9ZlU&amp;oi=scholaralrt&amp;hist=v0_XxF0AAAAJ:13742027118377625026:AFWwaebUHLr8wRJ2PrQQIxHyeXqg&amp;html=&amp;pos=0&amp;folt=cit&amp;fols=" TargetMode="External"/><Relationship Id="rId1311" Type="http://schemas.openxmlformats.org/officeDocument/2006/relationships/hyperlink" Target="https://doi.org/10.1109/CCTA53793.2025.11151501" TargetMode="External"/><Relationship Id="rId2642" Type="http://schemas.openxmlformats.org/officeDocument/2006/relationships/hyperlink" Target="https://scholar.google.es/scholar_url?url=https://www.computer.org/csdl/proceedings-article/ismar-adjunct/2023/289100a335/1SBHRkHb8Gs&amp;hl=en&amp;sa=X&amp;d=8429629795709941976&amp;ei=u4Z0ZZ65KIKwmwGl35bwDg&amp;scisig=AFWwaeazZBs9s06SEtQGSo3yT6na&amp;oi=scholaralrt&amp;hist=v0_XxF0AAAAJ:13742027118377625026:AFWwaebUHLr8wRJ2PrQQIxHyeXqg&amp;html=&amp;pos=0&amp;folt=cit&amp;fols=" TargetMode="External"/><Relationship Id="rId1301" Type="http://schemas.openxmlformats.org/officeDocument/2006/relationships/hyperlink" Target="https://doi.org/10.1109/AIRC64931.2025.11077548" TargetMode="External"/><Relationship Id="rId2632" Type="http://schemas.openxmlformats.org/officeDocument/2006/relationships/hyperlink" Target="https://scholar.google.es/scholar_url?url=https://unire.unige.it/bitstream/handle/123456789/6818/tesi26259486.pdf%3Fsequence%3D1&amp;hl=en&amp;sa=X&amp;d=3910650277582944328&amp;ei=YSlNZZi4M_Ol6rQP1-mo2AE&amp;scisig=AFWwaebP8c58fxDCLTgfGGetdZs1&amp;oi=scholaralrt&amp;hist=v0_XxF0AAAAJ:13742027118377625026:AFWwaebUHLr8wRJ2PrQQIxHyeXqg&amp;html=&amp;pos=5&amp;folt=cit&amp;fols=" TargetMode="External"/><Relationship Id="rId1302" Type="http://schemas.openxmlformats.org/officeDocument/2006/relationships/hyperlink" Target="https://doi.org/10.1109/ASICON66040.2025.11326462" TargetMode="External"/><Relationship Id="rId2633" Type="http://schemas.openxmlformats.org/officeDocument/2006/relationships/hyperlink" Target="https://scholar.google.es/scholar_url?url=https://upcommons.upc.edu/bitstream/handle/2117/389914/NimbleAI_Towards_Neuromorphic_Sensing-Processing_3D-integrated_Chips.pdf%3Fsequence%3D1&amp;hl=en&amp;sa=X&amp;d=1831651404105315245&amp;ei=mjK8ZKDzPPmBy9YPyrqH4Ag&amp;scisig=ABFrs3xhkAepXM9tFAl3_aDwri3l&amp;oi=scholaralrt&amp;hist=v0_XxF0AAAAJ:198837818532394236:ABFrs3xMKCIfhEZJbbWSRf0pgf1p&amp;html=&amp;pos=1&amp;folt=rel&amp;fols=" TargetMode="External"/><Relationship Id="rId1303" Type="http://schemas.openxmlformats.org/officeDocument/2006/relationships/hyperlink" Target="https://doi.org/10.1109/ASYU58738.2023.10296754" TargetMode="External"/><Relationship Id="rId2634" Type="http://schemas.openxmlformats.org/officeDocument/2006/relationships/hyperlink" Target="https://scholar.google.es/scholar_url?url=https://upcommons.upc.edu/handle/2117/422527&amp;hl=en&amp;sa=X&amp;d=17052527695997715633&amp;ei=DDmZZ8-vNYC96rQP1ZPosA8&amp;scisig=AFWwaeaTqi1fx2eT30zVIoBPWNuE&amp;oi=scholaralrt&amp;hist=v0_XxF0AAAAJ:16412562894006425212:AFWwaeb1fDL4iO02GpXBXeIDVjnx&amp;html=&amp;pos=0&amp;folt=art" TargetMode="External"/><Relationship Id="rId1304" Type="http://schemas.openxmlformats.org/officeDocument/2006/relationships/hyperlink" Target="https://doi.org/10.1109/BioCAS54905.2022.9948687" TargetMode="External"/><Relationship Id="rId2635" Type="http://schemas.openxmlformats.org/officeDocument/2006/relationships/hyperlink" Target="https://scholar.google.es/scholar_url?url=https://webthesis.biblio.polito.it/34062/1/tesi.pdf&amp;hl=en&amp;sa=X&amp;d=3216273692853236879&amp;ei=A7SAZ-T3Hdmy6rQP44y56Ac&amp;scisig=AFWwaeaPraixJCiKdVBsPgjsgjip&amp;oi=scholaralrt&amp;hist=v0_XxF0AAAAJ:13742027118377625026:AFWwaebUHLr8wRJ2PrQQIxHyeXqg&amp;html=&amp;pos=2&amp;folt=cit&amp;fols=" TargetMode="External"/><Relationship Id="rId1305" Type="http://schemas.openxmlformats.org/officeDocument/2006/relationships/hyperlink" Target="https://doi.org/10.1109/BioCAS61083.2024.10798206" TargetMode="External"/><Relationship Id="rId2636" Type="http://schemas.openxmlformats.org/officeDocument/2006/relationships/hyperlink" Target="https://scholar.google.es/scholar_url?url=https://webthesis.biblio.polito.it/secure/38651/1/tesi.pdf&amp;hl=en&amp;sa=X&amp;d=3970037596405292975&amp;ei=qEhjad30LMelieoP1s_TgA8&amp;scisig=AHkA5jSUtcZuDLQnbh36aY6Kb01h&amp;oi=scholaralrt&amp;hist=v0_XxF0AAAAJ:13742027118377625026:AHkA5jSu_a2AqNQOCdacK8g1OnlB&amp;html=&amp;pos=1&amp;folt=cit&amp;fols=" TargetMode="External"/><Relationship Id="rId1306" Type="http://schemas.openxmlformats.org/officeDocument/2006/relationships/hyperlink" Target="https://doi.org/10.1109/BioCAS61083.2024.10798345" TargetMode="External"/><Relationship Id="rId2637" Type="http://schemas.openxmlformats.org/officeDocument/2006/relationships/hyperlink" Target="https://scholar.google.es/scholar_url?url=https://www.ams.giti.waseda.ac.jp/data/pdf-files/2024AIC_koizumi.pdf&amp;hl=en&amp;sa=X&amp;d=1347539043074318268&amp;ei=lJjiZomoCYeXy9YPyoXVgAk&amp;scisig=AFWwaebZ5nUYTdYz02zmot2MKI-B&amp;oi=scholaralrt&amp;hist=v0_XxF0AAAAJ:13742027118377625026:AFWwaebUHLr8wRJ2PrQQIxHyeXqg&amp;html=&amp;pos=2&amp;folt=cit&amp;fols=" TargetMode="External"/><Relationship Id="rId1307" Type="http://schemas.openxmlformats.org/officeDocument/2006/relationships/hyperlink" Target="https://doi.org/10.1109/BIOSIG55365.2022.9897039" TargetMode="External"/><Relationship Id="rId2638" Type="http://schemas.openxmlformats.org/officeDocument/2006/relationships/hyperlink" Target="https://scholar.google.es/scholar_url?url=https://www.authorea.com/doi/pdf/10.22541/au.175373191.11504859&amp;hl=en&amp;sa=X&amp;d=4475624974984087480&amp;ei=Y8GTaKLKAZKD6rQP6ujd4Qk&amp;scisig=AAZF9b-aaY6NJDnJRby0kaRmyHN9&amp;oi=scholaralrt&amp;hist=v0_XxF0AAAAJ:13742027118377625026:AAZF9b802AK2JmjOJ6sFwAbOS06D&amp;html=&amp;pos=2&amp;folt=cit&amp;fols=" TargetMode="External"/><Relationship Id="rId1308" Type="http://schemas.openxmlformats.org/officeDocument/2006/relationships/hyperlink" Target="https://doi.org/10.1109/CAI64502.2025.00137" TargetMode="External"/><Relationship Id="rId2639" Type="http://schemas.openxmlformats.org/officeDocument/2006/relationships/hyperlink" Target="https://scholar.google.es/scholar_url?url=https://www.china-simulation.com/EN/article/downloadArticleFile.do%3FattachType%3DPDF%26id%3D3337&amp;hl=en&amp;sa=X&amp;d=16956563130076262030&amp;ei=ebX2ZbuLLsHEy9YP9tSmkAQ&amp;scisig=AFWwaea8QlDRCrbeuAWbPr6iL9JE&amp;oi=scholaralrt&amp;hist=v0_XxF0AAAAJ:13742027118377625026:AFWwaebUHLr8wRJ2PrQQIxHyeXqg&amp;html=&amp;pos=6&amp;folt=cit&amp;fols=" TargetMode="External"/><Relationship Id="rId1309" Type="http://schemas.openxmlformats.org/officeDocument/2006/relationships/hyperlink" Target="https://doi.org/10.1109/CANDAR68384.2025.00026" TargetMode="External"/><Relationship Id="rId719" Type="http://schemas.openxmlformats.org/officeDocument/2006/relationships/hyperlink" Target="https://arxiv.org/abs/2504.15371" TargetMode="External"/><Relationship Id="rId718" Type="http://schemas.openxmlformats.org/officeDocument/2006/relationships/hyperlink" Target="https://arxiv.org/abs/2504.13692" TargetMode="External"/><Relationship Id="rId717" Type="http://schemas.openxmlformats.org/officeDocument/2006/relationships/hyperlink" Target="https://arxiv.org/abs/2504.13349" TargetMode="External"/><Relationship Id="rId712" Type="http://schemas.openxmlformats.org/officeDocument/2006/relationships/hyperlink" Target="https://arxiv.org/abs/2504.10012" TargetMode="External"/><Relationship Id="rId711" Type="http://schemas.openxmlformats.org/officeDocument/2006/relationships/hyperlink" Target="https://arxiv.org/abs/2504.09960" TargetMode="External"/><Relationship Id="rId710" Type="http://schemas.openxmlformats.org/officeDocument/2006/relationships/hyperlink" Target="https://arxiv.org/abs/2504.09379" TargetMode="External"/><Relationship Id="rId716" Type="http://schemas.openxmlformats.org/officeDocument/2006/relationships/hyperlink" Target="https://arxiv.org/abs/2504.13042" TargetMode="External"/><Relationship Id="rId715" Type="http://schemas.openxmlformats.org/officeDocument/2006/relationships/hyperlink" Target="https://arxiv.org/abs/2504.12515" TargetMode="External"/><Relationship Id="rId714" Type="http://schemas.openxmlformats.org/officeDocument/2006/relationships/hyperlink" Target="https://arxiv.org/abs/2504.10984" TargetMode="External"/><Relationship Id="rId713" Type="http://schemas.openxmlformats.org/officeDocument/2006/relationships/hyperlink" Target="https://arxiv.org/abs/2504.10018" TargetMode="External"/><Relationship Id="rId2630" Type="http://schemas.openxmlformats.org/officeDocument/2006/relationships/hyperlink" Target="https://scholar.google.es/scholar_url?url=https://theses.fr/api/v1/document/2025GRALT022&amp;hl=en&amp;sa=X&amp;d=7357503802210610234&amp;ei=b3_aaIaBEsnXieoPvqrN8Qs&amp;scisig=AAZF9b-Vkog7GPTU3e5lXziq3sIY&amp;oi=scholaralrt&amp;hist=v0_XxF0AAAAJ:13742027118377625026:AAZF9b802AK2JmjOJ6sFwAbOS06D&amp;html=&amp;pos=1&amp;folt=cit&amp;fols=" TargetMode="External"/><Relationship Id="rId1300" Type="http://schemas.openxmlformats.org/officeDocument/2006/relationships/hyperlink" Target="https://doi.org/10.1109/AICAS54282.2022.9869977" TargetMode="External"/><Relationship Id="rId2631" Type="http://schemas.openxmlformats.org/officeDocument/2006/relationships/hyperlink" Target="https://scholar.google.es/scholar_url?url=https://unire.unige.it/bitstream/handle/123456789/11855/tesi32440764.pdf%3Fsequence%3D1&amp;hl=en&amp;sa=X&amp;d=2669022791836274172&amp;ei=a1oFaNviPMCSieoP_drdwAU&amp;scisig=AFWwaebjKZOB0zWC7awnS2S2E28D&amp;oi=scholaralrt&amp;hist=v0_XxF0AAAAJ:13742027118377625026:AFWwaebUHLr8wRJ2PrQQIxHyeXqg&amp;html=&amp;pos=4&amp;folt=cit&amp;fols=" TargetMode="External"/><Relationship Id="rId3117" Type="http://schemas.openxmlformats.org/officeDocument/2006/relationships/hyperlink" Target="https://www.westernsydney.edu.au/icns/resources/research_videos/rocket_launch_from_a_neuromorphic_camera_-_events_vs._frames" TargetMode="External"/><Relationship Id="rId3116" Type="http://schemas.openxmlformats.org/officeDocument/2006/relationships/hyperlink" Target="https://www.webofscience.com/wos/woscc/full-record/WOS:000853846800021" TargetMode="External"/><Relationship Id="rId3119" Type="http://schemas.openxmlformats.org/officeDocument/2006/relationships/hyperlink" Target="https://www.youtube.com/@neuromorphicworkshoptellur6476/featured" TargetMode="External"/><Relationship Id="rId3118" Type="http://schemas.openxmlformats.org/officeDocument/2006/relationships/hyperlink" Target="https://www.ybh1998.space/wp-content/uploads/2024/06/EventPS_Real-Time_Photometric_Stereo_Using_an_Event_Camera.pdf" TargetMode="External"/><Relationship Id="rId3111" Type="http://schemas.openxmlformats.org/officeDocument/2006/relationships/hyperlink" Target="https://www.therobotreport.com/acceleration-robotics-launches-robotcore-ros-2-hardware" TargetMode="External"/><Relationship Id="rId3110" Type="http://schemas.openxmlformats.org/officeDocument/2006/relationships/hyperlink" Target="https://www.techrxiv.org/articles/preprint/Traffic_sign_detection_and_recognition_using_event_camera_image_reconstruction/21739610" TargetMode="External"/><Relationship Id="rId3113" Type="http://schemas.openxmlformats.org/officeDocument/2006/relationships/hyperlink" Target="https://www.webofscience.com/wos/woscc/full-record/WOS:000848467200108" TargetMode="External"/><Relationship Id="rId3112" Type="http://schemas.openxmlformats.org/officeDocument/2006/relationships/hyperlink" Target="https://www.tindie.com/stores/dirksavage88" TargetMode="External"/><Relationship Id="rId3115" Type="http://schemas.openxmlformats.org/officeDocument/2006/relationships/hyperlink" Target="https://www.webofscience.com/wos/woscc/full-record/WOS:000853380900031" TargetMode="External"/><Relationship Id="rId3114" Type="http://schemas.openxmlformats.org/officeDocument/2006/relationships/hyperlink" Target="https://www.webofscience.com/wos/woscc/full-record/WOS:000853359700010" TargetMode="External"/><Relationship Id="rId3106" Type="http://schemas.openxmlformats.org/officeDocument/2006/relationships/hyperlink" Target="https://www.springerprofessional.de/asynchronous-corner-tracking-algorithm-based-on-lifetime-of-even/18677506" TargetMode="External"/><Relationship Id="rId3105" Type="http://schemas.openxmlformats.org/officeDocument/2006/relationships/hyperlink" Target="https://www.spiedigitallibrary.org/journals/optical-engineering/volume-61/issue-7/074103/Experimental-methods-to-predict-dynamic-vision-sensor-event-camera-performance/10.1117/1.OE.61.7.074103.short" TargetMode="External"/><Relationship Id="rId3108" Type="http://schemas.openxmlformats.org/officeDocument/2006/relationships/hyperlink" Target="https://www.tangramvision.com/blog/sensoria-obscura-event-cameras-part-ii" TargetMode="External"/><Relationship Id="rId3107" Type="http://schemas.openxmlformats.org/officeDocument/2006/relationships/hyperlink" Target="https://www.tangramvision.com/blog/sensoria-obscura-event-cameras-part-i" TargetMode="External"/><Relationship Id="rId3109" Type="http://schemas.openxmlformats.org/officeDocument/2006/relationships/hyperlink" Target="https://www.techrxiv.org/articles/preprint/Brain_Inspired_Computing_A_Systematic_Survey_and_Future_Trends/21837027" TargetMode="External"/><Relationship Id="rId3100" Type="http://schemas.openxmlformats.org/officeDocument/2006/relationships/hyperlink" Target="https://www.spiedigitallibrary.org/conference-proceedings-of-spie/12718/127181R/Siamese-network-object-tracking-based-on-fusion-of-visible-and/10.1117/12.2681645.full" TargetMode="External"/><Relationship Id="rId3102" Type="http://schemas.openxmlformats.org/officeDocument/2006/relationships/hyperlink" Target="https://www.spiedigitallibrary.org/conference-proceedings-of-spie/13718/137181B/HDR-video-reconstruction-from-events-and-LDR-frames-via-spatiotemporal/10.1117/12.3074839.full" TargetMode="External"/><Relationship Id="rId3101" Type="http://schemas.openxmlformats.org/officeDocument/2006/relationships/hyperlink" Target="https://www.spiedigitallibrary.org/conference-proceedings-of-spie/13045/3016088/Demystifying-event-based-camera-latency--sensor-speed-dependence-on/10.1117/12.3016088.full" TargetMode="External"/><Relationship Id="rId3104" Type="http://schemas.openxmlformats.org/officeDocument/2006/relationships/hyperlink" Target="https://www.spiedigitallibrary.org/journals/optical-engineering/volume-61/issue-05/053101/Event-based-imaging-polarimeter/10.1117/1.OE.61.5.053101.full" TargetMode="External"/><Relationship Id="rId3103" Type="http://schemas.openxmlformats.org/officeDocument/2006/relationships/hyperlink" Target="https://www.spiedigitallibrary.org/journalIssue/Download?downloadType=journal%20article&amp;urlId=10.1117%2F1.OE.61.8.085105&amp;isResultClick=True" TargetMode="External"/><Relationship Id="rId3138" Type="http://schemas.openxmlformats.org/officeDocument/2006/relationships/drawing" Target="../drawings/drawing1.xml"/><Relationship Id="rId3131" Type="http://schemas.openxmlformats.org/officeDocument/2006/relationships/hyperlink" Target="https://youtu.be/cT5Gn1R43Cs?t=1884" TargetMode="External"/><Relationship Id="rId3130" Type="http://schemas.openxmlformats.org/officeDocument/2006/relationships/hyperlink" Target="https://xlx-creater.github.io/E-ENF/" TargetMode="External"/><Relationship Id="rId3133" Type="http://schemas.openxmlformats.org/officeDocument/2006/relationships/hyperlink" Target="https://youtu.be/fw9-gNg6cM8" TargetMode="External"/><Relationship Id="rId3132" Type="http://schemas.openxmlformats.org/officeDocument/2006/relationships/hyperlink" Target="https://youtu.be/CzigSCViLhM?si=0ukM-dhI82MbrSir" TargetMode="External"/><Relationship Id="rId3135" Type="http://schemas.openxmlformats.org/officeDocument/2006/relationships/hyperlink" Target="https://zenodo.org/record/6602940" TargetMode="External"/><Relationship Id="rId3134" Type="http://schemas.openxmlformats.org/officeDocument/2006/relationships/hyperlink" Target="https://zaguan.unizar.es/record/129983?ln=en" TargetMode="External"/><Relationship Id="rId3137" Type="http://schemas.openxmlformats.org/officeDocument/2006/relationships/hyperlink" Target="https://zhangjiqing.com/publication/stnet/" TargetMode="External"/><Relationship Id="rId3136" Type="http://schemas.openxmlformats.org/officeDocument/2006/relationships/hyperlink" Target="https://zhangjiqing.com/publication/in-the-blink-of-an-eye-event-based-emotion-recognition/" TargetMode="External"/><Relationship Id="rId3128" Type="http://schemas.openxmlformats.org/officeDocument/2006/relationships/hyperlink" Target="https://www.youtube.com/watch?v=Y97Sg4YTRh0" TargetMode="External"/><Relationship Id="rId3127" Type="http://schemas.openxmlformats.org/officeDocument/2006/relationships/hyperlink" Target="https://www.youtube.com/watch?v=y0bMZnUJt14" TargetMode="External"/><Relationship Id="rId3129" Type="http://schemas.openxmlformats.org/officeDocument/2006/relationships/hyperlink" Target="https://www.zora.uzh.ch/id/eprint/277708/1/zuwang-thesis.pdf" TargetMode="External"/><Relationship Id="rId3120" Type="http://schemas.openxmlformats.org/officeDocument/2006/relationships/hyperlink" Target="https://www.youtube.com/@SavageGoodsT/featured" TargetMode="External"/><Relationship Id="rId3122" Type="http://schemas.openxmlformats.org/officeDocument/2006/relationships/hyperlink" Target="https://www.youtube.com/watch?v=CzigSCViLhM" TargetMode="External"/><Relationship Id="rId3121" Type="http://schemas.openxmlformats.org/officeDocument/2006/relationships/hyperlink" Target="https://www.youtube.com/watch?v=0DKatczR6jE" TargetMode="External"/><Relationship Id="rId3124" Type="http://schemas.openxmlformats.org/officeDocument/2006/relationships/hyperlink" Target="https://www.youtube.com/watch?v=oLUNYxYZPyA" TargetMode="External"/><Relationship Id="rId3123" Type="http://schemas.openxmlformats.org/officeDocument/2006/relationships/hyperlink" Target="https://www.youtube.com/watch?v=GvKfJrMGNCs" TargetMode="External"/><Relationship Id="rId3126" Type="http://schemas.openxmlformats.org/officeDocument/2006/relationships/hyperlink" Target="https://www.youtube.com/watch?v=wK37140c7_Y" TargetMode="External"/><Relationship Id="rId3125" Type="http://schemas.openxmlformats.org/officeDocument/2006/relationships/hyperlink" Target="https://www.youtube.com/watch?v=PLHhEj52c-4" TargetMode="External"/><Relationship Id="rId1378" Type="http://schemas.openxmlformats.org/officeDocument/2006/relationships/hyperlink" Target="https://doi.org/10.1109/ICNC64304.2024.10987707" TargetMode="External"/><Relationship Id="rId1379" Type="http://schemas.openxmlformats.org/officeDocument/2006/relationships/hyperlink" Target="https://doi.org/10.1109/ICNSC62968.2024.10760025" TargetMode="External"/><Relationship Id="rId789" Type="http://schemas.openxmlformats.org/officeDocument/2006/relationships/hyperlink" Target="https://arxiv.org/abs/2508.03609" TargetMode="External"/><Relationship Id="rId788" Type="http://schemas.openxmlformats.org/officeDocument/2006/relationships/hyperlink" Target="https://arxiv.org/abs/2508.03244v1/" TargetMode="External"/><Relationship Id="rId787" Type="http://schemas.openxmlformats.org/officeDocument/2006/relationships/hyperlink" Target="https://arxiv.org/abs/2508.02288" TargetMode="External"/><Relationship Id="rId786" Type="http://schemas.openxmlformats.org/officeDocument/2006/relationships/hyperlink" Target="https://arxiv.org/abs/2508.02238" TargetMode="External"/><Relationship Id="rId781" Type="http://schemas.openxmlformats.org/officeDocument/2006/relationships/hyperlink" Target="https://arxiv.org/abs/2507.19948v1" TargetMode="External"/><Relationship Id="rId1370" Type="http://schemas.openxmlformats.org/officeDocument/2006/relationships/hyperlink" Target="https://doi.org/10.1109/ICIP49359.2023.10222922" TargetMode="External"/><Relationship Id="rId780" Type="http://schemas.openxmlformats.org/officeDocument/2006/relationships/hyperlink" Target="https://arxiv.org/abs/2507.19914" TargetMode="External"/><Relationship Id="rId1371" Type="http://schemas.openxmlformats.org/officeDocument/2006/relationships/hyperlink" Target="https://doi.org/10.1109/ICIP55913.2025.11084303" TargetMode="External"/><Relationship Id="rId1372" Type="http://schemas.openxmlformats.org/officeDocument/2006/relationships/hyperlink" Target="https://doi.org/10.1109/ICIP55913.2025.11084381" TargetMode="External"/><Relationship Id="rId1373" Type="http://schemas.openxmlformats.org/officeDocument/2006/relationships/hyperlink" Target="https://doi.org/10.1109/ICIP55913.2025.11084548" TargetMode="External"/><Relationship Id="rId785" Type="http://schemas.openxmlformats.org/officeDocument/2006/relationships/hyperlink" Target="https://arxiv.org/abs/2508.01842" TargetMode="External"/><Relationship Id="rId1374" Type="http://schemas.openxmlformats.org/officeDocument/2006/relationships/hyperlink" Target="https://doi.org/10.1109/ICIP55913.2025.11084717" TargetMode="External"/><Relationship Id="rId784" Type="http://schemas.openxmlformats.org/officeDocument/2006/relationships/hyperlink" Target="https://arxiv.org/abs/2508.00308" TargetMode="External"/><Relationship Id="rId1375" Type="http://schemas.openxmlformats.org/officeDocument/2006/relationships/hyperlink" Target="https://doi.org/10.1109/ICIP55913.2025.11084739" TargetMode="External"/><Relationship Id="rId783" Type="http://schemas.openxmlformats.org/officeDocument/2006/relationships/hyperlink" Target="https://arxiv.org/abs/2507.21971" TargetMode="External"/><Relationship Id="rId1376" Type="http://schemas.openxmlformats.org/officeDocument/2006/relationships/hyperlink" Target="https://doi.org/10.1109/ICIP55913.2025.11084751" TargetMode="External"/><Relationship Id="rId782" Type="http://schemas.openxmlformats.org/officeDocument/2006/relationships/hyperlink" Target="https://arxiv.org/abs/2507.20901" TargetMode="External"/><Relationship Id="rId1377" Type="http://schemas.openxmlformats.org/officeDocument/2006/relationships/hyperlink" Target="https://doi.org/10.1109/ICMEW63481.2024.10645394" TargetMode="External"/><Relationship Id="rId1367" Type="http://schemas.openxmlformats.org/officeDocument/2006/relationships/hyperlink" Target="https://doi.org/10.1109/ICIP42928.2021.9506561" TargetMode="External"/><Relationship Id="rId2698" Type="http://schemas.openxmlformats.org/officeDocument/2006/relationships/hyperlink" Target="https://scholar.google.es/scholar_url?url=https://www.spiedigitallibrary.org/conference-proceedings-of-spie/13674/136740Y/Event-based-pulse-frequency-modulated-PFM-digital-ROIC-for-infrared/10.1117/12.3069671.short&amp;hl=en&amp;sa=X&amp;d=10057185526273475139&amp;ei=c4EGabPzBdrZzwKkk-bABQ&amp;scisig=ABGrvjJdaTGfWwIEKDM-jBdGdtRA&amp;oi=scholaralrt&amp;hist=v0_XxF0AAAAJ:13742027118377625026:ABGrvjKBHUi6MFH_DtNclerNeAZe&amp;html=&amp;pos=3&amp;folt=cit&amp;fols=" TargetMode="External"/><Relationship Id="rId1368" Type="http://schemas.openxmlformats.org/officeDocument/2006/relationships/hyperlink" Target="https://doi.org/10.1109/ICIP49359.2023.10222287" TargetMode="External"/><Relationship Id="rId2699" Type="http://schemas.openxmlformats.org/officeDocument/2006/relationships/hyperlink" Target="https://scholar.google.es/scholar_url?url=https://www.spiedigitallibrary.org/conference-proceedings-of-spie/13674/136741K/An-asynchronous-time-based-image-sensor-with-a-photovoltaic-detector/10.1117/12.3069972.short&amp;hl=en&amp;sa=X&amp;d=10226215530641338428&amp;ei=c4EGabPzBdrZzwKkk-bABQ&amp;scisig=ABGrvjKpFqt-dIun_Fc1H6E-1QJR&amp;oi=scholaralrt&amp;hist=v0_XxF0AAAAJ:13742027118377625026:ABGrvjKBHUi6MFH_DtNclerNeAZe&amp;html=&amp;pos=4&amp;folt=cit&amp;fols=" TargetMode="External"/><Relationship Id="rId1369" Type="http://schemas.openxmlformats.org/officeDocument/2006/relationships/hyperlink" Target="https://doi.org/10.1109/ICIP49359.2023.10222777" TargetMode="External"/><Relationship Id="rId778" Type="http://schemas.openxmlformats.org/officeDocument/2006/relationships/hyperlink" Target="https://arxiv.org/abs/2507.11910" TargetMode="External"/><Relationship Id="rId777" Type="http://schemas.openxmlformats.org/officeDocument/2006/relationships/hyperlink" Target="https://arxiv.org/abs/2507.11302" TargetMode="External"/><Relationship Id="rId776" Type="http://schemas.openxmlformats.org/officeDocument/2006/relationships/hyperlink" Target="https://arxiv.org/abs/2507.09469v2" TargetMode="External"/><Relationship Id="rId775" Type="http://schemas.openxmlformats.org/officeDocument/2006/relationships/hyperlink" Target="https://arxiv.org/abs/2507.06459" TargetMode="External"/><Relationship Id="rId779" Type="http://schemas.openxmlformats.org/officeDocument/2006/relationships/hyperlink" Target="https://arxiv.org/abs/2507.17664" TargetMode="External"/><Relationship Id="rId770" Type="http://schemas.openxmlformats.org/officeDocument/2006/relationships/hyperlink" Target="https://arxiv.org/abs/2506.23783" TargetMode="External"/><Relationship Id="rId2690" Type="http://schemas.openxmlformats.org/officeDocument/2006/relationships/hyperlink" Target="https://scholar.google.es/scholar_url?url=https://www.spiedigitallibrary.org/conference-proceedings-of-spie/13157/131570K/Hybrid-event-enhanced-image-de-occlusion/10.1117/12.3016334.short&amp;hl=en&amp;sa=X&amp;d=18227412886444539639&amp;ei=81w1ZuHlEde16rQPysa4mAc&amp;scisig=AFWwaebfnKpsel8W1mrkm-ToCXvy&amp;oi=scholaralrt&amp;hist=v0_XxF0AAAAJ:13742027118377625026:AFWwaebUHLr8wRJ2PrQQIxHyeXqg&amp;html=&amp;pos=2&amp;folt=cit&amp;fols=" TargetMode="External"/><Relationship Id="rId1360" Type="http://schemas.openxmlformats.org/officeDocument/2006/relationships/hyperlink" Target="https://doi.org/10.1109/ICEIC61013.2024.10457200" TargetMode="External"/><Relationship Id="rId2691" Type="http://schemas.openxmlformats.org/officeDocument/2006/relationships/hyperlink" Target="https://scholar.google.es/scholar_url?url=https://www.spiedigitallibrary.org/conference-proceedings-of-spie/13164/131641M/Unsupervised-framerate-upsampling-from-events/10.1117/12.3018663.short&amp;hl=en&amp;sa=X&amp;d=10120749697864581540&amp;ei=V_43Zo-IAsPXy9YPzbOi0Ak&amp;scisig=AFWwaeb2gjkp-KygCKis9O-rIji-&amp;oi=scholaralrt&amp;hist=v0_XxF0AAAAJ:13742027118377625026:AFWwaebUHLr8wRJ2PrQQIxHyeXqg&amp;html=&amp;pos=0&amp;folt=cit&amp;fols=" TargetMode="External"/><Relationship Id="rId1361" Type="http://schemas.openxmlformats.org/officeDocument/2006/relationships/hyperlink" Target="https://doi.org/10.1109/ICIBA62489.2024.10869252" TargetMode="External"/><Relationship Id="rId2692" Type="http://schemas.openxmlformats.org/officeDocument/2006/relationships/hyperlink" Target="https://scholar.google.es/scholar_url?url=https://www.spiedigitallibrary.org/conference-proceedings-of-spie/13164/1316428/Optical-flow-estimation-based-on-spatiotemporal-plane-fitting-of-event/10.1117/12.3018902.short&amp;hl=en&amp;sa=X&amp;d=16973688180465689055&amp;ei=V_43Zo-IAsPXy9YPzbOi0Ak&amp;scisig=AFWwaebTpMs_48VtMOV4ozmVgxwp&amp;oi=scholaralrt&amp;hist=v0_XxF0AAAAJ:13742027118377625026:AFWwaebUHLr8wRJ2PrQQIxHyeXqg&amp;html=&amp;pos=1&amp;folt=cit&amp;fols=" TargetMode="External"/><Relationship Id="rId1362" Type="http://schemas.openxmlformats.org/officeDocument/2006/relationships/hyperlink" Target="https://doi.org/10.1109/ICICC63565.2024.10780721" TargetMode="External"/><Relationship Id="rId2693" Type="http://schemas.openxmlformats.org/officeDocument/2006/relationships/hyperlink" Target="https://scholar.google.es/scholar_url?url=https://www.spiedigitallibrary.org/conference-proceedings-of-spie/13619/136191H/Validating-event-based-vision-sensor-characterization-methods-through-simulation/10.1117/12.3064703.short&amp;hl=en&amp;sa=X&amp;d=7392025656657807907&amp;ei=bVjSaK72PMnXieoPztea-QE&amp;scisig=AAZF9b-BxY8H2JV87qFzri3-EV6W&amp;oi=scholaralrt&amp;hist=v0_XxF0AAAAJ:198837818532394236:AAZF9b-3jVPI_G2C1ZFisyDADLOa&amp;html=&amp;pos=1&amp;folt=rel&amp;fols=" TargetMode="External"/><Relationship Id="rId774" Type="http://schemas.openxmlformats.org/officeDocument/2006/relationships/hyperlink" Target="https://arxiv.org/abs/2507.05728" TargetMode="External"/><Relationship Id="rId1363" Type="http://schemas.openxmlformats.org/officeDocument/2006/relationships/hyperlink" Target="https://doi.org/10.1109/ICICSP66564.2025.11338275" TargetMode="External"/><Relationship Id="rId2694" Type="http://schemas.openxmlformats.org/officeDocument/2006/relationships/hyperlink" Target="https://scholar.google.es/scholar_url?url=https://www.spiedigitallibrary.org/conference-proceedings-of-spie/13619/136191J/Validation-of-event-based-wavefront-sensor-test-bed-using-wave/10.1117/12.3063369.short&amp;hl=en&amp;sa=X&amp;d=1629782320635699773&amp;ei=bljSaPaTNvaT6rQP1-ijgAo&amp;scisig=AAZF9b9YKCQyJd55SJbf7xm7nfiX&amp;oi=scholaralrt&amp;hist=v0_XxF0AAAAJ:13742027118377625026:AAZF9b802AK2JmjOJ6sFwAbOS06D&amp;html=&amp;pos=4&amp;folt=cit&amp;fols=" TargetMode="External"/><Relationship Id="rId773" Type="http://schemas.openxmlformats.org/officeDocument/2006/relationships/hyperlink" Target="https://arxiv.org/abs/2507.03765" TargetMode="External"/><Relationship Id="rId1364" Type="http://schemas.openxmlformats.org/officeDocument/2006/relationships/hyperlink" Target="https://doi.org/10.1109/ICIP.2014.7025040" TargetMode="External"/><Relationship Id="rId2695" Type="http://schemas.openxmlformats.org/officeDocument/2006/relationships/hyperlink" Target="https://scholar.google.es/scholar_url?url=https://www.spiedigitallibrary.org/conference-proceedings-of-spie/13619/136191K/Imaging-mouse-whisking-using-an-event-camera/10.1117/12.3063718.short&amp;hl=en&amp;sa=X&amp;d=3841037459752833395&amp;ei=bljSaPaTNvaT6rQP1-ijgAo&amp;scisig=AAZF9b99FRU8mz4tafGqrCyliy6c&amp;oi=scholaralrt&amp;hist=v0_XxF0AAAAJ:13742027118377625026:AAZF9b802AK2JmjOJ6sFwAbOS06D&amp;html=&amp;pos=1&amp;folt=cit&amp;fols=" TargetMode="External"/><Relationship Id="rId772" Type="http://schemas.openxmlformats.org/officeDocument/2006/relationships/hyperlink" Target="https://arxiv.org/abs/2507.03365" TargetMode="External"/><Relationship Id="rId1365" Type="http://schemas.openxmlformats.org/officeDocument/2006/relationships/hyperlink" Target="https://doi.org/10.1109/ICIP.2014.7025834" TargetMode="External"/><Relationship Id="rId2696" Type="http://schemas.openxmlformats.org/officeDocument/2006/relationships/hyperlink" Target="https://scholar.google.es/scholar_url?url=https://www.spiedigitallibrary.org/conference-proceedings-of-spie/13619/136191T/PCA-tracking-filters-for-event-based-imager-measurements/10.1117/12.3063308.short&amp;hl=en&amp;sa=X&amp;d=10541979319464735552&amp;ei=bljSaPaTNvaT6rQP1-ijgAo&amp;scisig=AAZF9b87w6xAyI8R6e-QiF6676Bk&amp;oi=scholaralrt&amp;hist=v0_XxF0AAAAJ:13742027118377625026:AAZF9b802AK2JmjOJ6sFwAbOS06D&amp;html=&amp;pos=0&amp;folt=cit&amp;fols=" TargetMode="External"/><Relationship Id="rId771" Type="http://schemas.openxmlformats.org/officeDocument/2006/relationships/hyperlink" Target="https://arxiv.org/abs/2507.03184" TargetMode="External"/><Relationship Id="rId1366" Type="http://schemas.openxmlformats.org/officeDocument/2006/relationships/hyperlink" Target="https://doi.org/10.1109/ICIP.2016.7532523" TargetMode="External"/><Relationship Id="rId2697" Type="http://schemas.openxmlformats.org/officeDocument/2006/relationships/hyperlink" Target="https://scholar.google.es/scholar_url?url=https://www.spiedigitallibrary.org/conference-proceedings-of-spie/13669/136690B/Boundary-layer-turbulence-characterization-using-neuromorphic-cameras-and-passive-targets/10.1117/12.3069546.short&amp;hl=en&amp;sa=X&amp;d=1631002841537856154&amp;ei=X8wEab6LA97M6rQP173fsAE&amp;scisig=ABGrvjL9ZtwxIRkT3xYRA4HfCp7Z&amp;oi=scholaralrt&amp;hist=v0_XxF0AAAAJ:13742027118377625026:ABGrvjKBHUi6MFH_DtNclerNeAZe&amp;html=&amp;pos=3&amp;folt=cit&amp;fols=" TargetMode="External"/><Relationship Id="rId1390" Type="http://schemas.openxmlformats.org/officeDocument/2006/relationships/hyperlink" Target="https://doi.org/10.1109/ICRA.2017.7989517" TargetMode="External"/><Relationship Id="rId1391" Type="http://schemas.openxmlformats.org/officeDocument/2006/relationships/hyperlink" Target="https://doi.org/10.1109/ICRA.2018.8460541" TargetMode="External"/><Relationship Id="rId1392" Type="http://schemas.openxmlformats.org/officeDocument/2006/relationships/hyperlink" Target="https://doi.org/10.1109/ICRA.2019.8793924" TargetMode="External"/><Relationship Id="rId1393" Type="http://schemas.openxmlformats.org/officeDocument/2006/relationships/hyperlink" Target="https://doi.org/10.1109/ICRA40945.2020.9197046" TargetMode="External"/><Relationship Id="rId1394" Type="http://schemas.openxmlformats.org/officeDocument/2006/relationships/hyperlink" Target="https://doi.org/10.1109/ICRA46639.2022.9811805" TargetMode="External"/><Relationship Id="rId1395" Type="http://schemas.openxmlformats.org/officeDocument/2006/relationships/hyperlink" Target="https://doi.org/10.1109/ICRA48506.2021.9560881" TargetMode="External"/><Relationship Id="rId1396" Type="http://schemas.openxmlformats.org/officeDocument/2006/relationships/hyperlink" Target="https://doi.org/10.1109/ICRA48506.2021.9561741" TargetMode="External"/><Relationship Id="rId1397" Type="http://schemas.openxmlformats.org/officeDocument/2006/relationships/hyperlink" Target="https://doi.org/10.1109/ICRA48506.2021.9561755" TargetMode="External"/><Relationship Id="rId1398" Type="http://schemas.openxmlformats.org/officeDocument/2006/relationships/hyperlink" Target="https://doi.org/10.1109/ICRA48506.2021.9561760" TargetMode="External"/><Relationship Id="rId1399" Type="http://schemas.openxmlformats.org/officeDocument/2006/relationships/hyperlink" Target="https://doi.org/10.1109/ICRA48891.2023.10160472" TargetMode="External"/><Relationship Id="rId1389" Type="http://schemas.openxmlformats.org/officeDocument/2006/relationships/hyperlink" Target="https://doi.org/10.1109/ICRA.2014.6907270" TargetMode="External"/><Relationship Id="rId799" Type="http://schemas.openxmlformats.org/officeDocument/2006/relationships/hyperlink" Target="https://arxiv.org/abs/2508.17643" TargetMode="External"/><Relationship Id="rId798" Type="http://schemas.openxmlformats.org/officeDocument/2006/relationships/hyperlink" Target="https://arxiv.org/abs/2508.17537" TargetMode="External"/><Relationship Id="rId797" Type="http://schemas.openxmlformats.org/officeDocument/2006/relationships/hyperlink" Target="https://arxiv.org/abs/2508.14856" TargetMode="External"/><Relationship Id="rId1380" Type="http://schemas.openxmlformats.org/officeDocument/2006/relationships/hyperlink" Target="https://doi.org/10.1109/ICNSC62968.2024.10760193" TargetMode="External"/><Relationship Id="rId792" Type="http://schemas.openxmlformats.org/officeDocument/2006/relationships/hyperlink" Target="https://arxiv.org/abs/2508.07003" TargetMode="External"/><Relationship Id="rId1381" Type="http://schemas.openxmlformats.org/officeDocument/2006/relationships/hyperlink" Target="https://doi.org/10.1109/ICONS62911.2024.00026" TargetMode="External"/><Relationship Id="rId791" Type="http://schemas.openxmlformats.org/officeDocument/2006/relationships/hyperlink" Target="https://arxiv.org/abs/2508.05507" TargetMode="External"/><Relationship Id="rId1382" Type="http://schemas.openxmlformats.org/officeDocument/2006/relationships/hyperlink" Target="https://doi.org/10.1109/ICONS62911.2024.00033" TargetMode="External"/><Relationship Id="rId790" Type="http://schemas.openxmlformats.org/officeDocument/2006/relationships/hyperlink" Target="https://arxiv.org/abs/2508.04564" TargetMode="External"/><Relationship Id="rId1383" Type="http://schemas.openxmlformats.org/officeDocument/2006/relationships/hyperlink" Target="https://doi.org/10.1109/ICONS69015.2025.00015" TargetMode="External"/><Relationship Id="rId1384" Type="http://schemas.openxmlformats.org/officeDocument/2006/relationships/hyperlink" Target="https://doi.org/10.1109/ICONS69015.2025.00030" TargetMode="External"/><Relationship Id="rId796" Type="http://schemas.openxmlformats.org/officeDocument/2006/relationships/hyperlink" Target="https://arxiv.org/abs/2508.14682" TargetMode="External"/><Relationship Id="rId1385" Type="http://schemas.openxmlformats.org/officeDocument/2006/relationships/hyperlink" Target="https://doi.org/10.1109/ICPADS67057.2025.11323098" TargetMode="External"/><Relationship Id="rId795" Type="http://schemas.openxmlformats.org/officeDocument/2006/relationships/hyperlink" Target="https://arxiv.org/abs/2508.11640" TargetMode="External"/><Relationship Id="rId1386" Type="http://schemas.openxmlformats.org/officeDocument/2006/relationships/hyperlink" Target="https://doi.org/10.1109/ICPR48806.2021.9413238" TargetMode="External"/><Relationship Id="rId794" Type="http://schemas.openxmlformats.org/officeDocument/2006/relationships/hyperlink" Target="https://arxiv.org/abs/2508.10582" TargetMode="External"/><Relationship Id="rId1387" Type="http://schemas.openxmlformats.org/officeDocument/2006/relationships/hyperlink" Target="https://doi.org/10.1109/ICRA.2014.6906882" TargetMode="External"/><Relationship Id="rId793" Type="http://schemas.openxmlformats.org/officeDocument/2006/relationships/hyperlink" Target="https://arxiv.org/abs/2508.07401" TargetMode="External"/><Relationship Id="rId1388" Type="http://schemas.openxmlformats.org/officeDocument/2006/relationships/hyperlink" Target="https://doi.org/10.1109/ICRA.2014.6906931" TargetMode="External"/><Relationship Id="rId2700" Type="http://schemas.openxmlformats.org/officeDocument/2006/relationships/hyperlink" Target="https://scholar.google.es/scholar_url?url=https://www.spiedigitallibrary.org/conference-proceedings-of-spie/13680/1368002/Pushing-the-boundaries-of-depth-perception-stereoscopic-event-cameras/10.1117/12.3077255.short&amp;hl=en&amp;sa=X&amp;d=10246944739925261347&amp;ei=XswEaZm9JIGpieoP_8jXuAM&amp;scisig=ABGrvjLmXjqHwrd2FJVb3ZJFLT0W&amp;oi=scholaralrt&amp;hist=v0_XxF0AAAAJ:198837818532394236:ABGrvjKnZpEfMdl4uRMBXNBmd2F5&amp;html=&amp;pos=2&amp;folt=rel&amp;fols=" TargetMode="External"/><Relationship Id="rId2701" Type="http://schemas.openxmlformats.org/officeDocument/2006/relationships/hyperlink" Target="https://scholar.google.es/scholar_url?url=https://www.spiedigitallibrary.org/journals/optical-engineering/volume-62/issue-03/031209/High-temporal-resolution-event-based-vehicle-detection-and-tracking/10.1117/1.OE.62.3.031209.full&amp;hl=en&amp;sa=X&amp;d=9045930420932067919&amp;ei=L6ymYxXOk8sEjYeZqA4&amp;scisig=AAGBfm2QiYUXtnjElVST6obKG34_F9OWzA&amp;oi=scholaralrt&amp;hist=v0_XxF0AAAAJ:13742027118377625026:AAGBfm3UjufN_devjhEx0oELtR65UjD64A&amp;html=&amp;pos=2&amp;folt=cit&amp;fols=" TargetMode="External"/><Relationship Id="rId2702" Type="http://schemas.openxmlformats.org/officeDocument/2006/relationships/hyperlink" Target="https://scholar.google.es/scholar_url?url=https://www.techrxiv.org/doi/pdf/10.36227/techrxiv.173152542.28624013&amp;hl=en&amp;sa=X&amp;d=2826346790953945447&amp;ei=LyVAZ9CcHMCI6rQPnq62wQE&amp;scisig=AFWwaebCGOtJi7-xf-mVArZcvKiJ&amp;oi=scholaralrt&amp;hist=v0_XxF0AAAAJ:13742027118377625026:AFWwaebUHLr8wRJ2PrQQIxHyeXqg&amp;html=&amp;pos=3&amp;folt=cit&amp;fols=" TargetMode="External"/><Relationship Id="rId2703" Type="http://schemas.openxmlformats.org/officeDocument/2006/relationships/hyperlink" Target="https://scholar.google.es/scholar_url?url=https://www.techrxiv.org/doi/pdf/10.36227/techrxiv.176153335.54330585&amp;hl=en&amp;sa=X&amp;d=15992039319318487103&amp;ei=-2MIafFO3diJ6g_u7MHJDw&amp;scisig=ABGrvjImntWJGk2o85J6pQZb9hEe&amp;oi=scholaralrt&amp;hist=v0_XxF0AAAAJ:13742027118377625026:ABGrvjKBHUi6MFH_DtNclerNeAZe&amp;html=&amp;pos=1&amp;folt=cit&amp;fols=" TargetMode="External"/><Relationship Id="rId2704" Type="http://schemas.openxmlformats.org/officeDocument/2006/relationships/hyperlink" Target="https://scholarworks.unist.ac.kr/bitstream/201301/65665/1/200000694536.pdf" TargetMode="External"/><Relationship Id="rId2705" Type="http://schemas.openxmlformats.org/officeDocument/2006/relationships/hyperlink" Target="https://ses.library.usyd.edu.au/handle/2123/32716" TargetMode="External"/><Relationship Id="rId2706" Type="http://schemas.openxmlformats.org/officeDocument/2006/relationships/hyperlink" Target="https://sites.google.com/connect.hku.hk/hku-arclab-evio/home" TargetMode="External"/><Relationship Id="rId2707" Type="http://schemas.openxmlformats.org/officeDocument/2006/relationships/hyperlink" Target="https://sites.google.com/view/dgbicra2019-vivid/" TargetMode="External"/><Relationship Id="rId2708" Type="http://schemas.openxmlformats.org/officeDocument/2006/relationships/hyperlink" Target="https://sites.google.com/view/guillermogallego/teaching/bio-inspired-computer-vision" TargetMode="External"/><Relationship Id="rId2709" Type="http://schemas.openxmlformats.org/officeDocument/2006/relationships/hyperlink" Target="https://sites.google.com/view/guillermogallego/teaching/event-based-robot-vision" TargetMode="External"/><Relationship Id="rId2720" Type="http://schemas.openxmlformats.org/officeDocument/2006/relationships/hyperlink" Target="https://tesidottorato.depositolegale.it/bitstream/20.500.14242/71453/1/thesis.pdf" TargetMode="External"/><Relationship Id="rId2721" Type="http://schemas.openxmlformats.org/officeDocument/2006/relationships/hyperlink" Target="https://thenextweb.com/news/intel-unveils-neuromorphic-approach-to-interactive-continual-learning-robots" TargetMode="External"/><Relationship Id="rId2722" Type="http://schemas.openxmlformats.org/officeDocument/2006/relationships/hyperlink" Target="https://theses.hal.science/tel-03885136/document" TargetMode="External"/><Relationship Id="rId2723" Type="http://schemas.openxmlformats.org/officeDocument/2006/relationships/hyperlink" Target="https://thesis.unipd.it/bitstream/20.500.12608/94282/1/Zanin_Matteo.pdf" TargetMode="External"/><Relationship Id="rId2724" Type="http://schemas.openxmlformats.org/officeDocument/2006/relationships/hyperlink" Target="https://thesis.unipd.it/retrieve/6d9f7867-b5c5-443f-9e91-fa83c977ed5f/Trevisanuto_Giovanni.pdf" TargetMode="External"/><Relationship Id="rId2725" Type="http://schemas.openxmlformats.org/officeDocument/2006/relationships/hyperlink" Target="https://trid.trb.org/view/2031315" TargetMode="External"/><Relationship Id="rId2726" Type="http://schemas.openxmlformats.org/officeDocument/2006/relationships/hyperlink" Target="https://tub-rip.github.io/eventpenguins/" TargetMode="External"/><Relationship Id="rId2727" Type="http://schemas.openxmlformats.org/officeDocument/2006/relationships/hyperlink" Target="https://tub-rip.github.io/eventvision2021/papers/2021CVPRW_A_Cortically-inspired_Architecture_for_Event-based_Visual_Motion_Processing.pdf" TargetMode="External"/><Relationship Id="rId2728" Type="http://schemas.openxmlformats.org/officeDocument/2006/relationships/hyperlink" Target="https://tub-rip.github.io/eventvision2021/papers/2021CVPRW_Comparing_Representations_in_Tracking_for_Event_Camera-based_SLAM.pdf" TargetMode="External"/><Relationship Id="rId2729" Type="http://schemas.openxmlformats.org/officeDocument/2006/relationships/hyperlink" Target="https://tub-rip.github.io/eventvision2021/papers/2021CVPRW_Detecting_Stable_Keypoints_from_Events_through_Image_Gradient_Prediction.pdf" TargetMode="External"/><Relationship Id="rId2710" Type="http://schemas.openxmlformats.org/officeDocument/2006/relationships/hyperlink" Target="https://sites.google.com/view/neurobots2025" TargetMode="External"/><Relationship Id="rId2711" Type="http://schemas.openxmlformats.org/officeDocument/2006/relationships/hyperlink" Target="https://sites.google.com/view/nevi-2025/home-page" TargetMode="External"/><Relationship Id="rId2712" Type="http://schemas.openxmlformats.org/officeDocument/2006/relationships/hyperlink" Target="https://smartroboticslab.github.io/SuperEvent/" TargetMode="External"/><Relationship Id="rId2713" Type="http://schemas.openxmlformats.org/officeDocument/2006/relationships/hyperlink" Target="https://spectra.mathpix.com/article/2022.03.00339/event-camera-the-next-generation-of-visual-perception-system" TargetMode="External"/><Relationship Id="rId2714" Type="http://schemas.openxmlformats.org/officeDocument/2006/relationships/hyperlink" Target="https://spie.org/photonics-west/event/vision-tech-event-based-session-neuromorphic-sensing-in-motion-from-event-based-vision-to-adaptive-intelligence/7101335" TargetMode="External"/><Relationship Id="rId2715" Type="http://schemas.openxmlformats.org/officeDocument/2006/relationships/hyperlink" Target="https://spie.org/spie-sensors-imaging/presentation/End-to-end-multicamera-event-image-stitching-and-object-detection/13673-19" TargetMode="External"/><Relationship Id="rId2716" Type="http://schemas.openxmlformats.org/officeDocument/2006/relationships/hyperlink" Target="https://spj.science.org/doi/10.34133/research.0330" TargetMode="External"/><Relationship Id="rId2717" Type="http://schemas.openxmlformats.org/officeDocument/2006/relationships/hyperlink" Target="https://star-datasets.github.io/vector/" TargetMode="External"/><Relationship Id="rId2718" Type="http://schemas.openxmlformats.org/officeDocument/2006/relationships/hyperlink" Target="https://sydneyid.github.io/sun_e_proj/" TargetMode="External"/><Relationship Id="rId2719" Type="http://schemas.openxmlformats.org/officeDocument/2006/relationships/hyperlink" Target="https://tengminggui.cn/publication/eccv22/" TargetMode="External"/><Relationship Id="rId1455" Type="http://schemas.openxmlformats.org/officeDocument/2006/relationships/hyperlink" Target="https://doi.org/10.1109/IROS.2018.8593805" TargetMode="External"/><Relationship Id="rId2786" Type="http://schemas.openxmlformats.org/officeDocument/2006/relationships/hyperlink" Target="https://www.arxiv.org/abs/2506.06596" TargetMode="External"/><Relationship Id="rId1456" Type="http://schemas.openxmlformats.org/officeDocument/2006/relationships/hyperlink" Target="https://doi.org/10.1109/IROS.2018.8594119" TargetMode="External"/><Relationship Id="rId2787" Type="http://schemas.openxmlformats.org/officeDocument/2006/relationships/hyperlink" Target="https://www.arxiv.org/abs/2506.16436" TargetMode="External"/><Relationship Id="rId1457" Type="http://schemas.openxmlformats.org/officeDocument/2006/relationships/hyperlink" Target="https://doi.org/10.1109/IROS40897.2019.8967943" TargetMode="External"/><Relationship Id="rId2788" Type="http://schemas.openxmlformats.org/officeDocument/2006/relationships/hyperlink" Target="https://www.arxiv.org/abs/2506.17457" TargetMode="External"/><Relationship Id="rId1458" Type="http://schemas.openxmlformats.org/officeDocument/2006/relationships/hyperlink" Target="https://doi.org/10.1109/IROS47612.2022.9981249" TargetMode="External"/><Relationship Id="rId2789" Type="http://schemas.openxmlformats.org/officeDocument/2006/relationships/hyperlink" Target="https://www.arxiv.org/abs/2506.19416" TargetMode="External"/><Relationship Id="rId1459" Type="http://schemas.openxmlformats.org/officeDocument/2006/relationships/hyperlink" Target="https://doi.org/10.1109/IROS51168.2021.9635834" TargetMode="External"/><Relationship Id="rId629" Type="http://schemas.openxmlformats.org/officeDocument/2006/relationships/hyperlink" Target="https://arxiv.org/abs/2412.06647" TargetMode="External"/><Relationship Id="rId624" Type="http://schemas.openxmlformats.org/officeDocument/2006/relationships/hyperlink" Target="https://arxiv.org/abs/2412.03259" TargetMode="External"/><Relationship Id="rId623" Type="http://schemas.openxmlformats.org/officeDocument/2006/relationships/hyperlink" Target="https://arxiv.org/abs/2412.03136" TargetMode="External"/><Relationship Id="rId622" Type="http://schemas.openxmlformats.org/officeDocument/2006/relationships/hyperlink" Target="https://arxiv.org/abs/2412.03093" TargetMode="External"/><Relationship Id="rId621" Type="http://schemas.openxmlformats.org/officeDocument/2006/relationships/hyperlink" Target="https://arxiv.org/abs/2412.02890" TargetMode="External"/><Relationship Id="rId628" Type="http://schemas.openxmlformats.org/officeDocument/2006/relationships/hyperlink" Target="https://arxiv.org/abs/2412.06359" TargetMode="External"/><Relationship Id="rId627" Type="http://schemas.openxmlformats.org/officeDocument/2006/relationships/hyperlink" Target="https://arxiv.org/abs/2412.06191" TargetMode="External"/><Relationship Id="rId626" Type="http://schemas.openxmlformats.org/officeDocument/2006/relationships/hyperlink" Target="https://arxiv.org/abs/2412.05053" TargetMode="External"/><Relationship Id="rId625" Type="http://schemas.openxmlformats.org/officeDocument/2006/relationships/hyperlink" Target="https://arxiv.org/abs/2412.04149" TargetMode="External"/><Relationship Id="rId2780" Type="http://schemas.openxmlformats.org/officeDocument/2006/relationships/hyperlink" Target="https://www.arxiv.org/abs/2503.17262" TargetMode="External"/><Relationship Id="rId1450" Type="http://schemas.openxmlformats.org/officeDocument/2006/relationships/hyperlink" Target="https://doi.org/10.1109/IROS.2016.7758089" TargetMode="External"/><Relationship Id="rId2781" Type="http://schemas.openxmlformats.org/officeDocument/2006/relationships/hyperlink" Target="https://www.arxiv.org/abs/2505.03448" TargetMode="External"/><Relationship Id="rId620" Type="http://schemas.openxmlformats.org/officeDocument/2006/relationships/hyperlink" Target="https://arxiv.org/abs/2412.01747" TargetMode="External"/><Relationship Id="rId1451" Type="http://schemas.openxmlformats.org/officeDocument/2006/relationships/hyperlink" Target="https://doi.org/10.1109/IROS.2016.7759345" TargetMode="External"/><Relationship Id="rId2782" Type="http://schemas.openxmlformats.org/officeDocument/2006/relationships/hyperlink" Target="https://www.arxiv.org/abs/2505.09529" TargetMode="External"/><Relationship Id="rId1452" Type="http://schemas.openxmlformats.org/officeDocument/2006/relationships/hyperlink" Target="https://doi.org/10.1109/IROS.2016.7759610" TargetMode="External"/><Relationship Id="rId2783" Type="http://schemas.openxmlformats.org/officeDocument/2006/relationships/hyperlink" Target="https://www.arxiv.org/abs/2505.16797" TargetMode="External"/><Relationship Id="rId1453" Type="http://schemas.openxmlformats.org/officeDocument/2006/relationships/hyperlink" Target="https://doi.org/10.1109/IROS.2017.8206226" TargetMode="External"/><Relationship Id="rId2784" Type="http://schemas.openxmlformats.org/officeDocument/2006/relationships/hyperlink" Target="https://www.arxiv.org/abs/2505.24401" TargetMode="External"/><Relationship Id="rId1454" Type="http://schemas.openxmlformats.org/officeDocument/2006/relationships/hyperlink" Target="https://doi.org/10.1109/IROS.2018.8593380" TargetMode="External"/><Relationship Id="rId2785" Type="http://schemas.openxmlformats.org/officeDocument/2006/relationships/hyperlink" Target="https://www.arxiv.org/abs/2506.03918" TargetMode="External"/><Relationship Id="rId1444" Type="http://schemas.openxmlformats.org/officeDocument/2006/relationships/hyperlink" Target="https://doi.org/10.1109/INDIN64977.2025.11279189" TargetMode="External"/><Relationship Id="rId2775" Type="http://schemas.openxmlformats.org/officeDocument/2006/relationships/hyperlink" Target="https://www.arxiv.org/abs/2502.05086" TargetMode="External"/><Relationship Id="rId1445" Type="http://schemas.openxmlformats.org/officeDocument/2006/relationships/hyperlink" Target="https://doi.org/10.1109/INFOCOM52122.2024.10621101" TargetMode="External"/><Relationship Id="rId2776" Type="http://schemas.openxmlformats.org/officeDocument/2006/relationships/hyperlink" Target="https://www.arxiv.org/abs/2502.05574" TargetMode="External"/><Relationship Id="rId1446" Type="http://schemas.openxmlformats.org/officeDocument/2006/relationships/hyperlink" Target="https://doi.org/10.1109/IPAS63548.2025.10924544" TargetMode="External"/><Relationship Id="rId2777" Type="http://schemas.openxmlformats.org/officeDocument/2006/relationships/hyperlink" Target="https://www.arxiv.org/abs/2503.00167" TargetMode="External"/><Relationship Id="rId1447" Type="http://schemas.openxmlformats.org/officeDocument/2006/relationships/hyperlink" Target="https://doi.org/10.1109/IPPR66507.2025.11198564" TargetMode="External"/><Relationship Id="rId2778" Type="http://schemas.openxmlformats.org/officeDocument/2006/relationships/hyperlink" Target="https://www.arxiv.org/abs/2503.00377" TargetMode="External"/><Relationship Id="rId1448" Type="http://schemas.openxmlformats.org/officeDocument/2006/relationships/hyperlink" Target="https://doi.org/10.1109/IPTA59101.2023.10320008" TargetMode="External"/><Relationship Id="rId2779" Type="http://schemas.openxmlformats.org/officeDocument/2006/relationships/hyperlink" Target="https://www.arxiv.org/abs/2503.11226" TargetMode="External"/><Relationship Id="rId1449" Type="http://schemas.openxmlformats.org/officeDocument/2006/relationships/hyperlink" Target="https://doi.org/10.1109/IROS.2014.6942940" TargetMode="External"/><Relationship Id="rId619" Type="http://schemas.openxmlformats.org/officeDocument/2006/relationships/hyperlink" Target="https://arxiv.org/abs/2411.18597" TargetMode="External"/><Relationship Id="rId618" Type="http://schemas.openxmlformats.org/officeDocument/2006/relationships/hyperlink" Target="https://arxiv.org/abs/2411.18328" TargetMode="External"/><Relationship Id="rId613" Type="http://schemas.openxmlformats.org/officeDocument/2006/relationships/hyperlink" Target="https://arxiv.org/abs/2411.13945" TargetMode="External"/><Relationship Id="rId612" Type="http://schemas.openxmlformats.org/officeDocument/2006/relationships/hyperlink" Target="https://arxiv.org/abs/2411.13108" TargetMode="External"/><Relationship Id="rId611" Type="http://schemas.openxmlformats.org/officeDocument/2006/relationships/hyperlink" Target="https://arxiv.org/abs/2411.12603" TargetMode="External"/><Relationship Id="rId610" Type="http://schemas.openxmlformats.org/officeDocument/2006/relationships/hyperlink" Target="https://arxiv.org/abs/2411.12250" TargetMode="External"/><Relationship Id="rId617" Type="http://schemas.openxmlformats.org/officeDocument/2006/relationships/hyperlink" Target="https://arxiv.org/abs/2411.17006" TargetMode="External"/><Relationship Id="rId616" Type="http://schemas.openxmlformats.org/officeDocument/2006/relationships/hyperlink" Target="https://arxiv.org/abs/2411.16440" TargetMode="External"/><Relationship Id="rId615" Type="http://schemas.openxmlformats.org/officeDocument/2006/relationships/hyperlink" Target="https://arxiv.org/abs/2411.16180" TargetMode="External"/><Relationship Id="rId614" Type="http://schemas.openxmlformats.org/officeDocument/2006/relationships/hyperlink" Target="https://arxiv.org/abs/2411.15276" TargetMode="External"/><Relationship Id="rId2770" Type="http://schemas.openxmlformats.org/officeDocument/2006/relationships/hyperlink" Target="https://www.arxiv.org/abs/2409.03358" TargetMode="External"/><Relationship Id="rId1440" Type="http://schemas.openxmlformats.org/officeDocument/2006/relationships/hyperlink" Target="https://doi.org/10.1109/IJCNN64981.2025.11228029" TargetMode="External"/><Relationship Id="rId2771" Type="http://schemas.openxmlformats.org/officeDocument/2006/relationships/hyperlink" Target="https://www.arxiv.org/abs/2409.10213" TargetMode="External"/><Relationship Id="rId1441" Type="http://schemas.openxmlformats.org/officeDocument/2006/relationships/hyperlink" Target="https://doi.org/10.1109/IJCNN64981.2025.11228097" TargetMode="External"/><Relationship Id="rId2772" Type="http://schemas.openxmlformats.org/officeDocument/2006/relationships/hyperlink" Target="https://www.arxiv.org/abs/2409.19356" TargetMode="External"/><Relationship Id="rId1442" Type="http://schemas.openxmlformats.org/officeDocument/2006/relationships/hyperlink" Target="https://doi.org/10.1109/IJCNN64981.2025.11229414" TargetMode="External"/><Relationship Id="rId2773" Type="http://schemas.openxmlformats.org/officeDocument/2006/relationships/hyperlink" Target="https://www.arxiv.org/abs/2501.00741" TargetMode="External"/><Relationship Id="rId1443" Type="http://schemas.openxmlformats.org/officeDocument/2006/relationships/hyperlink" Target="https://doi.org/10.1109/INDICON56171.2022.10039894" TargetMode="External"/><Relationship Id="rId2774" Type="http://schemas.openxmlformats.org/officeDocument/2006/relationships/hyperlink" Target="https://www.arxiv.org/abs/2501.00838" TargetMode="External"/><Relationship Id="rId1477" Type="http://schemas.openxmlformats.org/officeDocument/2006/relationships/hyperlink" Target="https://doi.org/10.1109/IROS58592.2024.10801824" TargetMode="External"/><Relationship Id="rId1478" Type="http://schemas.openxmlformats.org/officeDocument/2006/relationships/hyperlink" Target="https://doi.org/10.1109/IROS58592.2024.10802491" TargetMode="External"/><Relationship Id="rId1479" Type="http://schemas.openxmlformats.org/officeDocument/2006/relationships/hyperlink" Target="https://doi.org/10.1109/IROS60139.2025.11245865" TargetMode="External"/><Relationship Id="rId646" Type="http://schemas.openxmlformats.org/officeDocument/2006/relationships/hyperlink" Target="https://arxiv.org/abs/2501.07230" TargetMode="External"/><Relationship Id="rId645" Type="http://schemas.openxmlformats.org/officeDocument/2006/relationships/hyperlink" Target="https://arxiv.org/abs/2501.03874" TargetMode="External"/><Relationship Id="rId644" Type="http://schemas.openxmlformats.org/officeDocument/2006/relationships/hyperlink" Target="https://arxiv.org/abs/2501.02807" TargetMode="External"/><Relationship Id="rId643" Type="http://schemas.openxmlformats.org/officeDocument/2006/relationships/hyperlink" Target="https://arxiv.org/abs/2501.01040" TargetMode="External"/><Relationship Id="rId649" Type="http://schemas.openxmlformats.org/officeDocument/2006/relationships/hyperlink" Target="https://arxiv.org/abs/2501.10425" TargetMode="External"/><Relationship Id="rId648" Type="http://schemas.openxmlformats.org/officeDocument/2006/relationships/hyperlink" Target="https://arxiv.org/abs/2501.10155" TargetMode="External"/><Relationship Id="rId647" Type="http://schemas.openxmlformats.org/officeDocument/2006/relationships/hyperlink" Target="https://arxiv.org/abs/2501.09396v1" TargetMode="External"/><Relationship Id="rId1470" Type="http://schemas.openxmlformats.org/officeDocument/2006/relationships/hyperlink" Target="https://doi.org/10.1109/IROS51168.2021.9636665" TargetMode="External"/><Relationship Id="rId1471" Type="http://schemas.openxmlformats.org/officeDocument/2006/relationships/hyperlink" Target="https://doi.org/10.1109/IROS51168.2021.9636718" TargetMode="External"/><Relationship Id="rId1472" Type="http://schemas.openxmlformats.org/officeDocument/2006/relationships/hyperlink" Target="https://doi.org/10.1109/IROS51168.2021.9636728" TargetMode="External"/><Relationship Id="rId642" Type="http://schemas.openxmlformats.org/officeDocument/2006/relationships/hyperlink" Target="https://arxiv.org/abs/2412.20803" TargetMode="External"/><Relationship Id="rId1473" Type="http://schemas.openxmlformats.org/officeDocument/2006/relationships/hyperlink" Target="https://doi.org/10.1109/IROS51168.2021.9636824" TargetMode="External"/><Relationship Id="rId641" Type="http://schemas.openxmlformats.org/officeDocument/2006/relationships/hyperlink" Target="https://arxiv.org/abs/2412.20064" TargetMode="External"/><Relationship Id="rId1474" Type="http://schemas.openxmlformats.org/officeDocument/2006/relationships/hyperlink" Target="https://doi.org/10.1109/IROS55552.2023.10342300" TargetMode="External"/><Relationship Id="rId640" Type="http://schemas.openxmlformats.org/officeDocument/2006/relationships/hyperlink" Target="https://arxiv.org/abs/2412.19646" TargetMode="External"/><Relationship Id="rId1475" Type="http://schemas.openxmlformats.org/officeDocument/2006/relationships/hyperlink" Target="https://doi.org/10.1109/IROS55552.2023.10342434" TargetMode="External"/><Relationship Id="rId1476" Type="http://schemas.openxmlformats.org/officeDocument/2006/relationships/hyperlink" Target="https://doi.org/10.1109/IROS55552.2023.10342437" TargetMode="External"/><Relationship Id="rId1466" Type="http://schemas.openxmlformats.org/officeDocument/2006/relationships/hyperlink" Target="https://doi.org/10.1109/IROS51168.2021.9636327" TargetMode="External"/><Relationship Id="rId2797" Type="http://schemas.openxmlformats.org/officeDocument/2006/relationships/hyperlink" Target="https://www.arxiv.org/abs/2508.09912" TargetMode="External"/><Relationship Id="rId1467" Type="http://schemas.openxmlformats.org/officeDocument/2006/relationships/hyperlink" Target="https://doi.org/10.1109/IROS51168.2021.9636398" TargetMode="External"/><Relationship Id="rId2798" Type="http://schemas.openxmlformats.org/officeDocument/2006/relationships/hyperlink" Target="https://www.arxiv.org/abs/2508.13244" TargetMode="External"/><Relationship Id="rId1468" Type="http://schemas.openxmlformats.org/officeDocument/2006/relationships/hyperlink" Target="https://doi.org/10.1109/IROS51168.2021.9636448" TargetMode="External"/><Relationship Id="rId2799" Type="http://schemas.openxmlformats.org/officeDocument/2006/relationships/hyperlink" Target="https://www.arxiv.org/abs/2509.05554" TargetMode="External"/><Relationship Id="rId1469" Type="http://schemas.openxmlformats.org/officeDocument/2006/relationships/hyperlink" Target="https://doi.org/10.1109/IROS51168.2021.9636506" TargetMode="External"/><Relationship Id="rId635" Type="http://schemas.openxmlformats.org/officeDocument/2006/relationships/hyperlink" Target="https://arxiv.org/abs/2412.12843" TargetMode="External"/><Relationship Id="rId634" Type="http://schemas.openxmlformats.org/officeDocument/2006/relationships/hyperlink" Target="https://arxiv.org/abs/2412.12525" TargetMode="External"/><Relationship Id="rId633" Type="http://schemas.openxmlformats.org/officeDocument/2006/relationships/hyperlink" Target="https://arxiv.org/abs/2412.07889" TargetMode="External"/><Relationship Id="rId632" Type="http://schemas.openxmlformats.org/officeDocument/2006/relationships/hyperlink" Target="https://arxiv.org/abs/2412.07761" TargetMode="External"/><Relationship Id="rId639" Type="http://schemas.openxmlformats.org/officeDocument/2006/relationships/hyperlink" Target="https://arxiv.org/abs/2412.19412" TargetMode="External"/><Relationship Id="rId638" Type="http://schemas.openxmlformats.org/officeDocument/2006/relationships/hyperlink" Target="https://arxiv.org/abs/2412.19067" TargetMode="External"/><Relationship Id="rId637" Type="http://schemas.openxmlformats.org/officeDocument/2006/relationships/hyperlink" Target="https://arxiv.org/abs/2412.14705" TargetMode="External"/><Relationship Id="rId636" Type="http://schemas.openxmlformats.org/officeDocument/2006/relationships/hyperlink" Target="https://arxiv.org/abs/2412.14111" TargetMode="External"/><Relationship Id="rId2790" Type="http://schemas.openxmlformats.org/officeDocument/2006/relationships/hyperlink" Target="https://www.arxiv.org/abs/2507.06247" TargetMode="External"/><Relationship Id="rId1460" Type="http://schemas.openxmlformats.org/officeDocument/2006/relationships/hyperlink" Target="https://doi.org/10.1109/IROS51168.2021.9635907" TargetMode="External"/><Relationship Id="rId2791" Type="http://schemas.openxmlformats.org/officeDocument/2006/relationships/hyperlink" Target="https://www.arxiv.org/abs/2507.07734" TargetMode="External"/><Relationship Id="rId1461" Type="http://schemas.openxmlformats.org/officeDocument/2006/relationships/hyperlink" Target="https://doi.org/10.1109/IROS51168.2021.9635975" TargetMode="External"/><Relationship Id="rId2792" Type="http://schemas.openxmlformats.org/officeDocument/2006/relationships/hyperlink" Target="https://www.arxiv.org/abs/2507.13659" TargetMode="External"/><Relationship Id="rId631" Type="http://schemas.openxmlformats.org/officeDocument/2006/relationships/hyperlink" Target="https://arxiv.org/abs/2412.07293" TargetMode="External"/><Relationship Id="rId1462" Type="http://schemas.openxmlformats.org/officeDocument/2006/relationships/hyperlink" Target="https://doi.org/10.1109/IROS51168.2021.9636109" TargetMode="External"/><Relationship Id="rId2793" Type="http://schemas.openxmlformats.org/officeDocument/2006/relationships/hyperlink" Target="https://www.arxiv.org/abs/2507.14500" TargetMode="External"/><Relationship Id="rId630" Type="http://schemas.openxmlformats.org/officeDocument/2006/relationships/hyperlink" Target="https://arxiv.org/abs/2412.06770" TargetMode="External"/><Relationship Id="rId1463" Type="http://schemas.openxmlformats.org/officeDocument/2006/relationships/hyperlink" Target="https://doi.org/10.1109/IROS51168.2021.9636307" TargetMode="External"/><Relationship Id="rId2794" Type="http://schemas.openxmlformats.org/officeDocument/2006/relationships/hyperlink" Target="https://www.arxiv.org/abs/2508.00913" TargetMode="External"/><Relationship Id="rId1464" Type="http://schemas.openxmlformats.org/officeDocument/2006/relationships/hyperlink" Target="https://doi.org/10.1109/IROS51168.2021.9636312" TargetMode="External"/><Relationship Id="rId2795" Type="http://schemas.openxmlformats.org/officeDocument/2006/relationships/hyperlink" Target="https://www.arxiv.org/abs/2508.02127" TargetMode="External"/><Relationship Id="rId1465" Type="http://schemas.openxmlformats.org/officeDocument/2006/relationships/hyperlink" Target="https://doi.org/10.1109/IROS51168.2021.9636315" TargetMode="External"/><Relationship Id="rId2796" Type="http://schemas.openxmlformats.org/officeDocument/2006/relationships/hyperlink" Target="https://www.arxiv.org/abs/2508.09466" TargetMode="External"/><Relationship Id="rId1411" Type="http://schemas.openxmlformats.org/officeDocument/2006/relationships/hyperlink" Target="https://doi.org/10.1109/ICRA57147.2024.10610116" TargetMode="External"/><Relationship Id="rId2742" Type="http://schemas.openxmlformats.org/officeDocument/2006/relationships/hyperlink" Target="https://tub-rip.github.io/eventvision2025" TargetMode="External"/><Relationship Id="rId1412" Type="http://schemas.openxmlformats.org/officeDocument/2006/relationships/hyperlink" Target="https://doi.org/10.1109/ICRA57147.2024.10610325" TargetMode="External"/><Relationship Id="rId2743" Type="http://schemas.openxmlformats.org/officeDocument/2006/relationships/hyperlink" Target="https://ui.adsabs.harvard.edu/link_gateway/2025NewCE...524014R/doi:10.1088/2634-4386/addc15" TargetMode="External"/><Relationship Id="rId1413" Type="http://schemas.openxmlformats.org/officeDocument/2006/relationships/hyperlink" Target="https://doi.org/10.1109/ICRA57147.2024.10610353" TargetMode="External"/><Relationship Id="rId2744" Type="http://schemas.openxmlformats.org/officeDocument/2006/relationships/hyperlink" Target="https://urn.kb.se/resolve?urn=urn%3Anbn%3Ase%3Akth%3Adiva-370478" TargetMode="External"/><Relationship Id="rId1414" Type="http://schemas.openxmlformats.org/officeDocument/2006/relationships/hyperlink" Target="https://doi.org/10.1109/ICRA57147.2024.10610608" TargetMode="External"/><Relationship Id="rId2745" Type="http://schemas.openxmlformats.org/officeDocument/2006/relationships/hyperlink" Target="https://utw10945.utweb.utexas.edu/sites/default/files/2024/124%20On%20the%20use%20of%20Event-Based%20Change%20Detection%20Neu.pdf" TargetMode="External"/><Relationship Id="rId1415" Type="http://schemas.openxmlformats.org/officeDocument/2006/relationships/hyperlink" Target="https://doi.org/10.1109/ICRA57147.2024.10610921" TargetMode="External"/><Relationship Id="rId2746" Type="http://schemas.openxmlformats.org/officeDocument/2006/relationships/hyperlink" Target="https://uu.diva-portal.org/smash/get/diva2:1803632/FULLTEXT01.pdf" TargetMode="External"/><Relationship Id="rId1416" Type="http://schemas.openxmlformats.org/officeDocument/2006/relationships/hyperlink" Target="https://doi.org/10.1109/ICRA57147.2024.10611033" TargetMode="External"/><Relationship Id="rId2747" Type="http://schemas.openxmlformats.org/officeDocument/2006/relationships/hyperlink" Target="https://uzh-rpg.github.io/timelens-pp/" TargetMode="External"/><Relationship Id="rId1417" Type="http://schemas.openxmlformats.org/officeDocument/2006/relationships/hyperlink" Target="https://doi.org/10.1109/ICRA57147.2024.10611231" TargetMode="External"/><Relationship Id="rId2748" Type="http://schemas.openxmlformats.org/officeDocument/2006/relationships/hyperlink" Target="https://vbrebion.github.io/RTEF/" TargetMode="External"/><Relationship Id="rId1418" Type="http://schemas.openxmlformats.org/officeDocument/2006/relationships/hyperlink" Target="https://doi.org/10.1109/ICRA57147.2024.10611439" TargetMode="External"/><Relationship Id="rId2749" Type="http://schemas.openxmlformats.org/officeDocument/2006/relationships/hyperlink" Target="https://vcai.mpi-inf.mpg.de/projects/colibri/" TargetMode="External"/><Relationship Id="rId1419" Type="http://schemas.openxmlformats.org/officeDocument/2006/relationships/hyperlink" Target="https://doi.org/10.1109/ICRA57147.2024.10611511" TargetMode="External"/><Relationship Id="rId2740" Type="http://schemas.openxmlformats.org/officeDocument/2006/relationships/hyperlink" Target="https://tub-rip.github.io/eventvision2021/papers/2021CVPRW_V2E_From_Video_Frames_to_Realistic_DVS_Events.pdf" TargetMode="External"/><Relationship Id="rId1410" Type="http://schemas.openxmlformats.org/officeDocument/2006/relationships/hyperlink" Target="https://doi.org/10.1109/ICRA57147.2024.10609864" TargetMode="External"/><Relationship Id="rId2741" Type="http://schemas.openxmlformats.org/officeDocument/2006/relationships/hyperlink" Target="https://tub-rip.github.io/eventvision2023/" TargetMode="External"/><Relationship Id="rId1400" Type="http://schemas.openxmlformats.org/officeDocument/2006/relationships/hyperlink" Target="https://doi.org/10.1109/ICRA48891.2023.10160605" TargetMode="External"/><Relationship Id="rId2731" Type="http://schemas.openxmlformats.org/officeDocument/2006/relationships/hyperlink" Target="https://tub-rip.github.io/eventvision2021/papers/2021CVPRW_DVS-OUTLAB_A_Neuromorphic_Event-Based_Long_Time_Monitoring_Dataset.pdf" TargetMode="External"/><Relationship Id="rId1401" Type="http://schemas.openxmlformats.org/officeDocument/2006/relationships/hyperlink" Target="https://doi.org/10.1109/ICRA48891.2023.10160967" TargetMode="External"/><Relationship Id="rId2732" Type="http://schemas.openxmlformats.org/officeDocument/2006/relationships/hyperlink" Target="https://tub-rip.github.io/eventvision2021/papers/2021CVPRW_EFI-Net_Video_Frame_Interpolation_from_Fusion_of_Events_and_Frames.pdf" TargetMode="External"/><Relationship Id="rId1402" Type="http://schemas.openxmlformats.org/officeDocument/2006/relationships/hyperlink" Target="https://doi.org/10.1109/ICRA48891.2023.10161098" TargetMode="External"/><Relationship Id="rId2733" Type="http://schemas.openxmlformats.org/officeDocument/2006/relationships/hyperlink" Target="https://tub-rip.github.io/eventvision2021/papers/2021CVPRW_Feedback_control_of_event_cameras.pdf" TargetMode="External"/><Relationship Id="rId1403" Type="http://schemas.openxmlformats.org/officeDocument/2006/relationships/hyperlink" Target="https://doi.org/10.1109/ICRA55743.2025.11127670" TargetMode="External"/><Relationship Id="rId2734" Type="http://schemas.openxmlformats.org/officeDocument/2006/relationships/hyperlink" Target="https://tub-rip.github.io/eventvision2021/papers/2021CVPRW_How_to_Calibrate_Your_Event_Camera.pdf" TargetMode="External"/><Relationship Id="rId1404" Type="http://schemas.openxmlformats.org/officeDocument/2006/relationships/hyperlink" Target="https://doi.org/10.1109/ICRA55743.2025.11127695" TargetMode="External"/><Relationship Id="rId2735" Type="http://schemas.openxmlformats.org/officeDocument/2006/relationships/hyperlink" Target="https://tub-rip.github.io/eventvision2021/papers/2021CVPRW_Image_Reconstruction_from_Neuromorphic_Event_Cameras_using_Laplacian-Prediction.pdf" TargetMode="External"/><Relationship Id="rId1405" Type="http://schemas.openxmlformats.org/officeDocument/2006/relationships/hyperlink" Target="https://doi.org/10.1109/ICRA55743.2025.11127812" TargetMode="External"/><Relationship Id="rId2736" Type="http://schemas.openxmlformats.org/officeDocument/2006/relationships/hyperlink" Target="https://tub-rip.github.io/eventvision2021/papers/2021CVPRW_Lifting_Monocular_Events_to_3D_Human_Poses.pdf" TargetMode="External"/><Relationship Id="rId1406" Type="http://schemas.openxmlformats.org/officeDocument/2006/relationships/hyperlink" Target="https://doi.org/10.1109/ICRA55743.2025.11127875" TargetMode="External"/><Relationship Id="rId2737" Type="http://schemas.openxmlformats.org/officeDocument/2006/relationships/hyperlink" Target="https://tub-rip.github.io/eventvision2021/papers/2021CVPRW_Live_Demonstration_Incremental_Motion_Estimation_for_Event-based_Cameras_by_Dispersion_Minimisation.pdf" TargetMode="External"/><Relationship Id="rId1407" Type="http://schemas.openxmlformats.org/officeDocument/2006/relationships/hyperlink" Target="https://doi.org/10.1109/ICRA55743.2025.11128155" TargetMode="External"/><Relationship Id="rId2738" Type="http://schemas.openxmlformats.org/officeDocument/2006/relationships/hyperlink" Target="https://tub-rip.github.io/eventvision2021/papers/2021CVPRW_N-ROD_A_Neuromorphic_Dataset_for_Synthetic-to-Real_Domain_Adaptation.pdf" TargetMode="External"/><Relationship Id="rId1408" Type="http://schemas.openxmlformats.org/officeDocument/2006/relationships/hyperlink" Target="https://doi.org/10.1109/ICRA55743.2025.11128164" TargetMode="External"/><Relationship Id="rId2739" Type="http://schemas.openxmlformats.org/officeDocument/2006/relationships/hyperlink" Target="https://tub-rip.github.io/eventvision2021/papers/2021CVPRW_Spike_timing-based_unsupervised_learning_of_orientation_disparity_and_motion_representations.pdf" TargetMode="External"/><Relationship Id="rId1409" Type="http://schemas.openxmlformats.org/officeDocument/2006/relationships/hyperlink" Target="https://doi.org/10.1109/ICRA55743.2025.11128605" TargetMode="External"/><Relationship Id="rId2730" Type="http://schemas.openxmlformats.org/officeDocument/2006/relationships/hyperlink" Target="https://tub-rip.github.io/eventvision2021/papers/2021CVPRW_Differentiable_Event_Stream_Simulator_for_Non-Rigid_3D_Tracking.pdf" TargetMode="External"/><Relationship Id="rId1433" Type="http://schemas.openxmlformats.org/officeDocument/2006/relationships/hyperlink" Target="https://doi.org/10.1109/IJCNN60899.2024.10650378" TargetMode="External"/><Relationship Id="rId2764" Type="http://schemas.openxmlformats.org/officeDocument/2006/relationships/hyperlink" Target="https://www.arxiv.org/abs/2408.08500" TargetMode="External"/><Relationship Id="rId1434" Type="http://schemas.openxmlformats.org/officeDocument/2006/relationships/hyperlink" Target="https://doi.org/10.1109/IJCNN60899.2024.10650426" TargetMode="External"/><Relationship Id="rId2765" Type="http://schemas.openxmlformats.org/officeDocument/2006/relationships/hyperlink" Target="https://www.arxiv.org/abs/2408.09454" TargetMode="External"/><Relationship Id="rId1435" Type="http://schemas.openxmlformats.org/officeDocument/2006/relationships/hyperlink" Target="https://doi.org/10.1109/IJCNN60899.2024.10650655" TargetMode="External"/><Relationship Id="rId2766" Type="http://schemas.openxmlformats.org/officeDocument/2006/relationships/hyperlink" Target="https://www.arxiv.org/abs/2408.09764" TargetMode="External"/><Relationship Id="rId1436" Type="http://schemas.openxmlformats.org/officeDocument/2006/relationships/hyperlink" Target="https://doi.org/10.1109/IJCNN60899.2024.10650679" TargetMode="External"/><Relationship Id="rId2767" Type="http://schemas.openxmlformats.org/officeDocument/2006/relationships/hyperlink" Target="https://www.arxiv.org/abs/2408.10487" TargetMode="External"/><Relationship Id="rId1437" Type="http://schemas.openxmlformats.org/officeDocument/2006/relationships/hyperlink" Target="https://doi.org/10.1109/IJCNN60899.2024.10650843" TargetMode="External"/><Relationship Id="rId2768" Type="http://schemas.openxmlformats.org/officeDocument/2006/relationships/hyperlink" Target="https://www.arxiv.org/abs/2408.14916" TargetMode="External"/><Relationship Id="rId1438" Type="http://schemas.openxmlformats.org/officeDocument/2006/relationships/hyperlink" Target="https://doi.org/10.1109/IJCNN60899.2024.10650870" TargetMode="External"/><Relationship Id="rId2769" Type="http://schemas.openxmlformats.org/officeDocument/2006/relationships/hyperlink" Target="https://www.arxiv.org/abs/2408.15663" TargetMode="External"/><Relationship Id="rId1439" Type="http://schemas.openxmlformats.org/officeDocument/2006/relationships/hyperlink" Target="https://doi.org/10.1109/IJCNN64981.2025.11227905" TargetMode="External"/><Relationship Id="rId609" Type="http://schemas.openxmlformats.org/officeDocument/2006/relationships/hyperlink" Target="https://arxiv.org/abs/2411.12175" TargetMode="External"/><Relationship Id="rId608" Type="http://schemas.openxmlformats.org/officeDocument/2006/relationships/hyperlink" Target="https://arxiv.org/abs/2411.11233" TargetMode="External"/><Relationship Id="rId607" Type="http://schemas.openxmlformats.org/officeDocument/2006/relationships/hyperlink" Target="https://arxiv.org/abs/2411.11004" TargetMode="External"/><Relationship Id="rId602" Type="http://schemas.openxmlformats.org/officeDocument/2006/relationships/hyperlink" Target="https://arxiv.org/abs/2410.23082" TargetMode="External"/><Relationship Id="rId601" Type="http://schemas.openxmlformats.org/officeDocument/2006/relationships/hyperlink" Target="https://arxiv.org/abs/2410.22280" TargetMode="External"/><Relationship Id="rId600" Type="http://schemas.openxmlformats.org/officeDocument/2006/relationships/hyperlink" Target="https://arxiv.org/abs/2410.21958" TargetMode="External"/><Relationship Id="rId606" Type="http://schemas.openxmlformats.org/officeDocument/2006/relationships/hyperlink" Target="https://arxiv.org/abs/2411.07155" TargetMode="External"/><Relationship Id="rId605" Type="http://schemas.openxmlformats.org/officeDocument/2006/relationships/hyperlink" Target="https://arxiv.org/abs/2411.03022" TargetMode="External"/><Relationship Id="rId604" Type="http://schemas.openxmlformats.org/officeDocument/2006/relationships/hyperlink" Target="https://arxiv.org/abs/2411.03010" TargetMode="External"/><Relationship Id="rId603" Type="http://schemas.openxmlformats.org/officeDocument/2006/relationships/hyperlink" Target="https://arxiv.org/abs/2411.00639" TargetMode="External"/><Relationship Id="rId2760" Type="http://schemas.openxmlformats.org/officeDocument/2006/relationships/hyperlink" Target="https://www.archives-ouvertes.fr/hal-01369653/" TargetMode="External"/><Relationship Id="rId1430" Type="http://schemas.openxmlformats.org/officeDocument/2006/relationships/hyperlink" Target="https://doi.org/10.1109/IJCNN60899.2024.10649964" TargetMode="External"/><Relationship Id="rId2761" Type="http://schemas.openxmlformats.org/officeDocument/2006/relationships/hyperlink" Target="https://www.arxiv.org/abs/2405.13389" TargetMode="External"/><Relationship Id="rId1431" Type="http://schemas.openxmlformats.org/officeDocument/2006/relationships/hyperlink" Target="https://doi.org/10.1109/IJCNN60899.2024.10650047" TargetMode="External"/><Relationship Id="rId2762" Type="http://schemas.openxmlformats.org/officeDocument/2006/relationships/hyperlink" Target="https://www.arxiv.org/abs/2408.01370" TargetMode="External"/><Relationship Id="rId1432" Type="http://schemas.openxmlformats.org/officeDocument/2006/relationships/hyperlink" Target="https://doi.org/10.1109/IJCNN60899.2024.10650320" TargetMode="External"/><Relationship Id="rId2763" Type="http://schemas.openxmlformats.org/officeDocument/2006/relationships/hyperlink" Target="https://www.arxiv.org/abs/2408.03225" TargetMode="External"/><Relationship Id="rId1422" Type="http://schemas.openxmlformats.org/officeDocument/2006/relationships/hyperlink" Target="https://doi.org/10.1109/ICUAS60882.2024.10557118" TargetMode="External"/><Relationship Id="rId2753" Type="http://schemas.openxmlformats.org/officeDocument/2006/relationships/hyperlink" Target="https://wisionlab.com/project/generalized-event-cameras/" TargetMode="External"/><Relationship Id="rId1423" Type="http://schemas.openxmlformats.org/officeDocument/2006/relationships/hyperlink" Target="https://doi.org/10.1109/ICUS66297.2025.11294255" TargetMode="External"/><Relationship Id="rId2754" Type="http://schemas.openxmlformats.org/officeDocument/2006/relationships/hyperlink" Target="https://www.aaai.org/AAAI22Papers/AAAI-1396.LiJ.pdf" TargetMode="External"/><Relationship Id="rId1424" Type="http://schemas.openxmlformats.org/officeDocument/2006/relationships/hyperlink" Target="https://doi.org/10.1109/IECON58223.2025.11221048" TargetMode="External"/><Relationship Id="rId2755" Type="http://schemas.openxmlformats.org/officeDocument/2006/relationships/hyperlink" Target="https://www.aaai.org/AAAI22Papers/AAAI-9968.JinzeC.pdf" TargetMode="External"/><Relationship Id="rId1425" Type="http://schemas.openxmlformats.org/officeDocument/2006/relationships/hyperlink" Target="https://doi.org/10.1109/IEEECONF60004.2024.10942764" TargetMode="External"/><Relationship Id="rId2756" Type="http://schemas.openxmlformats.org/officeDocument/2006/relationships/hyperlink" Target="https://www.aimodels.fyi/papers/arxiv/deblurring-neural-radiance-fields-event-driven-bundle" TargetMode="External"/><Relationship Id="rId1426" Type="http://schemas.openxmlformats.org/officeDocument/2006/relationships/hyperlink" Target="https://doi.org/10.1109/IEEECONF60004.2024.10943052" TargetMode="External"/><Relationship Id="rId2757" Type="http://schemas.openxmlformats.org/officeDocument/2006/relationships/hyperlink" Target="https://www.aimsciences.org//article/doi/10.3934/fods.2024026" TargetMode="External"/><Relationship Id="rId1427" Type="http://schemas.openxmlformats.org/officeDocument/2006/relationships/hyperlink" Target="https://doi.org/10.1109/IEEEDATA.2024.3485026" TargetMode="External"/><Relationship Id="rId2758" Type="http://schemas.openxmlformats.org/officeDocument/2006/relationships/hyperlink" Target="https://www.alphaxiv.org/abs/2412.19370" TargetMode="External"/><Relationship Id="rId1428" Type="http://schemas.openxmlformats.org/officeDocument/2006/relationships/hyperlink" Target="https://doi.org/10.1109/IJCNN52387.2021.9534106" TargetMode="External"/><Relationship Id="rId2759" Type="http://schemas.openxmlformats.org/officeDocument/2006/relationships/hyperlink" Target="https://www.anishbhattacharya.com/research/evdnerf" TargetMode="External"/><Relationship Id="rId1429" Type="http://schemas.openxmlformats.org/officeDocument/2006/relationships/hyperlink" Target="https://doi.org/10.1109/IJCNN60899.2024.10649943" TargetMode="External"/><Relationship Id="rId2750" Type="http://schemas.openxmlformats.org/officeDocument/2006/relationships/hyperlink" Target="https://webthesis.biblio.polito.it/29450/1/tesi.pdf" TargetMode="External"/><Relationship Id="rId1420" Type="http://schemas.openxmlformats.org/officeDocument/2006/relationships/hyperlink" Target="https://doi.org/10.1109/ICRA57147.2024.10611705" TargetMode="External"/><Relationship Id="rId2751" Type="http://schemas.openxmlformats.org/officeDocument/2006/relationships/hyperlink" Target="https://webthesis.biblio.polito.it/33163/1/tesi.pdf" TargetMode="External"/><Relationship Id="rId1421" Type="http://schemas.openxmlformats.org/officeDocument/2006/relationships/hyperlink" Target="https://doi.org/10.1109/ICTIS60134.2023.10243764" TargetMode="External"/><Relationship Id="rId2752" Type="http://schemas.openxmlformats.org/officeDocument/2006/relationships/hyperlink" Target="https://wires.onlinelibrary.wiley.com/doi/10.1002/widm.1310" TargetMode="External"/><Relationship Id="rId699" Type="http://schemas.openxmlformats.org/officeDocument/2006/relationships/hyperlink" Target="https://arxiv.org/abs/2503.22814" TargetMode="External"/><Relationship Id="rId698" Type="http://schemas.openxmlformats.org/officeDocument/2006/relationships/hyperlink" Target="https://arxiv.org/abs/2503.22491" TargetMode="External"/><Relationship Id="rId693" Type="http://schemas.openxmlformats.org/officeDocument/2006/relationships/hyperlink" Target="https://arxiv.org/abs/2503.18552" TargetMode="External"/><Relationship Id="rId692" Type="http://schemas.openxmlformats.org/officeDocument/2006/relationships/hyperlink" Target="https://arxiv.org/abs/2503.18341" TargetMode="External"/><Relationship Id="rId691" Type="http://schemas.openxmlformats.org/officeDocument/2006/relationships/hyperlink" Target="https://arxiv.org/abs/2503.17499" TargetMode="External"/><Relationship Id="rId690" Type="http://schemas.openxmlformats.org/officeDocument/2006/relationships/hyperlink" Target="https://arxiv.org/abs/2503.17132" TargetMode="External"/><Relationship Id="rId697" Type="http://schemas.openxmlformats.org/officeDocument/2006/relationships/hyperlink" Target="https://arxiv.org/abs/2503.20268" TargetMode="External"/><Relationship Id="rId696" Type="http://schemas.openxmlformats.org/officeDocument/2006/relationships/hyperlink" Target="https://arxiv.org/abs/2503.20101" TargetMode="External"/><Relationship Id="rId695" Type="http://schemas.openxmlformats.org/officeDocument/2006/relationships/hyperlink" Target="https://arxiv.org/abs/2503.19739" TargetMode="External"/><Relationship Id="rId694" Type="http://schemas.openxmlformats.org/officeDocument/2006/relationships/hyperlink" Target="https://arxiv.org/abs/2503.19721" TargetMode="External"/><Relationship Id="rId1499" Type="http://schemas.openxmlformats.org/officeDocument/2006/relationships/hyperlink" Target="https://doi.org/10.1109/ISCAS56072.2025.11044162" TargetMode="External"/><Relationship Id="rId668" Type="http://schemas.openxmlformats.org/officeDocument/2006/relationships/hyperlink" Target="https://arxiv.org/abs/2502.18490" TargetMode="External"/><Relationship Id="rId667" Type="http://schemas.openxmlformats.org/officeDocument/2006/relationships/hyperlink" Target="https://arxiv.org/abs/2502.14992" TargetMode="External"/><Relationship Id="rId666" Type="http://schemas.openxmlformats.org/officeDocument/2006/relationships/hyperlink" Target="https://arxiv.org/abs/2502.14273" TargetMode="External"/><Relationship Id="rId665" Type="http://schemas.openxmlformats.org/officeDocument/2006/relationships/hyperlink" Target="https://arxiv.org/abs/2502.12975" TargetMode="External"/><Relationship Id="rId669" Type="http://schemas.openxmlformats.org/officeDocument/2006/relationships/hyperlink" Target="https://arxiv.org/abs/2502.19630" TargetMode="External"/><Relationship Id="rId1490" Type="http://schemas.openxmlformats.org/officeDocument/2006/relationships/hyperlink" Target="https://doi.org/10.1109/ISAS61044.2024.10552496" TargetMode="External"/><Relationship Id="rId660" Type="http://schemas.openxmlformats.org/officeDocument/2006/relationships/hyperlink" Target="https://arxiv.org/abs/2502.05938" TargetMode="External"/><Relationship Id="rId1491" Type="http://schemas.openxmlformats.org/officeDocument/2006/relationships/hyperlink" Target="https://doi.org/10.1109/ISCAS48785.2022.9937472" TargetMode="External"/><Relationship Id="rId1492" Type="http://schemas.openxmlformats.org/officeDocument/2006/relationships/hyperlink" Target="https://doi.org/10.1109/ISCAS51556.2021.9401313" TargetMode="External"/><Relationship Id="rId1493" Type="http://schemas.openxmlformats.org/officeDocument/2006/relationships/hyperlink" Target="https://doi.org/10.1109/ISCAS56072.2025.11043186" TargetMode="External"/><Relationship Id="rId1494" Type="http://schemas.openxmlformats.org/officeDocument/2006/relationships/hyperlink" Target="https://doi.org/10.1109/ISCAS56072.2025.11043213" TargetMode="External"/><Relationship Id="rId664" Type="http://schemas.openxmlformats.org/officeDocument/2006/relationships/hyperlink" Target="https://arxiv.org/abs/2502.12113" TargetMode="External"/><Relationship Id="rId1495" Type="http://schemas.openxmlformats.org/officeDocument/2006/relationships/hyperlink" Target="https://doi.org/10.1109/ISCAS56072.2025.11043247" TargetMode="External"/><Relationship Id="rId663" Type="http://schemas.openxmlformats.org/officeDocument/2006/relationships/hyperlink" Target="https://arxiv.org/abs/2502.09020" TargetMode="External"/><Relationship Id="rId1496" Type="http://schemas.openxmlformats.org/officeDocument/2006/relationships/hyperlink" Target="https://doi.org/10.1109/ISCAS56072.2025.11043507" TargetMode="External"/><Relationship Id="rId662" Type="http://schemas.openxmlformats.org/officeDocument/2006/relationships/hyperlink" Target="https://arxiv.org/abs/2502.06747" TargetMode="External"/><Relationship Id="rId1497" Type="http://schemas.openxmlformats.org/officeDocument/2006/relationships/hyperlink" Target="https://doi.org/10.1109/ISCAS56072.2025.11043673" TargetMode="External"/><Relationship Id="rId661" Type="http://schemas.openxmlformats.org/officeDocument/2006/relationships/hyperlink" Target="https://arxiv.org/abs/2502.06116" TargetMode="External"/><Relationship Id="rId1498" Type="http://schemas.openxmlformats.org/officeDocument/2006/relationships/hyperlink" Target="https://doi.org/10.1109/ISCAS56072.2025.11043887" TargetMode="External"/><Relationship Id="rId1488" Type="http://schemas.openxmlformats.org/officeDocument/2006/relationships/hyperlink" Target="https://doi.org/10.1109/IROS60139.2025.11247467" TargetMode="External"/><Relationship Id="rId1489" Type="http://schemas.openxmlformats.org/officeDocument/2006/relationships/hyperlink" Target="https://doi.org/10.1109/IROS60139.2025.11247662" TargetMode="External"/><Relationship Id="rId657" Type="http://schemas.openxmlformats.org/officeDocument/2006/relationships/hyperlink" Target="https://arxiv.org/abs/2501.19259" TargetMode="External"/><Relationship Id="rId656" Type="http://schemas.openxmlformats.org/officeDocument/2006/relationships/hyperlink" Target="https://arxiv.org/abs/2501.19174" TargetMode="External"/><Relationship Id="rId655" Type="http://schemas.openxmlformats.org/officeDocument/2006/relationships/hyperlink" Target="https://arxiv.org/abs/2501.19129" TargetMode="External"/><Relationship Id="rId654" Type="http://schemas.openxmlformats.org/officeDocument/2006/relationships/hyperlink" Target="https://arxiv.org/abs/2501.18788" TargetMode="External"/><Relationship Id="rId659" Type="http://schemas.openxmlformats.org/officeDocument/2006/relationships/hyperlink" Target="https://arxiv.org/abs/2502.03285" TargetMode="External"/><Relationship Id="rId658" Type="http://schemas.openxmlformats.org/officeDocument/2006/relationships/hyperlink" Target="https://arxiv.org/abs/2502.00749" TargetMode="External"/><Relationship Id="rId1480" Type="http://schemas.openxmlformats.org/officeDocument/2006/relationships/hyperlink" Target="https://doi.org/10.1109/IROS60139.2025.11246028" TargetMode="External"/><Relationship Id="rId1481" Type="http://schemas.openxmlformats.org/officeDocument/2006/relationships/hyperlink" Target="https://doi.org/10.1109/IROS60139.2025.11246288" TargetMode="External"/><Relationship Id="rId1482" Type="http://schemas.openxmlformats.org/officeDocument/2006/relationships/hyperlink" Target="https://doi.org/10.1109/IROS60139.2025.11246424" TargetMode="External"/><Relationship Id="rId1483" Type="http://schemas.openxmlformats.org/officeDocument/2006/relationships/hyperlink" Target="https://doi.org/10.1109/IROS60139.2025.11246955" TargetMode="External"/><Relationship Id="rId653" Type="http://schemas.openxmlformats.org/officeDocument/2006/relationships/hyperlink" Target="https://arxiv.org/abs/2501.15808" TargetMode="External"/><Relationship Id="rId1484" Type="http://schemas.openxmlformats.org/officeDocument/2006/relationships/hyperlink" Target="https://doi.org/10.1109/IROS60139.2025.11246985" TargetMode="External"/><Relationship Id="rId652" Type="http://schemas.openxmlformats.org/officeDocument/2006/relationships/hyperlink" Target="https://arxiv.org/abs/2501.12482v1" TargetMode="External"/><Relationship Id="rId1485" Type="http://schemas.openxmlformats.org/officeDocument/2006/relationships/hyperlink" Target="https://doi.org/10.1109/IROS60139.2025.11247196" TargetMode="External"/><Relationship Id="rId651" Type="http://schemas.openxmlformats.org/officeDocument/2006/relationships/hyperlink" Target="https://arxiv.org/abs/2501.11971" TargetMode="External"/><Relationship Id="rId1486" Type="http://schemas.openxmlformats.org/officeDocument/2006/relationships/hyperlink" Target="https://doi.org/10.1109/IROS60139.2025.11247230" TargetMode="External"/><Relationship Id="rId650" Type="http://schemas.openxmlformats.org/officeDocument/2006/relationships/hyperlink" Target="https://arxiv.org/abs/2501.11554" TargetMode="External"/><Relationship Id="rId1487" Type="http://schemas.openxmlformats.org/officeDocument/2006/relationships/hyperlink" Target="https://doi.org/10.1109/IROS60139.2025.11247390" TargetMode="External"/><Relationship Id="rId689" Type="http://schemas.openxmlformats.org/officeDocument/2006/relationships/hyperlink" Target="https://arxiv.org/abs/2503.16134" TargetMode="External"/><Relationship Id="rId688" Type="http://schemas.openxmlformats.org/officeDocument/2006/relationships/hyperlink" Target="https://arxiv.org/abs/2503.16012" TargetMode="External"/><Relationship Id="rId687" Type="http://schemas.openxmlformats.org/officeDocument/2006/relationships/hyperlink" Target="https://arxiv.org/abs/2503.15883" TargetMode="External"/><Relationship Id="rId682" Type="http://schemas.openxmlformats.org/officeDocument/2006/relationships/hyperlink" Target="https://arxiv.org/abs/2503.09754" TargetMode="External"/><Relationship Id="rId681" Type="http://schemas.openxmlformats.org/officeDocument/2006/relationships/hyperlink" Target="https://arxiv.org/abs/2503.09636" TargetMode="External"/><Relationship Id="rId680" Type="http://schemas.openxmlformats.org/officeDocument/2006/relationships/hyperlink" Target="https://arxiv.org/abs/2503.08703" TargetMode="External"/><Relationship Id="rId686" Type="http://schemas.openxmlformats.org/officeDocument/2006/relationships/hyperlink" Target="https://arxiv.org/abs/2503.12905" TargetMode="External"/><Relationship Id="rId685" Type="http://schemas.openxmlformats.org/officeDocument/2006/relationships/hyperlink" Target="https://arxiv.org/abs/2503.12419" TargetMode="External"/><Relationship Id="rId684" Type="http://schemas.openxmlformats.org/officeDocument/2006/relationships/hyperlink" Target="https://arxiv.org/abs/2503.10195" TargetMode="External"/><Relationship Id="rId683" Type="http://schemas.openxmlformats.org/officeDocument/2006/relationships/hyperlink" Target="https://arxiv.org/abs/2503.09985" TargetMode="External"/><Relationship Id="rId679" Type="http://schemas.openxmlformats.org/officeDocument/2006/relationships/hyperlink" Target="https://arxiv.org/abs/2503.07825" TargetMode="External"/><Relationship Id="rId678" Type="http://schemas.openxmlformats.org/officeDocument/2006/relationships/hyperlink" Target="https://arxiv.org/abs/2503.06992" TargetMode="External"/><Relationship Id="rId677" Type="http://schemas.openxmlformats.org/officeDocument/2006/relationships/hyperlink" Target="https://arxiv.org/abs/2503.06934" TargetMode="External"/><Relationship Id="rId676" Type="http://schemas.openxmlformats.org/officeDocument/2006/relationships/hyperlink" Target="https://arxiv.org/abs/2503.06484" TargetMode="External"/><Relationship Id="rId671" Type="http://schemas.openxmlformats.org/officeDocument/2006/relationships/hyperlink" Target="https://arxiv.org/abs/2503.01193" TargetMode="External"/><Relationship Id="rId670" Type="http://schemas.openxmlformats.org/officeDocument/2006/relationships/hyperlink" Target="https://arxiv.org/abs/2502.21120" TargetMode="External"/><Relationship Id="rId675" Type="http://schemas.openxmlformats.org/officeDocument/2006/relationships/hyperlink" Target="https://arxiv.org/abs/2503.03307" TargetMode="External"/><Relationship Id="rId674" Type="http://schemas.openxmlformats.org/officeDocument/2006/relationships/hyperlink" Target="https://arxiv.org/abs/2503.03256" TargetMode="External"/><Relationship Id="rId673" Type="http://schemas.openxmlformats.org/officeDocument/2006/relationships/hyperlink" Target="https://arxiv.org/abs/2503.02484" TargetMode="External"/><Relationship Id="rId672" Type="http://schemas.openxmlformats.org/officeDocument/2006/relationships/hyperlink" Target="https://arxiv.org/abs/2503.01214" TargetMode="External"/><Relationship Id="rId190" Type="http://schemas.openxmlformats.org/officeDocument/2006/relationships/hyperlink" Target="https://arxiv.org/abs/2101.10371" TargetMode="External"/><Relationship Id="rId194" Type="http://schemas.openxmlformats.org/officeDocument/2006/relationships/hyperlink" Target="https://arxiv.org/abs/2102.12823" TargetMode="External"/><Relationship Id="rId193" Type="http://schemas.openxmlformats.org/officeDocument/2006/relationships/hyperlink" Target="https://arxiv.org/abs/2102.11916" TargetMode="External"/><Relationship Id="rId192" Type="http://schemas.openxmlformats.org/officeDocument/2006/relationships/hyperlink" Target="https://arxiv.org/abs/2102.08145" TargetMode="External"/><Relationship Id="rId191" Type="http://schemas.openxmlformats.org/officeDocument/2006/relationships/hyperlink" Target="https://arxiv.org/abs/2101.11251" TargetMode="External"/><Relationship Id="rId187" Type="http://schemas.openxmlformats.org/officeDocument/2006/relationships/hyperlink" Target="https://arxiv.org/abs/2012.05590" TargetMode="External"/><Relationship Id="rId186" Type="http://schemas.openxmlformats.org/officeDocument/2006/relationships/hyperlink" Target="https://arxiv.org/abs/2012.05214" TargetMode="External"/><Relationship Id="rId185" Type="http://schemas.openxmlformats.org/officeDocument/2006/relationships/hyperlink" Target="https://arxiv.org/abs/2011.09427" TargetMode="External"/><Relationship Id="rId184" Type="http://schemas.openxmlformats.org/officeDocument/2006/relationships/hyperlink" Target="https://arxiv.org/abs/2010.15509" TargetMode="External"/><Relationship Id="rId189" Type="http://schemas.openxmlformats.org/officeDocument/2006/relationships/hyperlink" Target="https://arxiv.org/abs/2012.09378" TargetMode="External"/><Relationship Id="rId188" Type="http://schemas.openxmlformats.org/officeDocument/2006/relationships/hyperlink" Target="https://arxiv.org/abs/2012.08730" TargetMode="External"/><Relationship Id="rId183" Type="http://schemas.openxmlformats.org/officeDocument/2006/relationships/hyperlink" Target="https://arxiv.org/abs/2010.15507" TargetMode="External"/><Relationship Id="rId182" Type="http://schemas.openxmlformats.org/officeDocument/2006/relationships/hyperlink" Target="https://arxiv.org/abs/2010.08350" TargetMode="External"/><Relationship Id="rId181" Type="http://schemas.openxmlformats.org/officeDocument/2006/relationships/hyperlink" Target="https://arxiv.org/abs/2009.13436" TargetMode="External"/><Relationship Id="rId180" Type="http://schemas.openxmlformats.org/officeDocument/2006/relationships/hyperlink" Target="https://arxiv.org/abs/2009.11044" TargetMode="External"/><Relationship Id="rId176" Type="http://schemas.openxmlformats.org/officeDocument/2006/relationships/hyperlink" Target="https://arxiv.org/abs/2009.00855" TargetMode="External"/><Relationship Id="rId175" Type="http://schemas.openxmlformats.org/officeDocument/2006/relationships/hyperlink" Target="https://arxiv.org/abs/2007.08336" TargetMode="External"/><Relationship Id="rId174" Type="http://schemas.openxmlformats.org/officeDocument/2006/relationships/hyperlink" Target="https://arxiv.org/abs/2004.13652" TargetMode="External"/><Relationship Id="rId173" Type="http://schemas.openxmlformats.org/officeDocument/2006/relationships/hyperlink" Target="https://arxiv.org/abs/2004.03156" TargetMode="External"/><Relationship Id="rId179" Type="http://schemas.openxmlformats.org/officeDocument/2006/relationships/hyperlink" Target="https://arxiv.org/abs/2009.08283" TargetMode="External"/><Relationship Id="rId178" Type="http://schemas.openxmlformats.org/officeDocument/2006/relationships/hyperlink" Target="https://arxiv.org/abs/2009.08020" TargetMode="External"/><Relationship Id="rId177" Type="http://schemas.openxmlformats.org/officeDocument/2006/relationships/hyperlink" Target="https://arxiv.org/abs/2009.07083" TargetMode="External"/><Relationship Id="rId198" Type="http://schemas.openxmlformats.org/officeDocument/2006/relationships/hyperlink" Target="https://arxiv.org/abs/2103.10592" TargetMode="External"/><Relationship Id="rId197" Type="http://schemas.openxmlformats.org/officeDocument/2006/relationships/hyperlink" Target="https://arxiv.org/abs/2103.05955" TargetMode="External"/><Relationship Id="rId196" Type="http://schemas.openxmlformats.org/officeDocument/2006/relationships/hyperlink" Target="https://arxiv.org/abs/2103.02376" TargetMode="External"/><Relationship Id="rId195" Type="http://schemas.openxmlformats.org/officeDocument/2006/relationships/hyperlink" Target="https://arxiv.org/abs/2103.00806" TargetMode="External"/><Relationship Id="rId199" Type="http://schemas.openxmlformats.org/officeDocument/2006/relationships/hyperlink" Target="https://arxiv.org/abs/2103.11645" TargetMode="External"/><Relationship Id="rId150" Type="http://schemas.openxmlformats.org/officeDocument/2006/relationships/hyperlink" Target="https://apps.dtic.mil/sti/trecms/pdf/AD1219229.pdf" TargetMode="External"/><Relationship Id="rId149" Type="http://schemas.openxmlformats.org/officeDocument/2006/relationships/hyperlink" Target="https://apps.dtic.mil/sti/tr/pdf/AD1116489.pdf" TargetMode="External"/><Relationship Id="rId148" Type="http://schemas.openxmlformats.org/officeDocument/2006/relationships/hyperlink" Target="https://apps.dtic.mil/sti/pdfs/AD1170138.pdf" TargetMode="External"/><Relationship Id="rId143" Type="http://schemas.openxmlformats.org/officeDocument/2006/relationships/hyperlink" Target="https://apps.dtic.mil/sti/citations/AD1102920" TargetMode="External"/><Relationship Id="rId142" Type="http://schemas.openxmlformats.org/officeDocument/2006/relationships/hyperlink" Target="https://amt.copernicus.org/articles/17/335/2024/" TargetMode="External"/><Relationship Id="rId141" Type="http://schemas.openxmlformats.org/officeDocument/2006/relationships/hyperlink" Target="https://amostech.com/TechnicalPapers/2022/Poster/Tinch.pdf" TargetMode="External"/><Relationship Id="rId140" Type="http://schemas.openxmlformats.org/officeDocument/2006/relationships/hyperlink" Target="https://amostech.com/TechnicalPapers/2022/Optical-Systems_Instrumentation/Oliver.pdf" TargetMode="External"/><Relationship Id="rId147" Type="http://schemas.openxmlformats.org/officeDocument/2006/relationships/hyperlink" Target="https://apps.dtic.mil/sti/pdfs/AD1116559.pdf" TargetMode="External"/><Relationship Id="rId146" Type="http://schemas.openxmlformats.org/officeDocument/2006/relationships/hyperlink" Target="https://apps.dtic.mil/sti/citations/AD1158545" TargetMode="External"/><Relationship Id="rId145" Type="http://schemas.openxmlformats.org/officeDocument/2006/relationships/hyperlink" Target="https://apps.dtic.mil/sti/citations/AD1129088" TargetMode="External"/><Relationship Id="rId144" Type="http://schemas.openxmlformats.org/officeDocument/2006/relationships/hyperlink" Target="https://apps.dtic.mil/sti/citations/AD1116489" TargetMode="External"/><Relationship Id="rId139" Type="http://schemas.openxmlformats.org/officeDocument/2006/relationships/hyperlink" Target="https://addi.ehu.es/bitstream/handle/10810/75434/TFM%20BotanaJorge.pdf?sequence=2&amp;isAllowed=y" TargetMode="External"/><Relationship Id="rId138" Type="http://schemas.openxmlformats.org/officeDocument/2006/relationships/hyperlink" Target="https://accedacris.ulpgc.es/handle/10553/118706" TargetMode="External"/><Relationship Id="rId137" Type="http://schemas.openxmlformats.org/officeDocument/2006/relationships/hyperlink" Target="https://4dqv.mpi-inf.mpg.de/Ev4DGS/" TargetMode="External"/><Relationship Id="rId132" Type="http://schemas.openxmlformats.org/officeDocument/2006/relationships/hyperlink" Target="http://www.roboticsproceedings.org/rss13/p35.pdf" TargetMode="External"/><Relationship Id="rId131" Type="http://schemas.openxmlformats.org/officeDocument/2006/relationships/hyperlink" Target="http://www.lidarhumanmotion.net/reli11d/" TargetMode="External"/><Relationship Id="rId130" Type="http://schemas.openxmlformats.org/officeDocument/2006/relationships/hyperlink" Target="http://www.eurecom.fr/en/publication/7789" TargetMode="External"/><Relationship Id="rId136" Type="http://schemas.openxmlformats.org/officeDocument/2006/relationships/hyperlink" Target="https://4dqv.mpi-inf.mpg.de/E3DGS/" TargetMode="External"/><Relationship Id="rId135" Type="http://schemas.openxmlformats.org/officeDocument/2006/relationships/hyperlink" Target="http://www.roboticsproceedings.org/rss17/p074.pdf" TargetMode="External"/><Relationship Id="rId134" Type="http://schemas.openxmlformats.org/officeDocument/2006/relationships/hyperlink" Target="http://www.roboticsproceedings.org/rss15/p45.html" TargetMode="External"/><Relationship Id="rId133" Type="http://schemas.openxmlformats.org/officeDocument/2006/relationships/hyperlink" Target="http://www.roboticsproceedings.org/rss14/p62.pdf" TargetMode="External"/><Relationship Id="rId172" Type="http://schemas.openxmlformats.org/officeDocument/2006/relationships/hyperlink" Target="https://arxiv.org/abs/2004.00801" TargetMode="External"/><Relationship Id="rId171" Type="http://schemas.openxmlformats.org/officeDocument/2006/relationships/hyperlink" Target="https://arxiv.org/abs/2003.12680" TargetMode="External"/><Relationship Id="rId170" Type="http://schemas.openxmlformats.org/officeDocument/2006/relationships/hyperlink" Target="https://arxiv.org/abs/2003.10959" TargetMode="External"/><Relationship Id="rId165" Type="http://schemas.openxmlformats.org/officeDocument/2006/relationships/hyperlink" Target="https://arxiv.org/abs/1912.01196" TargetMode="External"/><Relationship Id="rId164" Type="http://schemas.openxmlformats.org/officeDocument/2006/relationships/hyperlink" Target="https://arxiv.org/abs/1908.11618" TargetMode="External"/><Relationship Id="rId163" Type="http://schemas.openxmlformats.org/officeDocument/2006/relationships/hyperlink" Target="https://arxiv.org/abs/1906.10925" TargetMode="External"/><Relationship Id="rId162" Type="http://schemas.openxmlformats.org/officeDocument/2006/relationships/hyperlink" Target="https://arxiv.org/abs/1903.11332" TargetMode="External"/><Relationship Id="rId169" Type="http://schemas.openxmlformats.org/officeDocument/2006/relationships/hyperlink" Target="https://arxiv.org/abs/2003.09078" TargetMode="External"/><Relationship Id="rId168" Type="http://schemas.openxmlformats.org/officeDocument/2006/relationships/hyperlink" Target="https://arxiv.org/abs/2003.08282" TargetMode="External"/><Relationship Id="rId167" Type="http://schemas.openxmlformats.org/officeDocument/2006/relationships/hyperlink" Target="https://arxiv.org/abs/2003.06696" TargetMode="External"/><Relationship Id="rId166" Type="http://schemas.openxmlformats.org/officeDocument/2006/relationships/hyperlink" Target="https://arxiv.org/abs/2001.03455" TargetMode="External"/><Relationship Id="rId161" Type="http://schemas.openxmlformats.org/officeDocument/2006/relationships/hyperlink" Target="https://arxiv.org/abs/1903.07520" TargetMode="External"/><Relationship Id="rId160" Type="http://schemas.openxmlformats.org/officeDocument/2006/relationships/hyperlink" Target="https://arxiv.org/abs/1811.10180" TargetMode="External"/><Relationship Id="rId159" Type="http://schemas.openxmlformats.org/officeDocument/2006/relationships/hyperlink" Target="https://arxiv.org/abs/1811.08230" TargetMode="External"/><Relationship Id="rId154" Type="http://schemas.openxmlformats.org/officeDocument/2006/relationships/hyperlink" Target="https://arc.aiaa.org/doi/abs/10.2514/6.2024-2795" TargetMode="External"/><Relationship Id="rId153" Type="http://schemas.openxmlformats.org/officeDocument/2006/relationships/hyperlink" Target="https://arc.aiaa.org/doi/abs/10.2514/6.2024-2663" TargetMode="External"/><Relationship Id="rId152" Type="http://schemas.openxmlformats.org/officeDocument/2006/relationships/hyperlink" Target="https://arc.aiaa.org/doi/abs/10.2514/6.2024-2492" TargetMode="External"/><Relationship Id="rId151" Type="http://schemas.openxmlformats.org/officeDocument/2006/relationships/hyperlink" Target="https://arc.aiaa.org/doi/abs/10.2514/1.J064591" TargetMode="External"/><Relationship Id="rId158" Type="http://schemas.openxmlformats.org/officeDocument/2006/relationships/hyperlink" Target="https://arxiv.org/abs/1810.08646" TargetMode="External"/><Relationship Id="rId157" Type="http://schemas.openxmlformats.org/officeDocument/2006/relationships/hyperlink" Target="https://arxiv.org/abs/1807.09480" TargetMode="External"/><Relationship Id="rId156" Type="http://schemas.openxmlformats.org/officeDocument/2006/relationships/hyperlink" Target="https://arxiv.org/abs/1803.09025" TargetMode="External"/><Relationship Id="rId155" Type="http://schemas.openxmlformats.org/officeDocument/2006/relationships/hyperlink" Target="https://arc.aiaa.org/doi/pdf/10.2514/6.2024-2659" TargetMode="External"/><Relationship Id="rId2820" Type="http://schemas.openxmlformats.org/officeDocument/2006/relationships/hyperlink" Target="https://www.bmvc2021-virtualconference.com/assets/papers/0877.pdf" TargetMode="External"/><Relationship Id="rId2821" Type="http://schemas.openxmlformats.org/officeDocument/2006/relationships/hyperlink" Target="https://www.computer.org/csdl/journal/tp/5555/01/09962797/1IxvT5j9TeU" TargetMode="External"/><Relationship Id="rId2822" Type="http://schemas.openxmlformats.org/officeDocument/2006/relationships/hyperlink" Target="https://www.computer.org/csdl/pds/api/csdl/proceedings/download-article/1FWm8Ll0qty/pdf" TargetMode="External"/><Relationship Id="rId2823" Type="http://schemas.openxmlformats.org/officeDocument/2006/relationships/hyperlink" Target="https://www.computer.org/csdl/proceedings-article/icme/2024/10687719/20F0h274DkY" TargetMode="External"/><Relationship Id="rId2824" Type="http://schemas.openxmlformats.org/officeDocument/2006/relationships/hyperlink" Target="https://www.computer.org/csdl/proceedings-article/ismar-adjunct/2025/934700a608/2bKciXy0yOs" TargetMode="External"/><Relationship Id="rId2825" Type="http://schemas.openxmlformats.org/officeDocument/2006/relationships/hyperlink" Target="https://www.cs.toronto.edu/~lindell/teaching/2529/past_projects/2022/report/martin.pdf" TargetMode="External"/><Relationship Id="rId2826" Type="http://schemas.openxmlformats.org/officeDocument/2006/relationships/hyperlink" Target="https://www.cs.umd.edu/content/all-focus-imaging-dynamic-scenes-event-based-focal-stack" TargetMode="External"/><Relationship Id="rId2827" Type="http://schemas.openxmlformats.org/officeDocument/2006/relationships/hyperlink" Target="https://www.darpa.mil/research/programs/fast-event-based-neuromorphic-camera-and-electronics" TargetMode="External"/><Relationship Id="rId2828" Type="http://schemas.openxmlformats.org/officeDocument/2006/relationships/hyperlink" Target="https://www.dbpia.co.kr/journal/articleDetail?nodeId=NODE11398228&amp;nodeId=NODE11398228&amp;medaTypeCode=185005&amp;language=ko_KR&amp;hasTopBanner=true" TargetMode="External"/><Relationship Id="rId2829" Type="http://schemas.openxmlformats.org/officeDocument/2006/relationships/hyperlink" Target="https://www.designboom.com/technology/paragraphica-lensless-camera-ai-06-08-2023" TargetMode="External"/><Relationship Id="rId2810" Type="http://schemas.openxmlformats.org/officeDocument/2006/relationships/hyperlink" Target="https://www.awerobotics.com/machine-learning-techniques-for-robot-navigation" TargetMode="External"/><Relationship Id="rId2811" Type="http://schemas.openxmlformats.org/officeDocument/2006/relationships/hyperlink" Target="https://www.beneluxmeeting.nl/2025/uploads/papers/bmsc2025_416.pdf" TargetMode="External"/><Relationship Id="rId2812" Type="http://schemas.openxmlformats.org/officeDocument/2006/relationships/hyperlink" Target="https://www.biorxiv.org/content/10.1101/2022.07.22.501162v1" TargetMode="External"/><Relationship Id="rId2813" Type="http://schemas.openxmlformats.org/officeDocument/2006/relationships/hyperlink" Target="https://www.biorxiv.org/content/10.1101/2023.07.06.548044v1" TargetMode="External"/><Relationship Id="rId2814" Type="http://schemas.openxmlformats.org/officeDocument/2006/relationships/hyperlink" Target="https://www.biorxiv.org/content/10.1101/2025.03.25.645190v1" TargetMode="External"/><Relationship Id="rId2815" Type="http://schemas.openxmlformats.org/officeDocument/2006/relationships/hyperlink" Target="https://www.biorxiv.org/content/10.1101/2025.11.01.685972v1.full.pdf" TargetMode="External"/><Relationship Id="rId2816" Type="http://schemas.openxmlformats.org/officeDocument/2006/relationships/hyperlink" Target="https://www.biorxiv.org/content/10.64898/2026.01.08.698496v1.full.pdf" TargetMode="External"/><Relationship Id="rId2817" Type="http://schemas.openxmlformats.org/officeDocument/2006/relationships/hyperlink" Target="https://www.bmvc2020-conference.com/conference/papers/paper_0366.html" TargetMode="External"/><Relationship Id="rId2818" Type="http://schemas.openxmlformats.org/officeDocument/2006/relationships/hyperlink" Target="https://www.bmvc2020-conference.com/conference/papers/paper_0744.html" TargetMode="External"/><Relationship Id="rId2819" Type="http://schemas.openxmlformats.org/officeDocument/2006/relationships/hyperlink" Target="https://www.bmvc2021-virtualconference.com/assets/papers/0126.pdf" TargetMode="External"/><Relationship Id="rId1510" Type="http://schemas.openxmlformats.org/officeDocument/2006/relationships/hyperlink" Target="https://doi.org/10.1109/JIOT.2025.3644346" TargetMode="External"/><Relationship Id="rId2841" Type="http://schemas.openxmlformats.org/officeDocument/2006/relationships/hyperlink" Target="https://www.ecva.net/papers/eccv_2022/papers_ECCV/papers/136670571.pdf" TargetMode="External"/><Relationship Id="rId1511" Type="http://schemas.openxmlformats.org/officeDocument/2006/relationships/hyperlink" Target="https://doi.org/10.1109/JPROC.2024.3429360" TargetMode="External"/><Relationship Id="rId2842" Type="http://schemas.openxmlformats.org/officeDocument/2006/relationships/hyperlink" Target="https://www.ecva.net/papers/eccv_2022/papers_ECCV/papers/136840211.pdf" TargetMode="External"/><Relationship Id="rId1512" Type="http://schemas.openxmlformats.org/officeDocument/2006/relationships/hyperlink" Target="https://doi.org/10.1109/JSEN.2023.3237754" TargetMode="External"/><Relationship Id="rId2843" Type="http://schemas.openxmlformats.org/officeDocument/2006/relationships/hyperlink" Target="https://www.ecva.net/papers/eccv_2024/papers_ECCV/papers/00069.pdf" TargetMode="External"/><Relationship Id="rId1513" Type="http://schemas.openxmlformats.org/officeDocument/2006/relationships/hyperlink" Target="https://doi.org/10.1109/JSEN.2023.3257329" TargetMode="External"/><Relationship Id="rId2844" Type="http://schemas.openxmlformats.org/officeDocument/2006/relationships/hyperlink" Target="https://www.ecva.net/papers/eccv_2024/papers_ECCV/papers/02323.pdf" TargetMode="External"/><Relationship Id="rId1514" Type="http://schemas.openxmlformats.org/officeDocument/2006/relationships/hyperlink" Target="https://doi.org/10.1109/JSEN.2024.3349432" TargetMode="External"/><Relationship Id="rId2845" Type="http://schemas.openxmlformats.org/officeDocument/2006/relationships/hyperlink" Target="https://www.ecva.net/papers/eccv_2024/papers_ECCV/papers/05843.pdf" TargetMode="External"/><Relationship Id="rId1515" Type="http://schemas.openxmlformats.org/officeDocument/2006/relationships/hyperlink" Target="https://doi.org/10.1109/JSEN.2024.3392973" TargetMode="External"/><Relationship Id="rId2846" Type="http://schemas.openxmlformats.org/officeDocument/2006/relationships/hyperlink" Target="https://www.ecva.net/papers/eccv_2024/papers_ECCV/papers/06110.pdf" TargetMode="External"/><Relationship Id="rId1516" Type="http://schemas.openxmlformats.org/officeDocument/2006/relationships/hyperlink" Target="https://doi.org/10.1109/JSEN.2024.3411088" TargetMode="External"/><Relationship Id="rId2847" Type="http://schemas.openxmlformats.org/officeDocument/2006/relationships/hyperlink" Target="https://www.ecva.net/papers/eccv_2024/papers_ECCV/papers/06299.pdf" TargetMode="External"/><Relationship Id="rId1517" Type="http://schemas.openxmlformats.org/officeDocument/2006/relationships/hyperlink" Target="https://doi.org/10.1109/JSEN.2024.3454153" TargetMode="External"/><Relationship Id="rId2848" Type="http://schemas.openxmlformats.org/officeDocument/2006/relationships/hyperlink" Target="https://www.ecva.net/papers/eccv_2024/papers_ECCV/papers/07037.pdf" TargetMode="External"/><Relationship Id="rId1518" Type="http://schemas.openxmlformats.org/officeDocument/2006/relationships/hyperlink" Target="https://doi.org/10.1109/JSEN.2024.3504289" TargetMode="External"/><Relationship Id="rId2849" Type="http://schemas.openxmlformats.org/officeDocument/2006/relationships/hyperlink" Target="https://www.ecva.net/papers/eccv_2024/papers_ECCV/papers/07674.pdf" TargetMode="External"/><Relationship Id="rId1519" Type="http://schemas.openxmlformats.org/officeDocument/2006/relationships/hyperlink" Target="https://doi.org/10.1109/JSEN.2024.3510374" TargetMode="External"/><Relationship Id="rId2840" Type="http://schemas.openxmlformats.org/officeDocument/2006/relationships/hyperlink" Target="https://www.ecva.net/papers/eccv_2022/papers_ECCV/papers/136670278.pdf" TargetMode="External"/><Relationship Id="rId2830" Type="http://schemas.openxmlformats.org/officeDocument/2006/relationships/hyperlink" Target="https://www.diva-portal.org/smash/get/diva2:1703300/FULLTEXT01.pdf" TargetMode="External"/><Relationship Id="rId1500" Type="http://schemas.openxmlformats.org/officeDocument/2006/relationships/hyperlink" Target="https://doi.org/10.1109/iSES63344.2024.00068" TargetMode="External"/><Relationship Id="rId2831" Type="http://schemas.openxmlformats.org/officeDocument/2006/relationships/hyperlink" Target="https://www.diva-portal.org/smash/get/diva2:1764195/FULLTEXT02" TargetMode="External"/><Relationship Id="rId1501" Type="http://schemas.openxmlformats.org/officeDocument/2006/relationships/hyperlink" Target="https://doi.org/10.1109/ISIE54533.2024.10595702" TargetMode="External"/><Relationship Id="rId2832" Type="http://schemas.openxmlformats.org/officeDocument/2006/relationships/hyperlink" Target="https://www.diva-portal.org/smash/get/diva2:1973412/FULLTEXT01.pdf" TargetMode="External"/><Relationship Id="rId1502" Type="http://schemas.openxmlformats.org/officeDocument/2006/relationships/hyperlink" Target="https://doi.org/10.1109/ISSCC42615.2023.10067476" TargetMode="External"/><Relationship Id="rId2833" Type="http://schemas.openxmlformats.org/officeDocument/2006/relationships/hyperlink" Target="https://www.diva-portal.org/smash/get/diva2:2005889/FULLTEXT01.pdf" TargetMode="External"/><Relationship Id="rId1503" Type="http://schemas.openxmlformats.org/officeDocument/2006/relationships/hyperlink" Target="https://doi.org/10.1109/ITC-Egypt66095.2025.11186584" TargetMode="External"/><Relationship Id="rId2834" Type="http://schemas.openxmlformats.org/officeDocument/2006/relationships/hyperlink" Target="https://www.diva-portal.org/smash/get/diva2:2005890/FULLTEXT01.pdf" TargetMode="External"/><Relationship Id="rId1504" Type="http://schemas.openxmlformats.org/officeDocument/2006/relationships/hyperlink" Target="https://doi.org/10.1109/IV51971.2022.9827380" TargetMode="External"/><Relationship Id="rId2835" Type="http://schemas.openxmlformats.org/officeDocument/2006/relationships/hyperlink" Target="https://www.dropbox.com/s/ee6dn8zy4odpfwl/0096.pdf?dl=1" TargetMode="External"/><Relationship Id="rId1505" Type="http://schemas.openxmlformats.org/officeDocument/2006/relationships/hyperlink" Target="https://doi.org/10.1109/IV64158.2025.11097478" TargetMode="External"/><Relationship Id="rId2836" Type="http://schemas.openxmlformats.org/officeDocument/2006/relationships/hyperlink" Target="https://www.dropbox.com/s/m77i7cqqy7xbg51/0099.pdf?dl=1" TargetMode="External"/><Relationship Id="rId1506" Type="http://schemas.openxmlformats.org/officeDocument/2006/relationships/hyperlink" Target="https://doi.org/10.1109/IWASI66786.2025.11122013" TargetMode="External"/><Relationship Id="rId2837" Type="http://schemas.openxmlformats.org/officeDocument/2006/relationships/hyperlink" Target="https://www.e-consystems.com/email/see3cam-37cugm.asp" TargetMode="External"/><Relationship Id="rId1507" Type="http://schemas.openxmlformats.org/officeDocument/2006/relationships/hyperlink" Target="https://doi.org/10.1109/JAS.2024.124470" TargetMode="External"/><Relationship Id="rId2838" Type="http://schemas.openxmlformats.org/officeDocument/2006/relationships/hyperlink" Target="https://www.ecva.net/papers/eccv_2022/papers_ECCV/html/4130_ECCV_2022_paper.php" TargetMode="External"/><Relationship Id="rId1508" Type="http://schemas.openxmlformats.org/officeDocument/2006/relationships/hyperlink" Target="https://doi.org/10.1109/JETCAS.2020.3040329" TargetMode="External"/><Relationship Id="rId2839" Type="http://schemas.openxmlformats.org/officeDocument/2006/relationships/hyperlink" Target="https://www.ecva.net/papers/eccv_2022/papers_ECCV/papers/136660461.pdf" TargetMode="External"/><Relationship Id="rId1509" Type="http://schemas.openxmlformats.org/officeDocument/2006/relationships/hyperlink" Target="https://doi.org/10.1109/JIOT.2025.3552778" TargetMode="External"/><Relationship Id="rId2800" Type="http://schemas.openxmlformats.org/officeDocument/2006/relationships/hyperlink" Target="https://www.arxiv.org/abs/2509.05923" TargetMode="External"/><Relationship Id="rId2801" Type="http://schemas.openxmlformats.org/officeDocument/2006/relationships/hyperlink" Target="https://www.arxiv.org/abs/2509.09971" TargetMode="External"/><Relationship Id="rId2802" Type="http://schemas.openxmlformats.org/officeDocument/2006/relationships/hyperlink" Target="https://www.arxiv.org/abs/2509.09977" TargetMode="External"/><Relationship Id="rId2803" Type="http://schemas.openxmlformats.org/officeDocument/2006/relationships/hyperlink" Target="https://www.arxiv.org/abs/2510.07990" TargetMode="External"/><Relationship Id="rId2804" Type="http://schemas.openxmlformats.org/officeDocument/2006/relationships/hyperlink" Target="https://www.arxiv.org/abs/2511.12961" TargetMode="External"/><Relationship Id="rId2805" Type="http://schemas.openxmlformats.org/officeDocument/2006/relationships/hyperlink" Target="https://www.arxiv.org/abs/2511.22554" TargetMode="External"/><Relationship Id="rId2806" Type="http://schemas.openxmlformats.org/officeDocument/2006/relationships/hyperlink" Target="https://www.arxiv.org/abs/2512.05240" TargetMode="External"/><Relationship Id="rId2807" Type="http://schemas.openxmlformats.org/officeDocument/2006/relationships/hyperlink" Target="https://www.arxiv.org/abs/2512.06306" TargetMode="External"/><Relationship Id="rId2808" Type="http://schemas.openxmlformats.org/officeDocument/2006/relationships/hyperlink" Target="https://www.arxiv.org/abs/2512.11076" TargetMode="External"/><Relationship Id="rId2809" Type="http://schemas.openxmlformats.org/officeDocument/2006/relationships/hyperlink" Target="https://www.arxiv.org/abs/2601.04920" TargetMode="External"/><Relationship Id="rId1576" Type="http://schemas.openxmlformats.org/officeDocument/2006/relationships/hyperlink" Target="https://doi.org/10.1109/MMUL.2025.3587306" TargetMode="External"/><Relationship Id="rId1577" Type="http://schemas.openxmlformats.org/officeDocument/2006/relationships/hyperlink" Target="https://doi.org/10.1109/MWSCAS60917.2024.10658731" TargetMode="External"/><Relationship Id="rId1578" Type="http://schemas.openxmlformats.org/officeDocument/2006/relationships/hyperlink" Target="https://doi.org/10.1109/NAECON65708.2025.11235446" TargetMode="External"/><Relationship Id="rId1579" Type="http://schemas.openxmlformats.org/officeDocument/2006/relationships/hyperlink" Target="https://doi.org/10.1109/OJVT.2023.3325656" TargetMode="External"/><Relationship Id="rId987" Type="http://schemas.openxmlformats.org/officeDocument/2006/relationships/hyperlink" Target="https://arxiv.org/pdf/2406.17483" TargetMode="External"/><Relationship Id="rId986" Type="http://schemas.openxmlformats.org/officeDocument/2006/relationships/hyperlink" Target="https://arxiv.org/pdf/2406.14178" TargetMode="External"/><Relationship Id="rId985" Type="http://schemas.openxmlformats.org/officeDocument/2006/relationships/hyperlink" Target="https://arxiv.org/pdf/2405.08300" TargetMode="External"/><Relationship Id="rId984" Type="http://schemas.openxmlformats.org/officeDocument/2006/relationships/hyperlink" Target="https://arxiv.org/pdf/2404.01298" TargetMode="External"/><Relationship Id="rId989" Type="http://schemas.openxmlformats.org/officeDocument/2006/relationships/hyperlink" Target="https://arxiv.org/pdf/2408.15605" TargetMode="External"/><Relationship Id="rId988" Type="http://schemas.openxmlformats.org/officeDocument/2006/relationships/hyperlink" Target="https://arxiv.org/pdf/2407.12239" TargetMode="External"/><Relationship Id="rId1570" Type="http://schemas.openxmlformats.org/officeDocument/2006/relationships/hyperlink" Target="https://doi.org/10.1109/MCNA65829.2025.11124373" TargetMode="External"/><Relationship Id="rId1571" Type="http://schemas.openxmlformats.org/officeDocument/2006/relationships/hyperlink" Target="https://doi.org/10.1109/MECATRONICS-REM67547.2025.11349538" TargetMode="External"/><Relationship Id="rId983" Type="http://schemas.openxmlformats.org/officeDocument/2006/relationships/hyperlink" Target="https://arxiv.org/pdf/2403.07326" TargetMode="External"/><Relationship Id="rId1572" Type="http://schemas.openxmlformats.org/officeDocument/2006/relationships/hyperlink" Target="https://doi.org/10.1109/MetaCom65502.2025.00014" TargetMode="External"/><Relationship Id="rId982" Type="http://schemas.openxmlformats.org/officeDocument/2006/relationships/hyperlink" Target="https://arxiv.org/pdf/2402.18925" TargetMode="External"/><Relationship Id="rId1573" Type="http://schemas.openxmlformats.org/officeDocument/2006/relationships/hyperlink" Target="https://doi.org/10.1109/MFI55806.2022.9913845" TargetMode="External"/><Relationship Id="rId981" Type="http://schemas.openxmlformats.org/officeDocument/2006/relationships/hyperlink" Target="https://arxiv.org/pdf/2402.12644" TargetMode="External"/><Relationship Id="rId1574" Type="http://schemas.openxmlformats.org/officeDocument/2006/relationships/hyperlink" Target="https://doi.org/10.1109/MIPR67560.2025.00036" TargetMode="External"/><Relationship Id="rId980" Type="http://schemas.openxmlformats.org/officeDocument/2006/relationships/hyperlink" Target="https://arxiv.org/pdf/2402.01393" TargetMode="External"/><Relationship Id="rId1575" Type="http://schemas.openxmlformats.org/officeDocument/2006/relationships/hyperlink" Target="https://doi.org/10.1109/MMAR65820.2025.11150932" TargetMode="External"/><Relationship Id="rId1565" Type="http://schemas.openxmlformats.org/officeDocument/2006/relationships/hyperlink" Target="https://doi.org/10.1109/LSP.2024.3433403" TargetMode="External"/><Relationship Id="rId2896" Type="http://schemas.openxmlformats.org/officeDocument/2006/relationships/hyperlink" Target="https://www.frontiersin.org/journals/remote-sensing/articles/10.3389/frsen.2024.1436898/abstract" TargetMode="External"/><Relationship Id="rId1566" Type="http://schemas.openxmlformats.org/officeDocument/2006/relationships/hyperlink" Target="https://doi.org/10.1109/LSP.2025.3606777" TargetMode="External"/><Relationship Id="rId2897" Type="http://schemas.openxmlformats.org/officeDocument/2006/relationships/hyperlink" Target="https://www.frontiersin.org/journals/robotics-and-ai/articles/10.3389/frobt.2025.1541017/abstract" TargetMode="External"/><Relationship Id="rId1567" Type="http://schemas.openxmlformats.org/officeDocument/2006/relationships/hyperlink" Target="https://doi.org/10.1109/LSP.2025.3648967" TargetMode="External"/><Relationship Id="rId2898" Type="http://schemas.openxmlformats.org/officeDocument/2006/relationships/hyperlink" Target="https://www.fujii.nuee.nagoya-u.ac.jp/Research/EventLF/" TargetMode="External"/><Relationship Id="rId1568" Type="http://schemas.openxmlformats.org/officeDocument/2006/relationships/hyperlink" Target="https://doi.org/10.1109/LSSC.2024.3375110" TargetMode="External"/><Relationship Id="rId2899" Type="http://schemas.openxmlformats.org/officeDocument/2006/relationships/hyperlink" Target="https://www.hackster.io/dirksavage88" TargetMode="External"/><Relationship Id="rId1569" Type="http://schemas.openxmlformats.org/officeDocument/2006/relationships/hyperlink" Target="https://doi.org/10.1109/MAPR67746.2025.11133952" TargetMode="External"/><Relationship Id="rId976" Type="http://schemas.openxmlformats.org/officeDocument/2006/relationships/hyperlink" Target="https://arxiv.org/pdf/2311.14265" TargetMode="External"/><Relationship Id="rId975" Type="http://schemas.openxmlformats.org/officeDocument/2006/relationships/hyperlink" Target="https://arxiv.org/pdf/2308.11771" TargetMode="External"/><Relationship Id="rId974" Type="http://schemas.openxmlformats.org/officeDocument/2006/relationships/hyperlink" Target="https://arxiv.org/pdf/2307.12558" TargetMode="External"/><Relationship Id="rId973" Type="http://schemas.openxmlformats.org/officeDocument/2006/relationships/hyperlink" Target="https://arxiv.org/pdf/2307.11349" TargetMode="External"/><Relationship Id="rId979" Type="http://schemas.openxmlformats.org/officeDocument/2006/relationships/hyperlink" Target="https://arxiv.org/pdf/2401.16058" TargetMode="External"/><Relationship Id="rId978" Type="http://schemas.openxmlformats.org/officeDocument/2006/relationships/hyperlink" Target="https://arxiv.org/pdf/2401.06586" TargetMode="External"/><Relationship Id="rId977" Type="http://schemas.openxmlformats.org/officeDocument/2006/relationships/hyperlink" Target="https://arxiv.org/pdf/2311.18189" TargetMode="External"/><Relationship Id="rId2890" Type="http://schemas.openxmlformats.org/officeDocument/2006/relationships/hyperlink" Target="https://www.frontiersin.org/journals/computational-neuroscience/articles/10.3389/fncom.2024.1508297/full" TargetMode="External"/><Relationship Id="rId1560" Type="http://schemas.openxmlformats.org/officeDocument/2006/relationships/hyperlink" Target="https://doi.org/10.1109/LRA.2025.3644151" TargetMode="External"/><Relationship Id="rId2891" Type="http://schemas.openxmlformats.org/officeDocument/2006/relationships/hyperlink" Target="https://www.frontiersin.org/journals/neuroscience/articles?query=%22event-based%22" TargetMode="External"/><Relationship Id="rId972" Type="http://schemas.openxmlformats.org/officeDocument/2006/relationships/hyperlink" Target="https://arxiv.org/pdf/2307.11242" TargetMode="External"/><Relationship Id="rId1561" Type="http://schemas.openxmlformats.org/officeDocument/2006/relationships/hyperlink" Target="https://doi.org/10.1109/LSENS.2022.3216894" TargetMode="External"/><Relationship Id="rId2892" Type="http://schemas.openxmlformats.org/officeDocument/2006/relationships/hyperlink" Target="https://www.frontiersin.org/journals/neuroscience/articles/10.3389/fnins.2021.702765/full" TargetMode="External"/><Relationship Id="rId971" Type="http://schemas.openxmlformats.org/officeDocument/2006/relationships/hyperlink" Target="https://arxiv.org/pdf/2307.06810.pdf" TargetMode="External"/><Relationship Id="rId1562" Type="http://schemas.openxmlformats.org/officeDocument/2006/relationships/hyperlink" Target="https://doi.org/10.1109/LSP.2023.3289111" TargetMode="External"/><Relationship Id="rId2893" Type="http://schemas.openxmlformats.org/officeDocument/2006/relationships/hyperlink" Target="https://www.frontiersin.org/journals/neuroscience/articles/10.3389/fnins.2024.1335422/full" TargetMode="External"/><Relationship Id="rId970" Type="http://schemas.openxmlformats.org/officeDocument/2006/relationships/hyperlink" Target="https://arxiv.org/pdf/2306.14099" TargetMode="External"/><Relationship Id="rId1563" Type="http://schemas.openxmlformats.org/officeDocument/2006/relationships/hyperlink" Target="https://doi.org/10.1109/LSP.2024.3381894" TargetMode="External"/><Relationship Id="rId2894" Type="http://schemas.openxmlformats.org/officeDocument/2006/relationships/hyperlink" Target="https://www.frontiersin.org/journals/neuroscience/articles/10.3389/fnins.2024.1453419/full" TargetMode="External"/><Relationship Id="rId1564" Type="http://schemas.openxmlformats.org/officeDocument/2006/relationships/hyperlink" Target="https://doi.org/10.1109/LSP.2024.3398531" TargetMode="External"/><Relationship Id="rId2895" Type="http://schemas.openxmlformats.org/officeDocument/2006/relationships/hyperlink" Target="https://www.frontiersin.org/journals/neuroscience/articles/10.3389/fnins.2025.1735068/full" TargetMode="External"/><Relationship Id="rId1598" Type="http://schemas.openxmlformats.org/officeDocument/2006/relationships/hyperlink" Target="https://doi.org/10.1109/TC.2025.3584201" TargetMode="External"/><Relationship Id="rId1599" Type="http://schemas.openxmlformats.org/officeDocument/2006/relationships/hyperlink" Target="https://doi.org/10.1109/TCAD.2023.3264167" TargetMode="External"/><Relationship Id="rId1590" Type="http://schemas.openxmlformats.org/officeDocument/2006/relationships/hyperlink" Target="https://doi.org/10.1109/SoutheastCon56624.2025.10971672" TargetMode="External"/><Relationship Id="rId1591" Type="http://schemas.openxmlformats.org/officeDocument/2006/relationships/hyperlink" Target="https://doi.org/10.1109/SSCI52147.2023.10372015" TargetMode="External"/><Relationship Id="rId1592" Type="http://schemas.openxmlformats.org/officeDocument/2006/relationships/hyperlink" Target="https://doi.org/10.1109/SSCI52147.2023.10372042" TargetMode="External"/><Relationship Id="rId1593" Type="http://schemas.openxmlformats.org/officeDocument/2006/relationships/hyperlink" Target="https://doi.org/10.1109/SSI56489.2022.9901412" TargetMode="External"/><Relationship Id="rId1594" Type="http://schemas.openxmlformats.org/officeDocument/2006/relationships/hyperlink" Target="https://doi.org/10.1109/TAC.2022.3202839" TargetMode="External"/><Relationship Id="rId1595" Type="http://schemas.openxmlformats.org/officeDocument/2006/relationships/hyperlink" Target="https://doi.org/10.1109/TAC.2024.3419586" TargetMode="External"/><Relationship Id="rId1596" Type="http://schemas.openxmlformats.org/officeDocument/2006/relationships/hyperlink" Target="https://doi.org/10.1109/TALE66047.2025.11346742" TargetMode="External"/><Relationship Id="rId1597" Type="http://schemas.openxmlformats.org/officeDocument/2006/relationships/hyperlink" Target="https://doi.org/10.1109/TASE.2025.3598695" TargetMode="External"/><Relationship Id="rId1587" Type="http://schemas.openxmlformats.org/officeDocument/2006/relationships/hyperlink" Target="https://doi.org/10.1109/SII59315.2025.10870589" TargetMode="External"/><Relationship Id="rId1588" Type="http://schemas.openxmlformats.org/officeDocument/2006/relationships/hyperlink" Target="https://doi.org/10.1109/SIMPAR62925.2025.10979075" TargetMode="External"/><Relationship Id="rId1589" Type="http://schemas.openxmlformats.org/officeDocument/2006/relationships/hyperlink" Target="https://doi.org/10.1109/SMC53654.2022.9945237" TargetMode="External"/><Relationship Id="rId998" Type="http://schemas.openxmlformats.org/officeDocument/2006/relationships/hyperlink" Target="https://arxiv.org/pdf/2410.08649" TargetMode="External"/><Relationship Id="rId997" Type="http://schemas.openxmlformats.org/officeDocument/2006/relationships/hyperlink" Target="https://arxiv.org/pdf/2409.19228" TargetMode="External"/><Relationship Id="rId996" Type="http://schemas.openxmlformats.org/officeDocument/2006/relationships/hyperlink" Target="https://arxiv.org/pdf/2409.18038" TargetMode="External"/><Relationship Id="rId995" Type="http://schemas.openxmlformats.org/officeDocument/2006/relationships/hyperlink" Target="https://arxiv.org/pdf/2409.17981" TargetMode="External"/><Relationship Id="rId999" Type="http://schemas.openxmlformats.org/officeDocument/2006/relationships/hyperlink" Target="https://arxiv.org/pdf/2410.16746" TargetMode="External"/><Relationship Id="rId990" Type="http://schemas.openxmlformats.org/officeDocument/2006/relationships/hyperlink" Target="https://arxiv.org/pdf/2409.09628" TargetMode="External"/><Relationship Id="rId1580" Type="http://schemas.openxmlformats.org/officeDocument/2006/relationships/hyperlink" Target="https://doi.org/10.1109/PHM-Beijing63284.2024.10874504" TargetMode="External"/><Relationship Id="rId1581" Type="http://schemas.openxmlformats.org/officeDocument/2006/relationships/hyperlink" Target="https://doi.org/10.1109/PRAI62207.2024.10826912" TargetMode="External"/><Relationship Id="rId1582" Type="http://schemas.openxmlformats.org/officeDocument/2006/relationships/hyperlink" Target="https://doi.org/10.1109/RAPID64712.2025.11151471" TargetMode="External"/><Relationship Id="rId994" Type="http://schemas.openxmlformats.org/officeDocument/2006/relationships/hyperlink" Target="https://arxiv.org/pdf/2409.17680" TargetMode="External"/><Relationship Id="rId1583" Type="http://schemas.openxmlformats.org/officeDocument/2006/relationships/hyperlink" Target="https://doi.org/10.1109/RCAR65431.2025.11139613" TargetMode="External"/><Relationship Id="rId993" Type="http://schemas.openxmlformats.org/officeDocument/2006/relationships/hyperlink" Target="https://arxiv.org/pdf/2409.16099" TargetMode="External"/><Relationship Id="rId1584" Type="http://schemas.openxmlformats.org/officeDocument/2006/relationships/hyperlink" Target="https://doi.org/10.1109/SBCCI62366.2024.10704003" TargetMode="External"/><Relationship Id="rId992" Type="http://schemas.openxmlformats.org/officeDocument/2006/relationships/hyperlink" Target="https://arxiv.org/pdf/2409.15581" TargetMode="External"/><Relationship Id="rId1585" Type="http://schemas.openxmlformats.org/officeDocument/2006/relationships/hyperlink" Target="https://doi.org/10.1109/SENSORS59705.2025.11330921" TargetMode="External"/><Relationship Id="rId991" Type="http://schemas.openxmlformats.org/officeDocument/2006/relationships/hyperlink" Target="https://arxiv.org/pdf/2409.13392" TargetMode="External"/><Relationship Id="rId1586" Type="http://schemas.openxmlformats.org/officeDocument/2006/relationships/hyperlink" Target="https://doi.org/10.1109/SENSORS60989.2024.10785192" TargetMode="External"/><Relationship Id="rId1532" Type="http://schemas.openxmlformats.org/officeDocument/2006/relationships/hyperlink" Target="https://doi.org/10.1109/JSSC.2024.3524244" TargetMode="External"/><Relationship Id="rId2863" Type="http://schemas.openxmlformats.org/officeDocument/2006/relationships/hyperlink" Target="https://www.frontiersin.org/articles/10.3389/fnbot.2022.934260/full" TargetMode="External"/><Relationship Id="rId1533" Type="http://schemas.openxmlformats.org/officeDocument/2006/relationships/hyperlink" Target="https://doi.org/10.1109/LRA.2016.2645143" TargetMode="External"/><Relationship Id="rId2864" Type="http://schemas.openxmlformats.org/officeDocument/2006/relationships/hyperlink" Target="https://www.frontiersin.org/articles/10.3389/fnins.2013.00223/full" TargetMode="External"/><Relationship Id="rId1534" Type="http://schemas.openxmlformats.org/officeDocument/2006/relationships/hyperlink" Target="https://doi.org/10.1109/LRA.2016.2647639" TargetMode="External"/><Relationship Id="rId2865" Type="http://schemas.openxmlformats.org/officeDocument/2006/relationships/hyperlink" Target="https://www.frontiersin.org/articles/10.3389/fnins.2013.00275/full" TargetMode="External"/><Relationship Id="rId1535" Type="http://schemas.openxmlformats.org/officeDocument/2006/relationships/hyperlink" Target="https://doi.org/10.1109/LRA.2018.2793357" TargetMode="External"/><Relationship Id="rId2866" Type="http://schemas.openxmlformats.org/officeDocument/2006/relationships/hyperlink" Target="https://www.frontiersin.org/articles/10.3389/fnins.2014.00009/full" TargetMode="External"/><Relationship Id="rId1536" Type="http://schemas.openxmlformats.org/officeDocument/2006/relationships/hyperlink" Target="https://doi.org/10.1109/LRA.2018.2800793" TargetMode="External"/><Relationship Id="rId2867" Type="http://schemas.openxmlformats.org/officeDocument/2006/relationships/hyperlink" Target="https://www.frontiersin.org/articles/10.3389/fnins.2015.00206/full" TargetMode="External"/><Relationship Id="rId1537" Type="http://schemas.openxmlformats.org/officeDocument/2006/relationships/hyperlink" Target="https://doi.org/10.1109/LRA.2019.2893427" TargetMode="External"/><Relationship Id="rId2868" Type="http://schemas.openxmlformats.org/officeDocument/2006/relationships/hyperlink" Target="https://www.frontiersin.org/articles/10.3389/fnins.2015.00481/full" TargetMode="External"/><Relationship Id="rId1538" Type="http://schemas.openxmlformats.org/officeDocument/2006/relationships/hyperlink" Target="https://doi.org/10.1109/LRA.2020.2972839" TargetMode="External"/><Relationship Id="rId2869" Type="http://schemas.openxmlformats.org/officeDocument/2006/relationships/hyperlink" Target="https://www.frontiersin.org/articles/10.3389/fnins.2016.00049/full" TargetMode="External"/><Relationship Id="rId1539" Type="http://schemas.openxmlformats.org/officeDocument/2006/relationships/hyperlink" Target="https://doi.org/10.1109/LRA.2020.2995332" TargetMode="External"/><Relationship Id="rId949" Type="http://schemas.openxmlformats.org/officeDocument/2006/relationships/hyperlink" Target="https://arxiv.org/pdf/1911.04553" TargetMode="External"/><Relationship Id="rId948" Type="http://schemas.openxmlformats.org/officeDocument/2006/relationships/hyperlink" Target="https://arxiv.org/pdf/1908.11505" TargetMode="External"/><Relationship Id="rId943" Type="http://schemas.openxmlformats.org/officeDocument/2006/relationships/hyperlink" Target="https://arxiv.org/pdf/1809.00716.pdf" TargetMode="External"/><Relationship Id="rId942" Type="http://schemas.openxmlformats.org/officeDocument/2006/relationships/hyperlink" Target="https://arxiv.org/pdf/1804.01306" TargetMode="External"/><Relationship Id="rId941" Type="http://schemas.openxmlformats.org/officeDocument/2006/relationships/hyperlink" Target="https://arxiv.org/html/2510.17092v1" TargetMode="External"/><Relationship Id="rId940" Type="http://schemas.openxmlformats.org/officeDocument/2006/relationships/hyperlink" Target="https://arxiv.org/html/2509.24968v1" TargetMode="External"/><Relationship Id="rId947" Type="http://schemas.openxmlformats.org/officeDocument/2006/relationships/hyperlink" Target="https://arxiv.org/pdf/1906.02919" TargetMode="External"/><Relationship Id="rId946" Type="http://schemas.openxmlformats.org/officeDocument/2006/relationships/hyperlink" Target="https://arxiv.org/pdf/1904.08405" TargetMode="External"/><Relationship Id="rId945" Type="http://schemas.openxmlformats.org/officeDocument/2006/relationships/hyperlink" Target="https://arxiv.org/pdf/1904.07235" TargetMode="External"/><Relationship Id="rId944" Type="http://schemas.openxmlformats.org/officeDocument/2006/relationships/hyperlink" Target="https://arxiv.org/pdf/1811.11135" TargetMode="External"/><Relationship Id="rId2860" Type="http://schemas.openxmlformats.org/officeDocument/2006/relationships/hyperlink" Target="https://www.framos.com/en/products-solutions/image-sensors/technologies/event-based-sensors" TargetMode="External"/><Relationship Id="rId1530" Type="http://schemas.openxmlformats.org/officeDocument/2006/relationships/hyperlink" Target="https://doi.org/10.1109/JSEN.2025.3642263" TargetMode="External"/><Relationship Id="rId2861" Type="http://schemas.openxmlformats.org/officeDocument/2006/relationships/hyperlink" Target="https://www.frontiersin.org/articles/10.3389/fmats.2023.1269992" TargetMode="External"/><Relationship Id="rId1531" Type="http://schemas.openxmlformats.org/officeDocument/2006/relationships/hyperlink" Target="https://doi.org/10.1109/JSSC.2023.3303154" TargetMode="External"/><Relationship Id="rId2862" Type="http://schemas.openxmlformats.org/officeDocument/2006/relationships/hyperlink" Target="https://www.frontiersin.org/articles/10.3389/fnbot.2022.1075647/full" TargetMode="External"/><Relationship Id="rId1521" Type="http://schemas.openxmlformats.org/officeDocument/2006/relationships/hyperlink" Target="https://doi.org/10.1109/JSEN.2024.3524301" TargetMode="External"/><Relationship Id="rId2852" Type="http://schemas.openxmlformats.org/officeDocument/2006/relationships/hyperlink" Target="https://www.ecva.net/papers/eccv_2024/papers_ECCV/papers/10733.pdf" TargetMode="External"/><Relationship Id="rId1522" Type="http://schemas.openxmlformats.org/officeDocument/2006/relationships/hyperlink" Target="https://doi.org/10.1109/JSEN.2025.3528230" TargetMode="External"/><Relationship Id="rId2853" Type="http://schemas.openxmlformats.org/officeDocument/2006/relationships/hyperlink" Target="https://www.ecva.net/papers/eccv_2024/papers_ECCV/papers/11208.pdf" TargetMode="External"/><Relationship Id="rId1523" Type="http://schemas.openxmlformats.org/officeDocument/2006/relationships/hyperlink" Target="https://doi.org/10.1109/JSEN.2025.3557246" TargetMode="External"/><Relationship Id="rId2854" Type="http://schemas.openxmlformats.org/officeDocument/2006/relationships/hyperlink" Target="https://www.edge-ai-vision.com/?s=Event+camera" TargetMode="External"/><Relationship Id="rId1524" Type="http://schemas.openxmlformats.org/officeDocument/2006/relationships/hyperlink" Target="https://doi.org/10.1109/JSEN.2025.3566374" TargetMode="External"/><Relationship Id="rId2855" Type="http://schemas.openxmlformats.org/officeDocument/2006/relationships/hyperlink" Target="https://www.eee.hku.hk/optima/pub/conference/2510_PAa.pdf" TargetMode="External"/><Relationship Id="rId1525" Type="http://schemas.openxmlformats.org/officeDocument/2006/relationships/hyperlink" Target="https://doi.org/10.1109/JSEN.2025.3574728" TargetMode="External"/><Relationship Id="rId2856" Type="http://schemas.openxmlformats.org/officeDocument/2006/relationships/hyperlink" Target="https://www.emerald.com/insight/content/doi/10.1108/SR-03-2021-0095/full/html" TargetMode="External"/><Relationship Id="rId1526" Type="http://schemas.openxmlformats.org/officeDocument/2006/relationships/hyperlink" Target="https://doi.org/10.1109/JSEN.2025.3582694" TargetMode="External"/><Relationship Id="rId2857" Type="http://schemas.openxmlformats.org/officeDocument/2006/relationships/hyperlink" Target="https://www.eventlive.pro/blog/best-cameras-for-live-streaming-events" TargetMode="External"/><Relationship Id="rId1527" Type="http://schemas.openxmlformats.org/officeDocument/2006/relationships/hyperlink" Target="https://doi.org/10.1109/JSEN.2025.3583394" TargetMode="External"/><Relationship Id="rId2858" Type="http://schemas.openxmlformats.org/officeDocument/2006/relationships/hyperlink" Target="https://www.forbes.com/sites/sabbirrangwala/2025/03/17/event-sensing-for-industrial-arvr--autonomy-applications" TargetMode="External"/><Relationship Id="rId1528" Type="http://schemas.openxmlformats.org/officeDocument/2006/relationships/hyperlink" Target="https://doi.org/10.1109/JSEN.2025.3624651" TargetMode="External"/><Relationship Id="rId2859" Type="http://schemas.openxmlformats.org/officeDocument/2006/relationships/hyperlink" Target="https://www.fortunebusinessinsights.com/event-camera-market-110552" TargetMode="External"/><Relationship Id="rId1529" Type="http://schemas.openxmlformats.org/officeDocument/2006/relationships/hyperlink" Target="https://doi.org/10.1109/JSEN.2025.3637141" TargetMode="External"/><Relationship Id="rId939" Type="http://schemas.openxmlformats.org/officeDocument/2006/relationships/hyperlink" Target="https://arxiv.org/html/2509.24094v1" TargetMode="External"/><Relationship Id="rId938" Type="http://schemas.openxmlformats.org/officeDocument/2006/relationships/hyperlink" Target="https://arxiv.org/html/2509.14516v1" TargetMode="External"/><Relationship Id="rId937" Type="http://schemas.openxmlformats.org/officeDocument/2006/relationships/hyperlink" Target="https://arxiv.org/html/2509.08235v1" TargetMode="External"/><Relationship Id="rId932" Type="http://schemas.openxmlformats.org/officeDocument/2006/relationships/hyperlink" Target="https://arxiv.org/html/2505.13279v1" TargetMode="External"/><Relationship Id="rId931" Type="http://schemas.openxmlformats.org/officeDocument/2006/relationships/hyperlink" Target="https://arxiv.org/html/2505.12908v1" TargetMode="External"/><Relationship Id="rId930" Type="http://schemas.openxmlformats.org/officeDocument/2006/relationships/hyperlink" Target="https://arxiv.org/html/2505.12903v1" TargetMode="External"/><Relationship Id="rId936" Type="http://schemas.openxmlformats.org/officeDocument/2006/relationships/hyperlink" Target="https://arxiv.org/html/2508.14996v1" TargetMode="External"/><Relationship Id="rId935" Type="http://schemas.openxmlformats.org/officeDocument/2006/relationships/hyperlink" Target="https://arxiv.org/html/2506.22360v1" TargetMode="External"/><Relationship Id="rId934" Type="http://schemas.openxmlformats.org/officeDocument/2006/relationships/hyperlink" Target="https://arxiv.org/html/2505.20834v1" TargetMode="External"/><Relationship Id="rId933" Type="http://schemas.openxmlformats.org/officeDocument/2006/relationships/hyperlink" Target="https://arxiv.org/html/2505.13309v1" TargetMode="External"/><Relationship Id="rId2850" Type="http://schemas.openxmlformats.org/officeDocument/2006/relationships/hyperlink" Target="https://www.ecva.net/papers/eccv_2024/papers_ECCV/papers/08381.pdf" TargetMode="External"/><Relationship Id="rId1520" Type="http://schemas.openxmlformats.org/officeDocument/2006/relationships/hyperlink" Target="https://doi.org/10.1109/JSEN.2024.3510790" TargetMode="External"/><Relationship Id="rId2851" Type="http://schemas.openxmlformats.org/officeDocument/2006/relationships/hyperlink" Target="https://www.ecva.net/papers/eccv_2024/papers_ECCV/papers/10433.pdf" TargetMode="External"/><Relationship Id="rId1554" Type="http://schemas.openxmlformats.org/officeDocument/2006/relationships/hyperlink" Target="https://doi.org/10.1109/LRA.2025.3558707" TargetMode="External"/><Relationship Id="rId2885" Type="http://schemas.openxmlformats.org/officeDocument/2006/relationships/hyperlink" Target="https://www.frontiersin.org/articles/10.3389/fnins.2022.1010302/full" TargetMode="External"/><Relationship Id="rId1555" Type="http://schemas.openxmlformats.org/officeDocument/2006/relationships/hyperlink" Target="https://doi.org/10.1109/LRA.2025.3562793" TargetMode="External"/><Relationship Id="rId2886" Type="http://schemas.openxmlformats.org/officeDocument/2006/relationships/hyperlink" Target="https://www.frontiersin.org/articles/10.3389/fnins.2022.819063/full" TargetMode="External"/><Relationship Id="rId1556" Type="http://schemas.openxmlformats.org/officeDocument/2006/relationships/hyperlink" Target="https://doi.org/10.1109/LRA.2025.3565150" TargetMode="External"/><Relationship Id="rId2887" Type="http://schemas.openxmlformats.org/officeDocument/2006/relationships/hyperlink" Target="https://www.frontiersin.org/articles/10.3389/fnins.2022.821157/full" TargetMode="External"/><Relationship Id="rId1557" Type="http://schemas.openxmlformats.org/officeDocument/2006/relationships/hyperlink" Target="https://doi.org/10.1109/LRA.2025.3608424" TargetMode="External"/><Relationship Id="rId2888" Type="http://schemas.openxmlformats.org/officeDocument/2006/relationships/hyperlink" Target="https://www.frontiersin.org/articles/10.3389/fnins.2022.959626/full" TargetMode="External"/><Relationship Id="rId1558" Type="http://schemas.openxmlformats.org/officeDocument/2006/relationships/hyperlink" Target="https://doi.org/10.1109/LRA.2025.3617737" TargetMode="External"/><Relationship Id="rId2889" Type="http://schemas.openxmlformats.org/officeDocument/2006/relationships/hyperlink" Target="https://www.frontiersin.org/articles/10.3389/fnins.2023.1261543" TargetMode="External"/><Relationship Id="rId1559" Type="http://schemas.openxmlformats.org/officeDocument/2006/relationships/hyperlink" Target="https://doi.org/10.1109/LRA.2025.3641119" TargetMode="External"/><Relationship Id="rId965" Type="http://schemas.openxmlformats.org/officeDocument/2006/relationships/hyperlink" Target="https://arxiv.org/pdf/2302.04177" TargetMode="External"/><Relationship Id="rId964" Type="http://schemas.openxmlformats.org/officeDocument/2006/relationships/hyperlink" Target="https://arxiv.org/pdf/2211.09893" TargetMode="External"/><Relationship Id="rId963" Type="http://schemas.openxmlformats.org/officeDocument/2006/relationships/hyperlink" Target="https://arxiv.org/pdf/2209.11741.pdf" TargetMode="External"/><Relationship Id="rId962" Type="http://schemas.openxmlformats.org/officeDocument/2006/relationships/hyperlink" Target="https://arxiv.org/pdf/2203.14672" TargetMode="External"/><Relationship Id="rId969" Type="http://schemas.openxmlformats.org/officeDocument/2006/relationships/hyperlink" Target="https://arxiv.org/pdf/2306.02960" TargetMode="External"/><Relationship Id="rId968" Type="http://schemas.openxmlformats.org/officeDocument/2006/relationships/hyperlink" Target="https://arxiv.org/pdf/2306.01188" TargetMode="External"/><Relationship Id="rId967" Type="http://schemas.openxmlformats.org/officeDocument/2006/relationships/hyperlink" Target="https://arxiv.org/pdf/2304.01080" TargetMode="External"/><Relationship Id="rId966" Type="http://schemas.openxmlformats.org/officeDocument/2006/relationships/hyperlink" Target="https://arxiv.org/pdf/2302.06492" TargetMode="External"/><Relationship Id="rId2880" Type="http://schemas.openxmlformats.org/officeDocument/2006/relationships/hyperlink" Target="https://www.frontiersin.org/articles/10.3389/fnins.2018.01047/full" TargetMode="External"/><Relationship Id="rId961" Type="http://schemas.openxmlformats.org/officeDocument/2006/relationships/hyperlink" Target="https://arxiv.org/pdf/2203.12178" TargetMode="External"/><Relationship Id="rId1550" Type="http://schemas.openxmlformats.org/officeDocument/2006/relationships/hyperlink" Target="https://doi.org/10.1109/LRA.2024.3491426" TargetMode="External"/><Relationship Id="rId2881" Type="http://schemas.openxmlformats.org/officeDocument/2006/relationships/hyperlink" Target="https://www.frontiersin.org/articles/10.3389/fnins.2020.00451/full" TargetMode="External"/><Relationship Id="rId960" Type="http://schemas.openxmlformats.org/officeDocument/2006/relationships/hyperlink" Target="https://arxiv.org/pdf/2112.01933" TargetMode="External"/><Relationship Id="rId1551" Type="http://schemas.openxmlformats.org/officeDocument/2006/relationships/hyperlink" Target="https://doi.org/10.1109/LRA.2024.3522843" TargetMode="External"/><Relationship Id="rId2882" Type="http://schemas.openxmlformats.org/officeDocument/2006/relationships/hyperlink" Target="https://www.frontiersin.org/articles/10.3389/fnins.2020.00637/full" TargetMode="External"/><Relationship Id="rId1552" Type="http://schemas.openxmlformats.org/officeDocument/2006/relationships/hyperlink" Target="https://doi.org/10.1109/LRA.2025.3527311" TargetMode="External"/><Relationship Id="rId2883" Type="http://schemas.openxmlformats.org/officeDocument/2006/relationships/hyperlink" Target="https://www.frontiersin.org/articles/10.3389/fnins.2021.699003/full" TargetMode="External"/><Relationship Id="rId1553" Type="http://schemas.openxmlformats.org/officeDocument/2006/relationships/hyperlink" Target="https://doi.org/10.1109/LRA.2025.3535188" TargetMode="External"/><Relationship Id="rId2884" Type="http://schemas.openxmlformats.org/officeDocument/2006/relationships/hyperlink" Target="https://www.frontiersin.org/articles/10.3389/fnins.2021.702765/full" TargetMode="External"/><Relationship Id="rId1543" Type="http://schemas.openxmlformats.org/officeDocument/2006/relationships/hyperlink" Target="https://doi.org/10.1109/LRA.2023.3259731" TargetMode="External"/><Relationship Id="rId2874" Type="http://schemas.openxmlformats.org/officeDocument/2006/relationships/hyperlink" Target="https://www.frontiersin.org/articles/10.3389/fnins.2016.00596/full" TargetMode="External"/><Relationship Id="rId1544" Type="http://schemas.openxmlformats.org/officeDocument/2006/relationships/hyperlink" Target="https://doi.org/10.1109/LRA.2023.3269950" TargetMode="External"/><Relationship Id="rId2875" Type="http://schemas.openxmlformats.org/officeDocument/2006/relationships/hyperlink" Target="https://www.frontiersin.org/articles/10.3389/fnins.2017.00309" TargetMode="External"/><Relationship Id="rId1545" Type="http://schemas.openxmlformats.org/officeDocument/2006/relationships/hyperlink" Target="https://doi.org/10.1109/LRA.2023.3339432" TargetMode="External"/><Relationship Id="rId2876" Type="http://schemas.openxmlformats.org/officeDocument/2006/relationships/hyperlink" Target="https://www.frontiersin.org/articles/10.3389/fnins.2018.00118/full" TargetMode="External"/><Relationship Id="rId1546" Type="http://schemas.openxmlformats.org/officeDocument/2006/relationships/hyperlink" Target="https://doi.org/10.1109/LRA.2023.3346754" TargetMode="External"/><Relationship Id="rId2877" Type="http://schemas.openxmlformats.org/officeDocument/2006/relationships/hyperlink" Target="https://www.frontiersin.org/articles/10.3389/fnins.2018.00373/full" TargetMode="External"/><Relationship Id="rId1547" Type="http://schemas.openxmlformats.org/officeDocument/2006/relationships/hyperlink" Target="https://doi.org/10.1109/LRA.2024.3440099" TargetMode="External"/><Relationship Id="rId2878" Type="http://schemas.openxmlformats.org/officeDocument/2006/relationships/hyperlink" Target="https://www.frontiersin.org/articles/10.3389/fnins.2018.00442/full" TargetMode="External"/><Relationship Id="rId1548" Type="http://schemas.openxmlformats.org/officeDocument/2006/relationships/hyperlink" Target="https://doi.org/10.1109/LRA.2024.3450290" TargetMode="External"/><Relationship Id="rId2879" Type="http://schemas.openxmlformats.org/officeDocument/2006/relationships/hyperlink" Target="https://www.frontiersin.org/articles/10.3389/fnins.2018.00774/full" TargetMode="External"/><Relationship Id="rId1549" Type="http://schemas.openxmlformats.org/officeDocument/2006/relationships/hyperlink" Target="https://doi.org/10.1109/LRA.2024.3474475" TargetMode="External"/><Relationship Id="rId959" Type="http://schemas.openxmlformats.org/officeDocument/2006/relationships/hyperlink" Target="https://arxiv.org/pdf/2112.00167v2.pdf" TargetMode="External"/><Relationship Id="rId954" Type="http://schemas.openxmlformats.org/officeDocument/2006/relationships/hyperlink" Target="https://arxiv.org/pdf/2003.09148" TargetMode="External"/><Relationship Id="rId953" Type="http://schemas.openxmlformats.org/officeDocument/2006/relationships/hyperlink" Target="https://arxiv.org/pdf/2003.07640.pdf" TargetMode="External"/><Relationship Id="rId952" Type="http://schemas.openxmlformats.org/officeDocument/2006/relationships/hyperlink" Target="https://arxiv.org/pdf/2003.02790v1" TargetMode="External"/><Relationship Id="rId951" Type="http://schemas.openxmlformats.org/officeDocument/2006/relationships/hyperlink" Target="https://arxiv.org/pdf/2002.10686" TargetMode="External"/><Relationship Id="rId958" Type="http://schemas.openxmlformats.org/officeDocument/2006/relationships/hyperlink" Target="https://arxiv.org/pdf/2010.08946" TargetMode="External"/><Relationship Id="rId957" Type="http://schemas.openxmlformats.org/officeDocument/2006/relationships/hyperlink" Target="https://arxiv.org/pdf/2004.05794" TargetMode="External"/><Relationship Id="rId956" Type="http://schemas.openxmlformats.org/officeDocument/2006/relationships/hyperlink" Target="https://arxiv.org/pdf/2004.00347" TargetMode="External"/><Relationship Id="rId955" Type="http://schemas.openxmlformats.org/officeDocument/2006/relationships/hyperlink" Target="https://arxiv.org/pdf/2003.12680" TargetMode="External"/><Relationship Id="rId950" Type="http://schemas.openxmlformats.org/officeDocument/2006/relationships/hyperlink" Target="https://arxiv.org/pdf/2002.06199" TargetMode="External"/><Relationship Id="rId2870" Type="http://schemas.openxmlformats.org/officeDocument/2006/relationships/hyperlink" Target="https://www.frontiersin.org/articles/10.3389/fnins.2016.00115/full" TargetMode="External"/><Relationship Id="rId1540" Type="http://schemas.openxmlformats.org/officeDocument/2006/relationships/hyperlink" Target="https://doi.org/10.1109/LRA.2020.3025505" TargetMode="External"/><Relationship Id="rId2871" Type="http://schemas.openxmlformats.org/officeDocument/2006/relationships/hyperlink" Target="https://www.frontiersin.org/articles/10.3389/fnins.2016.00176/full" TargetMode="External"/><Relationship Id="rId1541" Type="http://schemas.openxmlformats.org/officeDocument/2006/relationships/hyperlink" Target="https://doi.org/10.1109/LRA.2021.3138527" TargetMode="External"/><Relationship Id="rId2872" Type="http://schemas.openxmlformats.org/officeDocument/2006/relationships/hyperlink" Target="https://www.frontiersin.org/articles/10.3389/fnins.2016.00405/full" TargetMode="External"/><Relationship Id="rId1542" Type="http://schemas.openxmlformats.org/officeDocument/2006/relationships/hyperlink" Target="https://doi.org/10.1109/LRA.2022.3140819" TargetMode="External"/><Relationship Id="rId2873" Type="http://schemas.openxmlformats.org/officeDocument/2006/relationships/hyperlink" Target="https://www.frontiersin.org/articles/10.3389/fnins.2016.00594/full" TargetMode="External"/><Relationship Id="rId2027" Type="http://schemas.openxmlformats.org/officeDocument/2006/relationships/hyperlink" Target="https://ieeexplore.ieee.org/abstract/document/9869656/" TargetMode="External"/><Relationship Id="rId2028" Type="http://schemas.openxmlformats.org/officeDocument/2006/relationships/hyperlink" Target="https://ieeexplore.ieee.org/abstract/document/9897875" TargetMode="External"/><Relationship Id="rId2029" Type="http://schemas.openxmlformats.org/officeDocument/2006/relationships/hyperlink" Target="https://ieeexplore.ieee.org/abstract/document/9982428" TargetMode="External"/><Relationship Id="rId107" Type="http://schemas.openxmlformats.org/officeDocument/2006/relationships/hyperlink" Target="http://rpg.ifi.uzh.ch/docs/TRO18_Mueggler.pdf" TargetMode="External"/><Relationship Id="rId106" Type="http://schemas.openxmlformats.org/officeDocument/2006/relationships/hyperlink" Target="http://rpg.ifi.uzh.ch/docs/RAL21_Sun.pdf" TargetMode="External"/><Relationship Id="rId105" Type="http://schemas.openxmlformats.org/officeDocument/2006/relationships/hyperlink" Target="http://rpg.ifi.uzh.ch/docs/RAL19_Falanga.pdf" TargetMode="External"/><Relationship Id="rId104" Type="http://schemas.openxmlformats.org/officeDocument/2006/relationships/hyperlink" Target="http://rpg.ifi.uzh.ch/docs/ICRA19_Bryner.pdf" TargetMode="External"/><Relationship Id="rId109" Type="http://schemas.openxmlformats.org/officeDocument/2006/relationships/hyperlink" Target="http://rpg.ifi.uzh.ch/timelens" TargetMode="External"/><Relationship Id="rId108" Type="http://schemas.openxmlformats.org/officeDocument/2006/relationships/hyperlink" Target="http://rpg.ifi.uzh.ch/RAMNet.html" TargetMode="External"/><Relationship Id="rId2020" Type="http://schemas.openxmlformats.org/officeDocument/2006/relationships/hyperlink" Target="https://ieeexplore.ieee.org/abstract/document/8836544" TargetMode="External"/><Relationship Id="rId2021" Type="http://schemas.openxmlformats.org/officeDocument/2006/relationships/hyperlink" Target="https://ieeexplore.ieee.org/abstract/document/9191114/" TargetMode="External"/><Relationship Id="rId2022" Type="http://schemas.openxmlformats.org/officeDocument/2006/relationships/hyperlink" Target="https://ieeexplore.ieee.org/abstract/document/9191148" TargetMode="External"/><Relationship Id="rId103" Type="http://schemas.openxmlformats.org/officeDocument/2006/relationships/hyperlink" Target="http://rpg.ifi.uzh.ch/docs/ICCV19_Stoffregen.pdf" TargetMode="External"/><Relationship Id="rId2023" Type="http://schemas.openxmlformats.org/officeDocument/2006/relationships/hyperlink" Target="https://ieeexplore.ieee.org/abstract/document/9337225" TargetMode="External"/><Relationship Id="rId102" Type="http://schemas.openxmlformats.org/officeDocument/2006/relationships/hyperlink" Target="http://rpg.ifi.uzh.ch/docs/ICCV19_Gehrig.pdf" TargetMode="External"/><Relationship Id="rId2024" Type="http://schemas.openxmlformats.org/officeDocument/2006/relationships/hyperlink" Target="https://ieeexplore.ieee.org/abstract/document/9380323" TargetMode="External"/><Relationship Id="rId101" Type="http://schemas.openxmlformats.org/officeDocument/2006/relationships/hyperlink" Target="http://rpg.ifi.uzh.ch/docs/EventVisionSurvey.pdf" TargetMode="External"/><Relationship Id="rId2025" Type="http://schemas.openxmlformats.org/officeDocument/2006/relationships/hyperlink" Target="https://ieeexplore.ieee.org/abstract/document/9810191/" TargetMode="External"/><Relationship Id="rId100" Type="http://schemas.openxmlformats.org/officeDocument/2006/relationships/hyperlink" Target="http://rpg.ifi.uzh.ch/docs/ECCV18_Zhou.pdf" TargetMode="External"/><Relationship Id="rId2026" Type="http://schemas.openxmlformats.org/officeDocument/2006/relationships/hyperlink" Target="https://ieeexplore.ieee.org/abstract/document/9831055" TargetMode="External"/><Relationship Id="rId2016" Type="http://schemas.openxmlformats.org/officeDocument/2006/relationships/hyperlink" Target="https://ieeexplore.ieee.org/abstract/document/10143632/" TargetMode="External"/><Relationship Id="rId2017" Type="http://schemas.openxmlformats.org/officeDocument/2006/relationships/hyperlink" Target="https://ieeexplore.ieee.org/abstract/document/10168603" TargetMode="External"/><Relationship Id="rId2018" Type="http://schemas.openxmlformats.org/officeDocument/2006/relationships/hyperlink" Target="https://ieeexplore.ieee.org/abstract/document/10184213/" TargetMode="External"/><Relationship Id="rId2019" Type="http://schemas.openxmlformats.org/officeDocument/2006/relationships/hyperlink" Target="https://ieeexplore.ieee.org/abstract/document/10191543" TargetMode="External"/><Relationship Id="rId2010" Type="http://schemas.openxmlformats.org/officeDocument/2006/relationships/hyperlink" Target="https://hdl.handle.net/2286/R.2.N.199285" TargetMode="External"/><Relationship Id="rId2011" Type="http://schemas.openxmlformats.org/officeDocument/2006/relationships/hyperlink" Target="https://hylz-2019.github.io/Neuro_Vision_Map/bar.html" TargetMode="External"/><Relationship Id="rId2012" Type="http://schemas.openxmlformats.org/officeDocument/2006/relationships/hyperlink" Target="https://hylz-2019.github.io/Neuro_Vision_Map/map.html" TargetMode="External"/><Relationship Id="rId2013" Type="http://schemas.openxmlformats.org/officeDocument/2006/relationships/hyperlink" Target="https://hyzhouboy.github.io/" TargetMode="External"/><Relationship Id="rId2014" Type="http://schemas.openxmlformats.org/officeDocument/2006/relationships/hyperlink" Target="https://ieeexplore.ieee.org/abstract/document/10089678/" TargetMode="External"/><Relationship Id="rId2015" Type="http://schemas.openxmlformats.org/officeDocument/2006/relationships/hyperlink" Target="https://ieeexplore.ieee.org/abstract/document/10100741/" TargetMode="External"/><Relationship Id="rId2049" Type="http://schemas.openxmlformats.org/officeDocument/2006/relationships/hyperlink" Target="https://ieeexplore.ieee.org/document/10311771/" TargetMode="External"/><Relationship Id="rId129" Type="http://schemas.openxmlformats.org/officeDocument/2006/relationships/hyperlink" Target="http://www.ecva.net/papers/eccv_2020/papers_ECCV/papers/123740035.pdf" TargetMode="External"/><Relationship Id="rId128" Type="http://schemas.openxmlformats.org/officeDocument/2006/relationships/hyperlink" Target="http://www.ecva.net/papers/eccv_2020/papers_ECCV/papers/123710052.pdf" TargetMode="External"/><Relationship Id="rId127" Type="http://schemas.openxmlformats.org/officeDocument/2006/relationships/hyperlink" Target="http://www.ecva.net/papers/eccv_2020/papers_ECCV/papers/123630647.pdf" TargetMode="External"/><Relationship Id="rId126" Type="http://schemas.openxmlformats.org/officeDocument/2006/relationships/hyperlink" Target="http://www.ecva.net/papers/eccv_2020/papers_ECCV/papers/123530681.pdf" TargetMode="External"/><Relationship Id="rId2040" Type="http://schemas.openxmlformats.org/officeDocument/2006/relationships/hyperlink" Target="https://ieeexplore.ieee.org/document/10168635" TargetMode="External"/><Relationship Id="rId121" Type="http://schemas.openxmlformats.org/officeDocument/2006/relationships/hyperlink" Target="http://www.bmva.org/bmvc/2016/papers/paper009/" TargetMode="External"/><Relationship Id="rId2041" Type="http://schemas.openxmlformats.org/officeDocument/2006/relationships/hyperlink" Target="https://ieeexplore.ieee.org/document/10169359/" TargetMode="External"/><Relationship Id="rId120" Type="http://schemas.openxmlformats.org/officeDocument/2006/relationships/hyperlink" Target="http://www.bmva.org/bmvc/2014/papers/paper066/" TargetMode="External"/><Relationship Id="rId2042" Type="http://schemas.openxmlformats.org/officeDocument/2006/relationships/hyperlink" Target="https://ieeexplore.ieee.org/document/10169361/" TargetMode="External"/><Relationship Id="rId2043" Type="http://schemas.openxmlformats.org/officeDocument/2006/relationships/hyperlink" Target="https://ieeexplore.ieee.org/document/10186751/" TargetMode="External"/><Relationship Id="rId2044" Type="http://schemas.openxmlformats.org/officeDocument/2006/relationships/hyperlink" Target="https://ieeexplore.ieee.org/document/10191272/" TargetMode="External"/><Relationship Id="rId125" Type="http://schemas.openxmlformats.org/officeDocument/2006/relationships/hyperlink" Target="http://www.ecva.net/papers/eccv_2020/papers_ECCV/papers/123510494.pdf" TargetMode="External"/><Relationship Id="rId2045" Type="http://schemas.openxmlformats.org/officeDocument/2006/relationships/hyperlink" Target="https://ieeexplore.ieee.org/document/10195232/" TargetMode="External"/><Relationship Id="rId124" Type="http://schemas.openxmlformats.org/officeDocument/2006/relationships/hyperlink" Target="http://www.ecva.net/papers/eccv_2020/papers_ECCV/papers/123500154.pdf" TargetMode="External"/><Relationship Id="rId2046" Type="http://schemas.openxmlformats.org/officeDocument/2006/relationships/hyperlink" Target="https://ieeexplore.ieee.org/document/10196434/" TargetMode="External"/><Relationship Id="rId123" Type="http://schemas.openxmlformats.org/officeDocument/2006/relationships/hyperlink" Target="http://www.cv-foundation.org/openaccess/content_cvpr_2016/papers/Bardow_Simultaneous_Optical_Flow_CVPR_2016_paper.pdf" TargetMode="External"/><Relationship Id="rId2047" Type="http://schemas.openxmlformats.org/officeDocument/2006/relationships/hyperlink" Target="https://ieeexplore.ieee.org/document/10210581/" TargetMode="External"/><Relationship Id="rId122" Type="http://schemas.openxmlformats.org/officeDocument/2006/relationships/hyperlink" Target="http://www.bmva.org/bmvc/2016/papers/paper063/" TargetMode="External"/><Relationship Id="rId2048" Type="http://schemas.openxmlformats.org/officeDocument/2006/relationships/hyperlink" Target="https://ieeexplore.ieee.org/document/10311251/" TargetMode="External"/><Relationship Id="rId2038" Type="http://schemas.openxmlformats.org/officeDocument/2006/relationships/hyperlink" Target="https://ieeexplore.ieee.org/document/10166491" TargetMode="External"/><Relationship Id="rId2039" Type="http://schemas.openxmlformats.org/officeDocument/2006/relationships/hyperlink" Target="https://ieeexplore.ieee.org/document/10168551" TargetMode="External"/><Relationship Id="rId118" Type="http://schemas.openxmlformats.org/officeDocument/2006/relationships/hyperlink" Target="http://www.arxiv.org/abs/2507.11931" TargetMode="External"/><Relationship Id="rId117" Type="http://schemas.openxmlformats.org/officeDocument/2006/relationships/hyperlink" Target="http://www.arxiv.org/abs/2506.04817" TargetMode="External"/><Relationship Id="rId116" Type="http://schemas.openxmlformats.org/officeDocument/2006/relationships/hyperlink" Target="http://www.arxiv.org/abs/2506.02547" TargetMode="External"/><Relationship Id="rId115" Type="http://schemas.openxmlformats.org/officeDocument/2006/relationships/hyperlink" Target="http://www.arxiv.org/abs/2504.04029" TargetMode="External"/><Relationship Id="rId119" Type="http://schemas.openxmlformats.org/officeDocument/2006/relationships/hyperlink" Target="http://www.arxiv.org/abs/2507.15150" TargetMode="External"/><Relationship Id="rId110" Type="http://schemas.openxmlformats.org/officeDocument/2006/relationships/hyperlink" Target="http://rpg.ifi.uzh.ch/uzh-fpv.html" TargetMode="External"/><Relationship Id="rId2030" Type="http://schemas.openxmlformats.org/officeDocument/2006/relationships/hyperlink" Target="https://ieeexplore.ieee.org/document/10016699/" TargetMode="External"/><Relationship Id="rId2031" Type="http://schemas.openxmlformats.org/officeDocument/2006/relationships/hyperlink" Target="https://ieeexplore.ieee.org/document/10018655/" TargetMode="External"/><Relationship Id="rId2032" Type="http://schemas.openxmlformats.org/officeDocument/2006/relationships/hyperlink" Target="https://ieeexplore.ieee.org/document/10067566" TargetMode="External"/><Relationship Id="rId2033" Type="http://schemas.openxmlformats.org/officeDocument/2006/relationships/hyperlink" Target="https://ieeexplore.ieee.org/document/10092278/" TargetMode="External"/><Relationship Id="rId114" Type="http://schemas.openxmlformats.org/officeDocument/2006/relationships/hyperlink" Target="http://www.arxiv.org/abs/2407.20708" TargetMode="External"/><Relationship Id="rId2034" Type="http://schemas.openxmlformats.org/officeDocument/2006/relationships/hyperlink" Target="https://ieeexplore.ieee.org/document/10136914/" TargetMode="External"/><Relationship Id="rId113" Type="http://schemas.openxmlformats.org/officeDocument/2006/relationships/hyperlink" Target="http://www.arxiv.org/abs/2407.06838" TargetMode="External"/><Relationship Id="rId2035" Type="http://schemas.openxmlformats.org/officeDocument/2006/relationships/hyperlink" Target="https://ieeexplore.ieee.org/document/10138453/" TargetMode="External"/><Relationship Id="rId112" Type="http://schemas.openxmlformats.org/officeDocument/2006/relationships/hyperlink" Target="http://vi.kaist.ac.kr/wp-content/uploads/2021/03/EventSeg_S_Tlearning.pdf" TargetMode="External"/><Relationship Id="rId2036" Type="http://schemas.openxmlformats.org/officeDocument/2006/relationships/hyperlink" Target="https://ieeexplore.ieee.org/document/10143632" TargetMode="External"/><Relationship Id="rId111" Type="http://schemas.openxmlformats.org/officeDocument/2006/relationships/hyperlink" Target="http://snowplow.apps.clarivate.com/r/tp2?u=https%3A%2F%2Fwww.webofscience.com%2Fapi%2Fgateway%3FGWVersion%3D2%26SrcAuth%3DAlerting%26AlertId%3D3e688ea3-a952-4989-9914-5feeda2d9365%26KeyQueryID%3D554329ff-57f1-41eb-9e66-1a3d503c580f%26SrcApp%3Dprofile%26DestApp%3DWOS_CPL%26DestLinkType%3DFullRecord%26KeyUT%3DWOS%3A001264457400001&amp;co=%7B%22schema%22%3A%22iglu%3Acom.snowplowanalytics.snowplow%2Fcontexts%2Fjsonschema%2F1-0-0%22%2C%22data%22%3A%5B%7B%22schema%22%3A%22iglu%3Acom.clarivate.userintel%2Femail_engine%2Fjsonschema%2F1-0-0%22%2C%22data%22%3A%7B%22emailInstId%22%3A%22904d9e10-c530-40d1-8260-99f2b1d29f89%22%2C%22eventType%22%3A%22track_link%22%2C%22linkType%22%3A%22alert-wos-click-on-record-link%22%2C%22linkId%22%3A%22%22%7D%7D%5D%7D&amp;e=se&amp;aid=email-eng&amp;se_ac=alert-wos-click-on-record-link" TargetMode="External"/><Relationship Id="rId2037" Type="http://schemas.openxmlformats.org/officeDocument/2006/relationships/hyperlink" Target="https://ieeexplore.ieee.org/document/10149465/" TargetMode="External"/><Relationship Id="rId2005" Type="http://schemas.openxmlformats.org/officeDocument/2006/relationships/hyperlink" Target="https://hal.science/hal-04211637" TargetMode="External"/><Relationship Id="rId2006" Type="http://schemas.openxmlformats.org/officeDocument/2006/relationships/hyperlink" Target="https://hal.science/hal-04219396/document" TargetMode="External"/><Relationship Id="rId2007" Type="http://schemas.openxmlformats.org/officeDocument/2006/relationships/hyperlink" Target="https://hal.science/hal-04405932/document" TargetMode="External"/><Relationship Id="rId2008" Type="http://schemas.openxmlformats.org/officeDocument/2006/relationships/hyperlink" Target="https://hal.science/tel-04762118v1/file/CUADRADO_Javier_PhD_Manuscript_corrected.pdf" TargetMode="External"/><Relationship Id="rId2009" Type="http://schemas.openxmlformats.org/officeDocument/2006/relationships/hyperlink" Target="https://hdl.handle.net/2123/33750" TargetMode="External"/><Relationship Id="rId2000" Type="http://schemas.openxmlformats.org/officeDocument/2006/relationships/hyperlink" Target="https://hal.archives-ouvertes.fr/hal-03671778/file/VISAPP_2022_Gruel.pdf" TargetMode="External"/><Relationship Id="rId2001" Type="http://schemas.openxmlformats.org/officeDocument/2006/relationships/hyperlink" Target="https://hal.science/hal-03760724/document" TargetMode="External"/><Relationship Id="rId2002" Type="http://schemas.openxmlformats.org/officeDocument/2006/relationships/hyperlink" Target="https://hal.science/hal-03933201/" TargetMode="External"/><Relationship Id="rId2003" Type="http://schemas.openxmlformats.org/officeDocument/2006/relationships/hyperlink" Target="https://hal.science/hal-04169328/" TargetMode="External"/><Relationship Id="rId2004" Type="http://schemas.openxmlformats.org/officeDocument/2006/relationships/hyperlink" Target="https://hal.science/hal-04183160/document" TargetMode="External"/><Relationship Id="rId2090" Type="http://schemas.openxmlformats.org/officeDocument/2006/relationships/hyperlink" Target="https://ieeexplore.ieee.org/document/9850353/" TargetMode="External"/><Relationship Id="rId2091" Type="http://schemas.openxmlformats.org/officeDocument/2006/relationships/hyperlink" Target="https://ieeexplore.ieee.org/document/9860082/" TargetMode="External"/><Relationship Id="rId2092" Type="http://schemas.openxmlformats.org/officeDocument/2006/relationships/hyperlink" Target="https://ieeexplore.ieee.org/document/9892281/" TargetMode="External"/><Relationship Id="rId2093" Type="http://schemas.openxmlformats.org/officeDocument/2006/relationships/hyperlink" Target="https://ieeexplore.ieee.org/document/9892362/" TargetMode="External"/><Relationship Id="rId2094" Type="http://schemas.openxmlformats.org/officeDocument/2006/relationships/hyperlink" Target="https://ieeexplore.ieee.org/document/9897354" TargetMode="External"/><Relationship Id="rId2095" Type="http://schemas.openxmlformats.org/officeDocument/2006/relationships/hyperlink" Target="https://ieeexplore.ieee.org/document/9897394/" TargetMode="External"/><Relationship Id="rId2096" Type="http://schemas.openxmlformats.org/officeDocument/2006/relationships/hyperlink" Target="https://ieeexplore.ieee.org/document/9897432" TargetMode="External"/><Relationship Id="rId2097" Type="http://schemas.openxmlformats.org/officeDocument/2006/relationships/hyperlink" Target="https://ieeexplore.ieee.org/document/9897492/" TargetMode="External"/><Relationship Id="rId2098" Type="http://schemas.openxmlformats.org/officeDocument/2006/relationships/hyperlink" Target="https://ieeexplore.ieee.org/document/9898061" TargetMode="External"/><Relationship Id="rId2099" Type="http://schemas.openxmlformats.org/officeDocument/2006/relationships/hyperlink" Target="https://ieeexplore.ieee.org/document/9902710/" TargetMode="External"/><Relationship Id="rId2060" Type="http://schemas.openxmlformats.org/officeDocument/2006/relationships/hyperlink" Target="https://ieeexplore.ieee.org/document/9053002" TargetMode="External"/><Relationship Id="rId2061" Type="http://schemas.openxmlformats.org/officeDocument/2006/relationships/hyperlink" Target="https://ieeexplore.ieee.org/document/9073922" TargetMode="External"/><Relationship Id="rId2062" Type="http://schemas.openxmlformats.org/officeDocument/2006/relationships/hyperlink" Target="https://ieeexplore.ieee.org/document/9372134" TargetMode="External"/><Relationship Id="rId2063" Type="http://schemas.openxmlformats.org/officeDocument/2006/relationships/hyperlink" Target="https://ieeexplore.ieee.org/document/9395703" TargetMode="External"/><Relationship Id="rId2064" Type="http://schemas.openxmlformats.org/officeDocument/2006/relationships/hyperlink" Target="https://ieeexplore.ieee.org/document/9400234" TargetMode="External"/><Relationship Id="rId2065" Type="http://schemas.openxmlformats.org/officeDocument/2006/relationships/hyperlink" Target="https://ieeexplore.ieee.org/document/9454404/" TargetMode="External"/><Relationship Id="rId2066" Type="http://schemas.openxmlformats.org/officeDocument/2006/relationships/hyperlink" Target="https://ieeexplore.ieee.org/document/9479757" TargetMode="External"/><Relationship Id="rId2067" Type="http://schemas.openxmlformats.org/officeDocument/2006/relationships/hyperlink" Target="https://ieeexplore.ieee.org/document/9486868" TargetMode="External"/><Relationship Id="rId2068" Type="http://schemas.openxmlformats.org/officeDocument/2006/relationships/hyperlink" Target="https://ieeexplore.ieee.org/document/9490245" TargetMode="External"/><Relationship Id="rId2069" Type="http://schemas.openxmlformats.org/officeDocument/2006/relationships/hyperlink" Target="https://ieeexplore.ieee.org/document/9494335/" TargetMode="External"/><Relationship Id="rId2050" Type="http://schemas.openxmlformats.org/officeDocument/2006/relationships/hyperlink" Target="https://ieeexplore.ieee.org/document/10610401/" TargetMode="External"/><Relationship Id="rId2051" Type="http://schemas.openxmlformats.org/officeDocument/2006/relationships/hyperlink" Target="https://ieeexplore.ieee.org/document/10611127/" TargetMode="External"/><Relationship Id="rId2052" Type="http://schemas.openxmlformats.org/officeDocument/2006/relationships/hyperlink" Target="https://ieeexplore.ieee.org/document/10651400/" TargetMode="External"/><Relationship Id="rId2053" Type="http://schemas.openxmlformats.org/officeDocument/2006/relationships/hyperlink" Target="https://ieeexplore.ieee.org/document/11051240/" TargetMode="External"/><Relationship Id="rId2054" Type="http://schemas.openxmlformats.org/officeDocument/2006/relationships/hyperlink" Target="https://ieeexplore.ieee.org/document/11226425" TargetMode="External"/><Relationship Id="rId2055" Type="http://schemas.openxmlformats.org/officeDocument/2006/relationships/hyperlink" Target="https://ieeexplore.ieee.org/document/7063246" TargetMode="External"/><Relationship Id="rId2056" Type="http://schemas.openxmlformats.org/officeDocument/2006/relationships/hyperlink" Target="https://ieeexplore.ieee.org/document/7436808" TargetMode="External"/><Relationship Id="rId2057" Type="http://schemas.openxmlformats.org/officeDocument/2006/relationships/hyperlink" Target="https://ieeexplore.ieee.org/document/8368143/" TargetMode="External"/><Relationship Id="rId2058" Type="http://schemas.openxmlformats.org/officeDocument/2006/relationships/hyperlink" Target="https://ieeexplore.ieee.org/document/8463622" TargetMode="External"/><Relationship Id="rId2059" Type="http://schemas.openxmlformats.org/officeDocument/2006/relationships/hyperlink" Target="https://ieeexplore.ieee.org/document/8660483" TargetMode="External"/><Relationship Id="rId2080" Type="http://schemas.openxmlformats.org/officeDocument/2006/relationships/hyperlink" Target="https://ieeexplore.ieee.org/document/9771080/" TargetMode="External"/><Relationship Id="rId2081" Type="http://schemas.openxmlformats.org/officeDocument/2006/relationships/hyperlink" Target="https://ieeexplore.ieee.org/document/9782692/" TargetMode="External"/><Relationship Id="rId2082" Type="http://schemas.openxmlformats.org/officeDocument/2006/relationships/hyperlink" Target="https://ieeexplore.ieee.org/document/9807397/" TargetMode="External"/><Relationship Id="rId2083" Type="http://schemas.openxmlformats.org/officeDocument/2006/relationships/hyperlink" Target="https://ieeexplore.ieee.org/document/9811687/" TargetMode="External"/><Relationship Id="rId2084" Type="http://schemas.openxmlformats.org/officeDocument/2006/relationships/hyperlink" Target="https://ieeexplore.ieee.org/document/9812059/" TargetMode="External"/><Relationship Id="rId2085" Type="http://schemas.openxmlformats.org/officeDocument/2006/relationships/hyperlink" Target="https://ieeexplore.ieee.org/document/9812142/" TargetMode="External"/><Relationship Id="rId2086" Type="http://schemas.openxmlformats.org/officeDocument/2006/relationships/hyperlink" Target="https://ieeexplore.ieee.org/document/9815134/" TargetMode="External"/><Relationship Id="rId2087" Type="http://schemas.openxmlformats.org/officeDocument/2006/relationships/hyperlink" Target="https://ieeexplore.ieee.org/document/9816799/" TargetMode="External"/><Relationship Id="rId2088" Type="http://schemas.openxmlformats.org/officeDocument/2006/relationships/hyperlink" Target="https://ieeexplore.ieee.org/document/9819909/" TargetMode="External"/><Relationship Id="rId2089" Type="http://schemas.openxmlformats.org/officeDocument/2006/relationships/hyperlink" Target="https://ieeexplore.ieee.org/document/9844855/" TargetMode="External"/><Relationship Id="rId2070" Type="http://schemas.openxmlformats.org/officeDocument/2006/relationships/hyperlink" Target="https://ieeexplore.ieee.org/document/9589502/" TargetMode="External"/><Relationship Id="rId2071" Type="http://schemas.openxmlformats.org/officeDocument/2006/relationships/hyperlink" Target="https://ieeexplore.ieee.org/document/9706311" TargetMode="External"/><Relationship Id="rId2072" Type="http://schemas.openxmlformats.org/officeDocument/2006/relationships/hyperlink" Target="https://ieeexplore.ieee.org/document/9713987" TargetMode="External"/><Relationship Id="rId2073" Type="http://schemas.openxmlformats.org/officeDocument/2006/relationships/hyperlink" Target="https://ieeexplore.ieee.org/document/9720086" TargetMode="External"/><Relationship Id="rId2074" Type="http://schemas.openxmlformats.org/officeDocument/2006/relationships/hyperlink" Target="https://ieeexplore.ieee.org/document/9720923" TargetMode="External"/><Relationship Id="rId2075" Type="http://schemas.openxmlformats.org/officeDocument/2006/relationships/hyperlink" Target="https://ieeexplore.ieee.org/document/9721918/" TargetMode="External"/><Relationship Id="rId2076" Type="http://schemas.openxmlformats.org/officeDocument/2006/relationships/hyperlink" Target="https://ieeexplore.ieee.org/document/9727106/" TargetMode="External"/><Relationship Id="rId2077" Type="http://schemas.openxmlformats.org/officeDocument/2006/relationships/hyperlink" Target="https://ieeexplore.ieee.org/document/9747832" TargetMode="External"/><Relationship Id="rId2078" Type="http://schemas.openxmlformats.org/officeDocument/2006/relationships/hyperlink" Target="https://ieeexplore.ieee.org/document/9749022/" TargetMode="External"/><Relationship Id="rId2079" Type="http://schemas.openxmlformats.org/officeDocument/2006/relationships/hyperlink" Target="https://ieeexplore.ieee.org/document/9757431" TargetMode="External"/><Relationship Id="rId2940" Type="http://schemas.openxmlformats.org/officeDocument/2006/relationships/hyperlink" Target="https://www.mdpi.com/2072-666X/14/1/203" TargetMode="External"/><Relationship Id="rId1610" Type="http://schemas.openxmlformats.org/officeDocument/2006/relationships/hyperlink" Target="https://doi.org/10.1109/TCSI.2025.3526965" TargetMode="External"/><Relationship Id="rId2941" Type="http://schemas.openxmlformats.org/officeDocument/2006/relationships/hyperlink" Target="https://www.mdpi.com/2073-8994/18/1/175" TargetMode="External"/><Relationship Id="rId1611" Type="http://schemas.openxmlformats.org/officeDocument/2006/relationships/hyperlink" Target="https://doi.org/10.1109/TCSI.2025.3560666" TargetMode="External"/><Relationship Id="rId2942" Type="http://schemas.openxmlformats.org/officeDocument/2006/relationships/hyperlink" Target="https://www.mdpi.com/2076-3417/13/18/10357" TargetMode="External"/><Relationship Id="rId1612" Type="http://schemas.openxmlformats.org/officeDocument/2006/relationships/hyperlink" Target="https://doi.org/10.1109/TCSI.2025.3573092" TargetMode="External"/><Relationship Id="rId2943" Type="http://schemas.openxmlformats.org/officeDocument/2006/relationships/hyperlink" Target="https://www.mdpi.com/2076-3417/13/9/5761" TargetMode="External"/><Relationship Id="rId1613" Type="http://schemas.openxmlformats.org/officeDocument/2006/relationships/hyperlink" Target="https://doi.org/10.1109/TCSI.2025.3633669" TargetMode="External"/><Relationship Id="rId2944" Type="http://schemas.openxmlformats.org/officeDocument/2006/relationships/hyperlink" Target="https://www.mdpi.com/2079-9292/12/10/2302" TargetMode="External"/><Relationship Id="rId1614" Type="http://schemas.openxmlformats.org/officeDocument/2006/relationships/hyperlink" Target="https://doi.org/10.1109/TCSII.2024.3364753" TargetMode="External"/><Relationship Id="rId2945" Type="http://schemas.openxmlformats.org/officeDocument/2006/relationships/hyperlink" Target="https://www.mdpi.com/2079-9292/13/6/1047" TargetMode="External"/><Relationship Id="rId1615" Type="http://schemas.openxmlformats.org/officeDocument/2006/relationships/hyperlink" Target="https://doi.org/10.1109/TCSVT.2020.3034148" TargetMode="External"/><Relationship Id="rId2946" Type="http://schemas.openxmlformats.org/officeDocument/2006/relationships/hyperlink" Target="https://www.mdpi.com/2079-9292/14/15/3094" TargetMode="External"/><Relationship Id="rId1616" Type="http://schemas.openxmlformats.org/officeDocument/2006/relationships/hyperlink" Target="https://doi.org/10.1109/TCSVT.2023.3249195" TargetMode="External"/><Relationship Id="rId2947" Type="http://schemas.openxmlformats.org/officeDocument/2006/relationships/hyperlink" Target="https://www.mdpi.com/2079-9292/14/9/1817" TargetMode="External"/><Relationship Id="rId907" Type="http://schemas.openxmlformats.org/officeDocument/2006/relationships/hyperlink" Target="https://arxiv.org/html/2407.21616v1" TargetMode="External"/><Relationship Id="rId1617" Type="http://schemas.openxmlformats.org/officeDocument/2006/relationships/hyperlink" Target="https://doi.org/10.1109/TCSVT.2023.3301176" TargetMode="External"/><Relationship Id="rId2948" Type="http://schemas.openxmlformats.org/officeDocument/2006/relationships/hyperlink" Target="https://www.mdpi.com/2079-9292/8/11/1298" TargetMode="External"/><Relationship Id="rId906" Type="http://schemas.openxmlformats.org/officeDocument/2006/relationships/hyperlink" Target="https://arxiv.org/html/2407.20633v1" TargetMode="External"/><Relationship Id="rId1618" Type="http://schemas.openxmlformats.org/officeDocument/2006/relationships/hyperlink" Target="https://doi.org/10.1109/TCSVT.2023.3317976" TargetMode="External"/><Relationship Id="rId2949" Type="http://schemas.openxmlformats.org/officeDocument/2006/relationships/hyperlink" Target="https://www.mdpi.com/2115662" TargetMode="External"/><Relationship Id="rId905" Type="http://schemas.openxmlformats.org/officeDocument/2006/relationships/hyperlink" Target="https://arxiv.org/html/2407.05547v1" TargetMode="External"/><Relationship Id="rId1619" Type="http://schemas.openxmlformats.org/officeDocument/2006/relationships/hyperlink" Target="https://doi.org/10.1109/TCSVT.2023.3335457" TargetMode="External"/><Relationship Id="rId904" Type="http://schemas.openxmlformats.org/officeDocument/2006/relationships/hyperlink" Target="https://arxiv.org/html/2407.05106v1" TargetMode="External"/><Relationship Id="rId909" Type="http://schemas.openxmlformats.org/officeDocument/2006/relationships/hyperlink" Target="https://arxiv.org/html/2408.10488v1" TargetMode="External"/><Relationship Id="rId908" Type="http://schemas.openxmlformats.org/officeDocument/2006/relationships/hyperlink" Target="https://arxiv.org/html/2408.10395v1" TargetMode="External"/><Relationship Id="rId903" Type="http://schemas.openxmlformats.org/officeDocument/2006/relationships/hyperlink" Target="https://arxiv.org/html/2406.13457v1" TargetMode="External"/><Relationship Id="rId902" Type="http://schemas.openxmlformats.org/officeDocument/2006/relationships/hyperlink" Target="https://arxiv.org/html/2405.18021v1" TargetMode="External"/><Relationship Id="rId901" Type="http://schemas.openxmlformats.org/officeDocument/2006/relationships/hyperlink" Target="https://arxiv.org/html/2405.14959v1" TargetMode="External"/><Relationship Id="rId900" Type="http://schemas.openxmlformats.org/officeDocument/2006/relationships/hyperlink" Target="https://arxiv.org/html/2405.06944v1" TargetMode="External"/><Relationship Id="rId2930" Type="http://schemas.openxmlformats.org/officeDocument/2006/relationships/hyperlink" Target="https://www.mdpi.com/1424-8220/22/7/2614" TargetMode="External"/><Relationship Id="rId1600" Type="http://schemas.openxmlformats.org/officeDocument/2006/relationships/hyperlink" Target="https://doi.org/10.1109/TCAD.2025.3638266" TargetMode="External"/><Relationship Id="rId2931" Type="http://schemas.openxmlformats.org/officeDocument/2006/relationships/hyperlink" Target="https://www.mdpi.com/1424-8220/23/13/6195" TargetMode="External"/><Relationship Id="rId1601" Type="http://schemas.openxmlformats.org/officeDocument/2006/relationships/hyperlink" Target="https://doi.org/10.1109/TCDS.2022.3210278" TargetMode="External"/><Relationship Id="rId2932" Type="http://schemas.openxmlformats.org/officeDocument/2006/relationships/hyperlink" Target="https://www.mdpi.com/1424-8220/23/4/1998" TargetMode="External"/><Relationship Id="rId1602" Type="http://schemas.openxmlformats.org/officeDocument/2006/relationships/hyperlink" Target="https://doi.org/10.1109/TCDS.2024.3380907" TargetMode="External"/><Relationship Id="rId2933" Type="http://schemas.openxmlformats.org/officeDocument/2006/relationships/hyperlink" Target="https://www.mdpi.com/1424-8220/23/4/2155" TargetMode="External"/><Relationship Id="rId1603" Type="http://schemas.openxmlformats.org/officeDocument/2006/relationships/hyperlink" Target="https://doi.org/10.1109/TCDS.2024.3406168" TargetMode="External"/><Relationship Id="rId2934" Type="http://schemas.openxmlformats.org/officeDocument/2006/relationships/hyperlink" Target="https://www.mdpi.com/1424-8220/23/7/3699" TargetMode="External"/><Relationship Id="rId1604" Type="http://schemas.openxmlformats.org/officeDocument/2006/relationships/hyperlink" Target="https://doi.org/10.1109/TCDS.2024.3410371" TargetMode="External"/><Relationship Id="rId2935" Type="http://schemas.openxmlformats.org/officeDocument/2006/relationships/hyperlink" Target="https://www.mdpi.com/1424-8220/24/5/1382" TargetMode="External"/><Relationship Id="rId1605" Type="http://schemas.openxmlformats.org/officeDocument/2006/relationships/hyperlink" Target="https://doi.org/10.1109/TCDS.2024.3422873" TargetMode="External"/><Relationship Id="rId2936" Type="http://schemas.openxmlformats.org/officeDocument/2006/relationships/hyperlink" Target="https://www.mdpi.com/1424-8220/25/18/5898" TargetMode="External"/><Relationship Id="rId1606" Type="http://schemas.openxmlformats.org/officeDocument/2006/relationships/hyperlink" Target="https://doi.org/10.1109/TCI.2019.2948755" TargetMode="External"/><Relationship Id="rId2937" Type="http://schemas.openxmlformats.org/officeDocument/2006/relationships/hyperlink" Target="https://www.mdpi.com/1424-8220/25/23/7381" TargetMode="External"/><Relationship Id="rId1607" Type="http://schemas.openxmlformats.org/officeDocument/2006/relationships/hyperlink" Target="https://doi.org/10.1109/TCSI.2024.3387998" TargetMode="External"/><Relationship Id="rId2938" Type="http://schemas.openxmlformats.org/officeDocument/2006/relationships/hyperlink" Target="https://www.mdpi.com/1892122" TargetMode="External"/><Relationship Id="rId1608" Type="http://schemas.openxmlformats.org/officeDocument/2006/relationships/hyperlink" Target="https://doi.org/10.1109/TCSI.2024.3441371" TargetMode="External"/><Relationship Id="rId2939" Type="http://schemas.openxmlformats.org/officeDocument/2006/relationships/hyperlink" Target="https://www.mdpi.com/2072-4292/14/8/1773/pdf" TargetMode="External"/><Relationship Id="rId1609" Type="http://schemas.openxmlformats.org/officeDocument/2006/relationships/hyperlink" Target="https://doi.org/10.1109/TCSI.2024.3517133" TargetMode="External"/><Relationship Id="rId1631" Type="http://schemas.openxmlformats.org/officeDocument/2006/relationships/hyperlink" Target="https://doi.org/10.1109/TCSVT.2025.3642699" TargetMode="External"/><Relationship Id="rId2962" Type="http://schemas.openxmlformats.org/officeDocument/2006/relationships/hyperlink" Target="https://www.motius.com/post/why-event-cameras-are-the-next-step-in-computer-vision" TargetMode="External"/><Relationship Id="rId1632" Type="http://schemas.openxmlformats.org/officeDocument/2006/relationships/hyperlink" Target="https://doi.org/10.1109/TED.2025.3601548" TargetMode="External"/><Relationship Id="rId2963" Type="http://schemas.openxmlformats.org/officeDocument/2006/relationships/hyperlink" Target="https://www.nature.com/articles/s41467-022-28487-2" TargetMode="External"/><Relationship Id="rId1633" Type="http://schemas.openxmlformats.org/officeDocument/2006/relationships/hyperlink" Target="https://doi.org/10.1109/TETCI.2024.3363071" TargetMode="External"/><Relationship Id="rId2964" Type="http://schemas.openxmlformats.org/officeDocument/2006/relationships/hyperlink" Target="https://www.nature.com/articles/s41467-024-45063-y" TargetMode="External"/><Relationship Id="rId1634" Type="http://schemas.openxmlformats.org/officeDocument/2006/relationships/hyperlink" Target="https://doi.org/10.1109/TETCI.2025.3574177" TargetMode="External"/><Relationship Id="rId2965" Type="http://schemas.openxmlformats.org/officeDocument/2006/relationships/hyperlink" Target="https://www.nature.com/articles/s41467-025-68013-8" TargetMode="External"/><Relationship Id="rId1635" Type="http://schemas.openxmlformats.org/officeDocument/2006/relationships/hyperlink" Target="https://doi.org/10.1109/TGRS.2025.3527474" TargetMode="External"/><Relationship Id="rId2966" Type="http://schemas.openxmlformats.org/officeDocument/2006/relationships/hyperlink" Target="https://www.nature.com/articles/s41528-025-00512-6" TargetMode="External"/><Relationship Id="rId1636" Type="http://schemas.openxmlformats.org/officeDocument/2006/relationships/hyperlink" Target="https://doi.org/10.1109/TGRS.2025.3530915" TargetMode="External"/><Relationship Id="rId2967" Type="http://schemas.openxmlformats.org/officeDocument/2006/relationships/hyperlink" Target="https://www.nature.com/articles/s41565-022-01291-1" TargetMode="External"/><Relationship Id="rId1637" Type="http://schemas.openxmlformats.org/officeDocument/2006/relationships/hyperlink" Target="https://doi.org/10.1109/TGRS.2025.3636122" TargetMode="External"/><Relationship Id="rId2968" Type="http://schemas.openxmlformats.org/officeDocument/2006/relationships/hyperlink" Target="https://www.nature.com/articles/s41565-025-01973-6" TargetMode="External"/><Relationship Id="rId1638" Type="http://schemas.openxmlformats.org/officeDocument/2006/relationships/hyperlink" Target="https://doi.org/10.1109/THMS.2025.3628064" TargetMode="External"/><Relationship Id="rId2969" Type="http://schemas.openxmlformats.org/officeDocument/2006/relationships/hyperlink" Target="https://www.nature.com/articles/s41586-024-07409-w" TargetMode="External"/><Relationship Id="rId929" Type="http://schemas.openxmlformats.org/officeDocument/2006/relationships/hyperlink" Target="https://arxiv.org/html/2505.11232v1" TargetMode="External"/><Relationship Id="rId1639" Type="http://schemas.openxmlformats.org/officeDocument/2006/relationships/hyperlink" Target="https://doi.org/10.1109/TIE.2024.3476931" TargetMode="External"/><Relationship Id="rId928" Type="http://schemas.openxmlformats.org/officeDocument/2006/relationships/hyperlink" Target="https://arxiv.org/html/2505.08235v1" TargetMode="External"/><Relationship Id="rId927" Type="http://schemas.openxmlformats.org/officeDocument/2006/relationships/hyperlink" Target="https://arxiv.org/html/2504.12401v1" TargetMode="External"/><Relationship Id="rId926" Type="http://schemas.openxmlformats.org/officeDocument/2006/relationships/hyperlink" Target="https://arxiv.org/html/2504.02803v1" TargetMode="External"/><Relationship Id="rId921" Type="http://schemas.openxmlformats.org/officeDocument/2006/relationships/hyperlink" Target="https://arxiv.org/html/2503.19135v1" TargetMode="External"/><Relationship Id="rId920" Type="http://schemas.openxmlformats.org/officeDocument/2006/relationships/hyperlink" Target="https://arxiv.org/html/2503.11371v1" TargetMode="External"/><Relationship Id="rId925" Type="http://schemas.openxmlformats.org/officeDocument/2006/relationships/hyperlink" Target="https://arxiv.org/html/2504.02402v1" TargetMode="External"/><Relationship Id="rId924" Type="http://schemas.openxmlformats.org/officeDocument/2006/relationships/hyperlink" Target="https://arxiv.org/html/2503.22943v1" TargetMode="External"/><Relationship Id="rId923" Type="http://schemas.openxmlformats.org/officeDocument/2006/relationships/hyperlink" Target="https://arxiv.org/html/2503.19916v1" TargetMode="External"/><Relationship Id="rId922" Type="http://schemas.openxmlformats.org/officeDocument/2006/relationships/hyperlink" Target="https://arxiv.org/html/2503.19753v1" TargetMode="External"/><Relationship Id="rId2960" Type="http://schemas.openxmlformats.org/officeDocument/2006/relationships/hyperlink" Target="https://www.mdpi.com/journal/electronics/special_issues/Visual_Servoing" TargetMode="External"/><Relationship Id="rId1630" Type="http://schemas.openxmlformats.org/officeDocument/2006/relationships/hyperlink" Target="https://doi.org/10.1109/TCSVT.2025.3589222" TargetMode="External"/><Relationship Id="rId2961" Type="http://schemas.openxmlformats.org/officeDocument/2006/relationships/hyperlink" Target="https://www.meegle.com/en_us/topics/neuromorphic-engineering/neuromorphic-robotics" TargetMode="External"/><Relationship Id="rId1620" Type="http://schemas.openxmlformats.org/officeDocument/2006/relationships/hyperlink" Target="https://doi.org/10.1109/TCSVT.2024.3378742" TargetMode="External"/><Relationship Id="rId2951" Type="http://schemas.openxmlformats.org/officeDocument/2006/relationships/hyperlink" Target="https://www.mdpi.com/2227-7390/13/7/1198" TargetMode="External"/><Relationship Id="rId1621" Type="http://schemas.openxmlformats.org/officeDocument/2006/relationships/hyperlink" Target="https://doi.org/10.1109/TCSVT.2024.3495769" TargetMode="External"/><Relationship Id="rId2952" Type="http://schemas.openxmlformats.org/officeDocument/2006/relationships/hyperlink" Target="https://www.mdpi.com/2227-9717/10/10/2081/pdf?version=1665746423" TargetMode="External"/><Relationship Id="rId1622" Type="http://schemas.openxmlformats.org/officeDocument/2006/relationships/hyperlink" Target="https://doi.org/10.1109/TCSVT.2024.3519430" TargetMode="External"/><Relationship Id="rId2953" Type="http://schemas.openxmlformats.org/officeDocument/2006/relationships/hyperlink" Target="https://www.mdpi.com/2304-6732/11/5/481" TargetMode="External"/><Relationship Id="rId1623" Type="http://schemas.openxmlformats.org/officeDocument/2006/relationships/hyperlink" Target="https://doi.org/10.1109/TCSVT.2025.3530947" TargetMode="External"/><Relationship Id="rId2954" Type="http://schemas.openxmlformats.org/officeDocument/2006/relationships/hyperlink" Target="https://www.mdpi.com/2403732" TargetMode="External"/><Relationship Id="rId1624" Type="http://schemas.openxmlformats.org/officeDocument/2006/relationships/hyperlink" Target="https://doi.org/10.1109/TCSVT.2025.3550901" TargetMode="External"/><Relationship Id="rId2955" Type="http://schemas.openxmlformats.org/officeDocument/2006/relationships/hyperlink" Target="https://www.mdpi.com/2590532" TargetMode="External"/><Relationship Id="rId1625" Type="http://schemas.openxmlformats.org/officeDocument/2006/relationships/hyperlink" Target="https://doi.org/10.1109/TCSVT.2025.3551516" TargetMode="External"/><Relationship Id="rId2956" Type="http://schemas.openxmlformats.org/officeDocument/2006/relationships/hyperlink" Target="https://www.mdpi.com/2640682" TargetMode="External"/><Relationship Id="rId1626" Type="http://schemas.openxmlformats.org/officeDocument/2006/relationships/hyperlink" Target="https://doi.org/10.1109/TCSVT.2025.3559299" TargetMode="External"/><Relationship Id="rId2957" Type="http://schemas.openxmlformats.org/officeDocument/2006/relationships/hyperlink" Target="https://www.mdpi.com/2777204" TargetMode="External"/><Relationship Id="rId1627" Type="http://schemas.openxmlformats.org/officeDocument/2006/relationships/hyperlink" Target="https://doi.org/10.1109/TCSVT.2025.3568604" TargetMode="External"/><Relationship Id="rId2958" Type="http://schemas.openxmlformats.org/officeDocument/2006/relationships/hyperlink" Target="https://www.mdpi.com/books/reprint/3836" TargetMode="External"/><Relationship Id="rId918" Type="http://schemas.openxmlformats.org/officeDocument/2006/relationships/hyperlink" Target="https://arxiv.org/html/2502.18982v1" TargetMode="External"/><Relationship Id="rId1628" Type="http://schemas.openxmlformats.org/officeDocument/2006/relationships/hyperlink" Target="https://doi.org/10.1109/TCSVT.2025.3570056" TargetMode="External"/><Relationship Id="rId2959" Type="http://schemas.openxmlformats.org/officeDocument/2006/relationships/hyperlink" Target="https://www.mdpi.com/books/reprint/3836-visual-servoing-in-robotics" TargetMode="External"/><Relationship Id="rId917" Type="http://schemas.openxmlformats.org/officeDocument/2006/relationships/hyperlink" Target="https://arxiv.org/html/2502.04630v1" TargetMode="External"/><Relationship Id="rId1629" Type="http://schemas.openxmlformats.org/officeDocument/2006/relationships/hyperlink" Target="https://doi.org/10.1109/TCSVT.2025.3570786" TargetMode="External"/><Relationship Id="rId916" Type="http://schemas.openxmlformats.org/officeDocument/2006/relationships/hyperlink" Target="https://arxiv.org/html/2502.02334v1" TargetMode="External"/><Relationship Id="rId915" Type="http://schemas.openxmlformats.org/officeDocument/2006/relationships/hyperlink" Target="https://arxiv.org/html/2412.09209v1" TargetMode="External"/><Relationship Id="rId919" Type="http://schemas.openxmlformats.org/officeDocument/2006/relationships/hyperlink" Target="https://arxiv.org/html/2503.05112v1" TargetMode="External"/><Relationship Id="rId910" Type="http://schemas.openxmlformats.org/officeDocument/2006/relationships/hyperlink" Target="https://arxiv.org/html/2408.12976v1" TargetMode="External"/><Relationship Id="rId914" Type="http://schemas.openxmlformats.org/officeDocument/2006/relationships/hyperlink" Target="https://arxiv.org/html/2410.16995v1" TargetMode="External"/><Relationship Id="rId913" Type="http://schemas.openxmlformats.org/officeDocument/2006/relationships/hyperlink" Target="https://arxiv.org/html/2409.12778v1" TargetMode="External"/><Relationship Id="rId912" Type="http://schemas.openxmlformats.org/officeDocument/2006/relationships/hyperlink" Target="https://arxiv.org/html/2408.16754v1" TargetMode="External"/><Relationship Id="rId911" Type="http://schemas.openxmlformats.org/officeDocument/2006/relationships/hyperlink" Target="https://arxiv.org/html/2408.13627v2" TargetMode="External"/><Relationship Id="rId2950" Type="http://schemas.openxmlformats.org/officeDocument/2006/relationships/hyperlink" Target="https://www.mdpi.com/2180112" TargetMode="External"/><Relationship Id="rId2900" Type="http://schemas.openxmlformats.org/officeDocument/2006/relationships/hyperlink" Target="https://www.hackster.io/news/edge-impulse-openmv-seeed-and-the-tinyml-foundation-launch-new-computer-vision-coursera-course-5d451fd1f33f" TargetMode="External"/><Relationship Id="rId2901" Type="http://schemas.openxmlformats.org/officeDocument/2006/relationships/hyperlink" Target="https://www.hackster.io/news/frank-zhao-s-astrophotography-project-turns-an-openmv-into-a-wireless-digital-polar-scope-072b7936b788" TargetMode="External"/><Relationship Id="rId2902" Type="http://schemas.openxmlformats.org/officeDocument/2006/relationships/hyperlink" Target="https://www.hs-niederrhein.de/fileadmin/dateien/Institute_und_Kompetenzzentren/iPattern/selfarchived/bolten_visapp2024.pdf" TargetMode="External"/><Relationship Id="rId2903" Type="http://schemas.openxmlformats.org/officeDocument/2006/relationships/hyperlink" Target="https://www.hs-niederrhein.de/fileadmin/dateien/Institute_und_Kompetenzzentren/iPattern/selfarchived/bolten-ivapp-2022.pdf" TargetMode="External"/><Relationship Id="rId2904" Type="http://schemas.openxmlformats.org/officeDocument/2006/relationships/hyperlink" Target="https://www.hs-niederrhein.de/fileadmin/dateien/Institute_und_Kompetenzzentren/iPattern/selfarchived/bolten-visapp-2022.pdf" TargetMode="External"/><Relationship Id="rId2905" Type="http://schemas.openxmlformats.org/officeDocument/2006/relationships/hyperlink" Target="https://www.hs-niederrhein.de/fileadmin/dateien/Institute_und_Kompetenzzentren/iPattern/selfarchived/visapp23_dvs_insect_monitoring.pdf" TargetMode="External"/><Relationship Id="rId2906" Type="http://schemas.openxmlformats.org/officeDocument/2006/relationships/hyperlink" Target="https://www.hs-niederrhein.de/fileadmin/dateien/Institute_und_Kompetenzzentren/iPattern/selfarchived/visapp25_tSNE.pdf" TargetMode="External"/><Relationship Id="rId2907" Type="http://schemas.openxmlformats.org/officeDocument/2006/relationships/hyperlink" Target="https://www.icara.us" TargetMode="External"/><Relationship Id="rId2908" Type="http://schemas.openxmlformats.org/officeDocument/2006/relationships/hyperlink" Target="https://www.idiap.ch/~fleuret/papers/tulyakov-et-al-iccv2019.pdf" TargetMode="External"/><Relationship Id="rId2909" Type="http://schemas.openxmlformats.org/officeDocument/2006/relationships/hyperlink" Target="https://www.ieee-ras.org/publications/t-ro/special-issues/event-based-vision-for-robotics" TargetMode="External"/><Relationship Id="rId2920" Type="http://schemas.openxmlformats.org/officeDocument/2006/relationships/hyperlink" Target="https://www.lisbonsymposia.org/21stlxsymp2024/event-based-imaging/222" TargetMode="External"/><Relationship Id="rId2921" Type="http://schemas.openxmlformats.org/officeDocument/2006/relationships/hyperlink" Target="https://www.lisbonsymposia.org/21stlxsymp2024/event-based-imaging/35" TargetMode="External"/><Relationship Id="rId2922" Type="http://schemas.openxmlformats.org/officeDocument/2006/relationships/hyperlink" Target="https://www.lisbonsymposia.org/21stlxsymp2024/event-based-imaging/44" TargetMode="External"/><Relationship Id="rId2923" Type="http://schemas.openxmlformats.org/officeDocument/2006/relationships/hyperlink" Target="https://www.lisbonsymposia.org/21stlxsymp2024/event-based-imaging/76" TargetMode="External"/><Relationship Id="rId2924" Type="http://schemas.openxmlformats.org/officeDocument/2006/relationships/hyperlink" Target="https://www.mdpi.com/1424-8220/20/24/7079" TargetMode="External"/><Relationship Id="rId2925" Type="http://schemas.openxmlformats.org/officeDocument/2006/relationships/hyperlink" Target="https://www.mdpi.com/1424-8220/21/10/3558" TargetMode="External"/><Relationship Id="rId2926" Type="http://schemas.openxmlformats.org/officeDocument/2006/relationships/hyperlink" Target="https://www.mdpi.com/1424-8220/22/15/5687/pdf" TargetMode="External"/><Relationship Id="rId2927" Type="http://schemas.openxmlformats.org/officeDocument/2006/relationships/hyperlink" Target="https://www.mdpi.com/1424-8220/22/18/6732/pdf?version=1662474113" TargetMode="External"/><Relationship Id="rId2928" Type="http://schemas.openxmlformats.org/officeDocument/2006/relationships/hyperlink" Target="https://www.mdpi.com/1424-8220/22/20/7963/pdf" TargetMode="External"/><Relationship Id="rId2929" Type="http://schemas.openxmlformats.org/officeDocument/2006/relationships/hyperlink" Target="https://www.mdpi.com/1424-8220/22/3/1201" TargetMode="External"/><Relationship Id="rId2910" Type="http://schemas.openxmlformats.org/officeDocument/2006/relationships/hyperlink" Target="https://www.ijcai.org/proceedings/2021/0240.pdf" TargetMode="External"/><Relationship Id="rId2911" Type="http://schemas.openxmlformats.org/officeDocument/2006/relationships/hyperlink" Target="https://www.ijcai.org/proceedings/2024/108" TargetMode="External"/><Relationship Id="rId2912" Type="http://schemas.openxmlformats.org/officeDocument/2006/relationships/hyperlink" Target="https://www.ijfmr.com/papers/2024/6/40671.pdf" TargetMode="External"/><Relationship Id="rId2913" Type="http://schemas.openxmlformats.org/officeDocument/2006/relationships/hyperlink" Target="https://www.imveurope.com/feature/why-you-will-be-seeing-much-more-event-cameras" TargetMode="External"/><Relationship Id="rId2914" Type="http://schemas.openxmlformats.org/officeDocument/2006/relationships/hyperlink" Target="https://www.jetson-ai-lab.com/initial_setup_jon.html" TargetMode="External"/><Relationship Id="rId2915" Type="http://schemas.openxmlformats.org/officeDocument/2006/relationships/hyperlink" Target="https://www.kci.go.kr/kciportal/ci/sereArticleSearch/ciSereArtiView.kci?sereArticleSearchBean.artiId=ART002868622" TargetMode="External"/><Relationship Id="rId2916" Type="http://schemas.openxmlformats.org/officeDocument/2006/relationships/hyperlink" Target="https://www.libroworld.com/9781108826204" TargetMode="External"/><Relationship Id="rId2917" Type="http://schemas.openxmlformats.org/officeDocument/2006/relationships/hyperlink" Target="https://www.linkedin.com/posts/davidescaramuzza_event-cameras-a-new-way-of-sensing-davide-activity-7310024260574416896-aTjh" TargetMode="External"/><Relationship Id="rId2918" Type="http://schemas.openxmlformats.org/officeDocument/2006/relationships/hyperlink" Target="https://www.linkedin.com/pulse/from-drones-data-lakes-how-we-built-scalable-mlops-edge-goldberg-s9see" TargetMode="External"/><Relationship Id="rId2919" Type="http://schemas.openxmlformats.org/officeDocument/2006/relationships/hyperlink" Target="https://www.lisbonsymposia.org/21stlxsymp2024/event-based-imaging/208" TargetMode="External"/><Relationship Id="rId1697" Type="http://schemas.openxmlformats.org/officeDocument/2006/relationships/hyperlink" Target="https://doi.org/10.1109/TPAMI.2021.3113352" TargetMode="External"/><Relationship Id="rId1698" Type="http://schemas.openxmlformats.org/officeDocument/2006/relationships/hyperlink" Target="https://doi.org/10.1109/TPAMI.2021.3130049" TargetMode="External"/><Relationship Id="rId1699" Type="http://schemas.openxmlformats.org/officeDocument/2006/relationships/hyperlink" Target="https://doi.org/10.1109/TPAMI.2021.3135635" TargetMode="External"/><Relationship Id="rId866" Type="http://schemas.openxmlformats.org/officeDocument/2006/relationships/hyperlink" Target="https://arxiv.org/abs/2512.02346" TargetMode="External"/><Relationship Id="rId865" Type="http://schemas.openxmlformats.org/officeDocument/2006/relationships/hyperlink" Target="https://arxiv.org/abs/2511.21439" TargetMode="External"/><Relationship Id="rId864" Type="http://schemas.openxmlformats.org/officeDocument/2006/relationships/hyperlink" Target="https://arxiv.org/abs/2511.18448" TargetMode="External"/><Relationship Id="rId863" Type="http://schemas.openxmlformats.org/officeDocument/2006/relationships/hyperlink" Target="https://arxiv.org/abs/2511.18015" TargetMode="External"/><Relationship Id="rId869" Type="http://schemas.openxmlformats.org/officeDocument/2006/relationships/hyperlink" Target="https://arxiv.org/abs/2512.08244" TargetMode="External"/><Relationship Id="rId868" Type="http://schemas.openxmlformats.org/officeDocument/2006/relationships/hyperlink" Target="https://arxiv.org/abs/2512.05906" TargetMode="External"/><Relationship Id="rId867" Type="http://schemas.openxmlformats.org/officeDocument/2006/relationships/hyperlink" Target="https://arxiv.org/abs/2512.03216" TargetMode="External"/><Relationship Id="rId1690" Type="http://schemas.openxmlformats.org/officeDocument/2006/relationships/hyperlink" Target="https://doi.org/10.1109/TPAMI.2019.2919301" TargetMode="External"/><Relationship Id="rId1691" Type="http://schemas.openxmlformats.org/officeDocument/2006/relationships/hyperlink" Target="https://doi.org/10.1109/TPAMI.2019.2963386" TargetMode="External"/><Relationship Id="rId1692" Type="http://schemas.openxmlformats.org/officeDocument/2006/relationships/hyperlink" Target="https://doi.org/10.1109/TPAMI.2020.3036667" TargetMode="External"/><Relationship Id="rId862" Type="http://schemas.openxmlformats.org/officeDocument/2006/relationships/hyperlink" Target="https://arxiv.org/abs/2511.17492" TargetMode="External"/><Relationship Id="rId1693" Type="http://schemas.openxmlformats.org/officeDocument/2006/relationships/hyperlink" Target="https://doi.org/10.1109/TPAMI.2021.3053243" TargetMode="External"/><Relationship Id="rId861" Type="http://schemas.openxmlformats.org/officeDocument/2006/relationships/hyperlink" Target="https://arxiv.org/abs/2511.17116" TargetMode="External"/><Relationship Id="rId1694" Type="http://schemas.openxmlformats.org/officeDocument/2006/relationships/hyperlink" Target="https://doi.org/10.1109/TPAMI.2021.3054886" TargetMode="External"/><Relationship Id="rId860" Type="http://schemas.openxmlformats.org/officeDocument/2006/relationships/hyperlink" Target="https://arxiv.org/abs/2511.15556" TargetMode="External"/><Relationship Id="rId1695" Type="http://schemas.openxmlformats.org/officeDocument/2006/relationships/hyperlink" Target="https://doi.org/10.1109/TPAMI.2021.3096985" TargetMode="External"/><Relationship Id="rId1696" Type="http://schemas.openxmlformats.org/officeDocument/2006/relationships/hyperlink" Target="https://doi.org/10.1109/TPAMI.2021.3113344" TargetMode="External"/><Relationship Id="rId1686" Type="http://schemas.openxmlformats.org/officeDocument/2006/relationships/hyperlink" Target="https://doi.org/10.1109/TNNLS.2025.3543381" TargetMode="External"/><Relationship Id="rId1687" Type="http://schemas.openxmlformats.org/officeDocument/2006/relationships/hyperlink" Target="https://doi.org/10.1109/TNNLS.2025.3650157" TargetMode="External"/><Relationship Id="rId1688" Type="http://schemas.openxmlformats.org/officeDocument/2006/relationships/hyperlink" Target="https://doi.org/10.1109/TPAMI.2015.2392947" TargetMode="External"/><Relationship Id="rId1689" Type="http://schemas.openxmlformats.org/officeDocument/2006/relationships/hyperlink" Target="https://doi.org/10.1109/TPAMI.2016.2574707" TargetMode="External"/><Relationship Id="rId855" Type="http://schemas.openxmlformats.org/officeDocument/2006/relationships/hyperlink" Target="https://arxiv.org/abs/2511.12095" TargetMode="External"/><Relationship Id="rId854" Type="http://schemas.openxmlformats.org/officeDocument/2006/relationships/hyperlink" Target="https://arxiv.org/abs/2511.11944" TargetMode="External"/><Relationship Id="rId853" Type="http://schemas.openxmlformats.org/officeDocument/2006/relationships/hyperlink" Target="https://arxiv.org/abs/2511.11344" TargetMode="External"/><Relationship Id="rId852" Type="http://schemas.openxmlformats.org/officeDocument/2006/relationships/hyperlink" Target="https://arxiv.org/abs/2511.08140" TargetMode="External"/><Relationship Id="rId859" Type="http://schemas.openxmlformats.org/officeDocument/2006/relationships/hyperlink" Target="https://arxiv.org/abs/2511.14469" TargetMode="External"/><Relationship Id="rId858" Type="http://schemas.openxmlformats.org/officeDocument/2006/relationships/hyperlink" Target="https://arxiv.org/abs/2511.13100" TargetMode="External"/><Relationship Id="rId857" Type="http://schemas.openxmlformats.org/officeDocument/2006/relationships/hyperlink" Target="https://arxiv.org/abs/2511.12291" TargetMode="External"/><Relationship Id="rId856" Type="http://schemas.openxmlformats.org/officeDocument/2006/relationships/hyperlink" Target="https://arxiv.org/abs/2511.12150" TargetMode="External"/><Relationship Id="rId1680" Type="http://schemas.openxmlformats.org/officeDocument/2006/relationships/hyperlink" Target="https://doi.org/10.1109/TNNLS.2014.2362542" TargetMode="External"/><Relationship Id="rId1681" Type="http://schemas.openxmlformats.org/officeDocument/2006/relationships/hyperlink" Target="https://doi.org/10.1109/TNNLS.2017.2759326" TargetMode="External"/><Relationship Id="rId851" Type="http://schemas.openxmlformats.org/officeDocument/2006/relationships/hyperlink" Target="https://arxiv.org/abs/2511.08065" TargetMode="External"/><Relationship Id="rId1682" Type="http://schemas.openxmlformats.org/officeDocument/2006/relationships/hyperlink" Target="https://doi.org/10.1109/TNNLS.2017.2785272" TargetMode="External"/><Relationship Id="rId850" Type="http://schemas.openxmlformats.org/officeDocument/2006/relationships/hyperlink" Target="https://arxiv.org/abs/2511.06591" TargetMode="External"/><Relationship Id="rId1683" Type="http://schemas.openxmlformats.org/officeDocument/2006/relationships/hyperlink" Target="https://doi.org/10.1109/TNNLS.2019.2945630" TargetMode="External"/><Relationship Id="rId1684" Type="http://schemas.openxmlformats.org/officeDocument/2006/relationships/hyperlink" Target="https://doi.org/10.1109/TNNLS.2023.3329741" TargetMode="External"/><Relationship Id="rId1685" Type="http://schemas.openxmlformats.org/officeDocument/2006/relationships/hyperlink" Target="https://doi.org/10.1109/TNNLS.2024.3459969" TargetMode="External"/><Relationship Id="rId888" Type="http://schemas.openxmlformats.org/officeDocument/2006/relationships/hyperlink" Target="https://arxiv.org/abs/2601.14128" TargetMode="External"/><Relationship Id="rId887" Type="http://schemas.openxmlformats.org/officeDocument/2006/relationships/hyperlink" Target="https://arxiv.org/abs/2601.13498" TargetMode="External"/><Relationship Id="rId886" Type="http://schemas.openxmlformats.org/officeDocument/2006/relationships/hyperlink" Target="https://arxiv.org/abs/2601.13451" TargetMode="External"/><Relationship Id="rId885" Type="http://schemas.openxmlformats.org/officeDocument/2006/relationships/hyperlink" Target="https://arxiv.org/abs/2601.10742" TargetMode="External"/><Relationship Id="rId889" Type="http://schemas.openxmlformats.org/officeDocument/2006/relationships/hyperlink" Target="https://arxiv.org/abs/2601.15475" TargetMode="External"/><Relationship Id="rId880" Type="http://schemas.openxmlformats.org/officeDocument/2006/relationships/hyperlink" Target="https://arxiv.org/abs/2512.24243v1/" TargetMode="External"/><Relationship Id="rId884" Type="http://schemas.openxmlformats.org/officeDocument/2006/relationships/hyperlink" Target="https://arxiv.org/abs/2601.09755" TargetMode="External"/><Relationship Id="rId883" Type="http://schemas.openxmlformats.org/officeDocument/2006/relationships/hyperlink" Target="https://arxiv.org/abs/2601.09248" TargetMode="External"/><Relationship Id="rId882" Type="http://schemas.openxmlformats.org/officeDocument/2006/relationships/hyperlink" Target="https://arxiv.org/abs/2601.02206" TargetMode="External"/><Relationship Id="rId881" Type="http://schemas.openxmlformats.org/officeDocument/2006/relationships/hyperlink" Target="https://arxiv.org/abs/2601.01022" TargetMode="External"/><Relationship Id="rId877" Type="http://schemas.openxmlformats.org/officeDocument/2006/relationships/hyperlink" Target="https://arxiv.org/abs/2512.20073" TargetMode="External"/><Relationship Id="rId876" Type="http://schemas.openxmlformats.org/officeDocument/2006/relationships/hyperlink" Target="https://arxiv.org/abs/2512.18640" TargetMode="External"/><Relationship Id="rId875" Type="http://schemas.openxmlformats.org/officeDocument/2006/relationships/hyperlink" Target="https://arxiv.org/abs/2512.18429" TargetMode="External"/><Relationship Id="rId874" Type="http://schemas.openxmlformats.org/officeDocument/2006/relationships/hyperlink" Target="https://arxiv.org/abs/2512.17939" TargetMode="External"/><Relationship Id="rId879" Type="http://schemas.openxmlformats.org/officeDocument/2006/relationships/hyperlink" Target="https://arxiv.org/abs/2512.22979" TargetMode="External"/><Relationship Id="rId878" Type="http://schemas.openxmlformats.org/officeDocument/2006/relationships/hyperlink" Target="https://arxiv.org/abs/2512.22474" TargetMode="External"/><Relationship Id="rId873" Type="http://schemas.openxmlformats.org/officeDocument/2006/relationships/hyperlink" Target="https://arxiv.org/abs/2512.16178" TargetMode="External"/><Relationship Id="rId872" Type="http://schemas.openxmlformats.org/officeDocument/2006/relationships/hyperlink" Target="https://arxiv.org/abs/2512.14595" TargetMode="External"/><Relationship Id="rId871" Type="http://schemas.openxmlformats.org/officeDocument/2006/relationships/hyperlink" Target="https://arxiv.org/abs/2512.11510" TargetMode="External"/><Relationship Id="rId870" Type="http://schemas.openxmlformats.org/officeDocument/2006/relationships/hyperlink" Target="https://arxiv.org/abs/2512.09592" TargetMode="External"/><Relationship Id="rId1653" Type="http://schemas.openxmlformats.org/officeDocument/2006/relationships/hyperlink" Target="https://doi.org/10.1109/TIP.2021.3077136" TargetMode="External"/><Relationship Id="rId2984" Type="http://schemas.openxmlformats.org/officeDocument/2006/relationships/hyperlink" Target="https://www.prophesee.ai/event-based-vision-open-source" TargetMode="External"/><Relationship Id="rId1654" Type="http://schemas.openxmlformats.org/officeDocument/2006/relationships/hyperlink" Target="https://doi.org/10.1109/TIP.2022.3220938" TargetMode="External"/><Relationship Id="rId2985" Type="http://schemas.openxmlformats.org/officeDocument/2006/relationships/hyperlink" Target="https://www.prophesee.ai/event-camera-evk4" TargetMode="External"/><Relationship Id="rId1655" Type="http://schemas.openxmlformats.org/officeDocument/2006/relationships/hyperlink" Target="https://doi.org/10.1109/TIP.2023.3249579" TargetMode="External"/><Relationship Id="rId2986" Type="http://schemas.openxmlformats.org/officeDocument/2006/relationships/hyperlink" Target="https://www.prophesee.ai/prophesee-academic-research" TargetMode="External"/><Relationship Id="rId1656" Type="http://schemas.openxmlformats.org/officeDocument/2006/relationships/hyperlink" Target="https://doi.org/10.1109/TIP.2023.3272283" TargetMode="External"/><Relationship Id="rId2987" Type="http://schemas.openxmlformats.org/officeDocument/2006/relationships/hyperlink" Target="https://www.prophesee.ai/research" TargetMode="External"/><Relationship Id="rId1657" Type="http://schemas.openxmlformats.org/officeDocument/2006/relationships/hyperlink" Target="https://doi.org/10.1109/TIP.2024.3410673" TargetMode="External"/><Relationship Id="rId2988" Type="http://schemas.openxmlformats.org/officeDocument/2006/relationships/hyperlink" Target="https://www.proquest.com/openview/026973d3b32d8a4ff5409708b32905f9/1?pq-origsite=gscholar&amp;cbl=18750&amp;diss=y" TargetMode="External"/><Relationship Id="rId1658" Type="http://schemas.openxmlformats.org/officeDocument/2006/relationships/hyperlink" Target="https://doi.org/10.1109/TIP.2024.3430043" TargetMode="External"/><Relationship Id="rId2989" Type="http://schemas.openxmlformats.org/officeDocument/2006/relationships/hyperlink" Target="https://www.proquest.com/openview/2e75065f15bd1a14a03f953a6ce0f556/1?pq-origsite=gscholar&amp;cbl=18750&amp;diss=y" TargetMode="External"/><Relationship Id="rId1659" Type="http://schemas.openxmlformats.org/officeDocument/2006/relationships/hyperlink" Target="https://doi.org/10.1109/TIP.2024.3497795" TargetMode="External"/><Relationship Id="rId829" Type="http://schemas.openxmlformats.org/officeDocument/2006/relationships/hyperlink" Target="https://arxiv.org/abs/2510.03833" TargetMode="External"/><Relationship Id="rId828" Type="http://schemas.openxmlformats.org/officeDocument/2006/relationships/hyperlink" Target="https://arxiv.org/abs/2510.02989" TargetMode="External"/><Relationship Id="rId827" Type="http://schemas.openxmlformats.org/officeDocument/2006/relationships/hyperlink" Target="https://arxiv.org/abs/2510.00681" TargetMode="External"/><Relationship Id="rId822" Type="http://schemas.openxmlformats.org/officeDocument/2006/relationships/hyperlink" Target="https://arxiv.org/abs/2509.19156" TargetMode="External"/><Relationship Id="rId821" Type="http://schemas.openxmlformats.org/officeDocument/2006/relationships/hyperlink" Target="https://arxiv.org/abs/2509.18898" TargetMode="External"/><Relationship Id="rId820" Type="http://schemas.openxmlformats.org/officeDocument/2006/relationships/hyperlink" Target="https://arxiv.org/abs/2509.18566" TargetMode="External"/><Relationship Id="rId826" Type="http://schemas.openxmlformats.org/officeDocument/2006/relationships/hyperlink" Target="https://arxiv.org/abs/2509.25146" TargetMode="External"/><Relationship Id="rId825" Type="http://schemas.openxmlformats.org/officeDocument/2006/relationships/hyperlink" Target="https://arxiv.org/abs/2509.22481" TargetMode="External"/><Relationship Id="rId824" Type="http://schemas.openxmlformats.org/officeDocument/2006/relationships/hyperlink" Target="https://arxiv.org/abs/2509.22094" TargetMode="External"/><Relationship Id="rId823" Type="http://schemas.openxmlformats.org/officeDocument/2006/relationships/hyperlink" Target="https://arxiv.org/abs/2509.19192" TargetMode="External"/><Relationship Id="rId2980" Type="http://schemas.openxmlformats.org/officeDocument/2006/relationships/hyperlink" Target="https://www.prophesee.ai/development-center" TargetMode="External"/><Relationship Id="rId1650" Type="http://schemas.openxmlformats.org/officeDocument/2006/relationships/hyperlink" Target="https://doi.org/10.1109/TIM.2026.3652739" TargetMode="External"/><Relationship Id="rId2981" Type="http://schemas.openxmlformats.org/officeDocument/2006/relationships/hyperlink" Target="https://www.prophesee.ai/event-based-evaluation-kits" TargetMode="External"/><Relationship Id="rId1651" Type="http://schemas.openxmlformats.org/officeDocument/2006/relationships/hyperlink" Target="https://doi.org/10.1109/TIP.2017.2661702" TargetMode="External"/><Relationship Id="rId2982" Type="http://schemas.openxmlformats.org/officeDocument/2006/relationships/hyperlink" Target="https://www.prophesee.ai/event-based-metavision-amd-kria-starter-kit" TargetMode="External"/><Relationship Id="rId1652" Type="http://schemas.openxmlformats.org/officeDocument/2006/relationships/hyperlink" Target="https://doi.org/10.1109/TIP.2021.3052070" TargetMode="External"/><Relationship Id="rId2983" Type="http://schemas.openxmlformats.org/officeDocument/2006/relationships/hyperlink" Target="https://www.prophesee.ai/event-based-sensor-genx320" TargetMode="External"/><Relationship Id="rId1642" Type="http://schemas.openxmlformats.org/officeDocument/2006/relationships/hyperlink" Target="https://doi.org/10.1109/TII.2024.3393007" TargetMode="External"/><Relationship Id="rId2973" Type="http://schemas.openxmlformats.org/officeDocument/2006/relationships/hyperlink" Target="https://www.neuropac.info/" TargetMode="External"/><Relationship Id="rId1643" Type="http://schemas.openxmlformats.org/officeDocument/2006/relationships/hyperlink" Target="https://doi.org/10.1109/TII.2025.3625605" TargetMode="External"/><Relationship Id="rId2974" Type="http://schemas.openxmlformats.org/officeDocument/2006/relationships/hyperlink" Target="https://www.neuropac.info/resources-and-tools" TargetMode="External"/><Relationship Id="rId1644" Type="http://schemas.openxmlformats.org/officeDocument/2006/relationships/hyperlink" Target="https://doi.org/10.1109/TIM.2023.3325508" TargetMode="External"/><Relationship Id="rId2975" Type="http://schemas.openxmlformats.org/officeDocument/2006/relationships/hyperlink" Target="https://www.northropgrumman.com/who-we-are/the-facts/digital-transformation/neuromorphic-cameras-provide-a-vision-of-the-future" TargetMode="External"/><Relationship Id="rId1645" Type="http://schemas.openxmlformats.org/officeDocument/2006/relationships/hyperlink" Target="https://doi.org/10.1109/TIM.2024.3470063" TargetMode="External"/><Relationship Id="rId2976" Type="http://schemas.openxmlformats.org/officeDocument/2006/relationships/hyperlink" Target="https://www.prophesee.ai/?s=simulator" TargetMode="External"/><Relationship Id="rId1646" Type="http://schemas.openxmlformats.org/officeDocument/2006/relationships/hyperlink" Target="https://doi.org/10.1109/TIM.2025.3551440" TargetMode="External"/><Relationship Id="rId2977" Type="http://schemas.openxmlformats.org/officeDocument/2006/relationships/hyperlink" Target="https://www.prophesee.ai/2019/07/28/event-based-vision-2" TargetMode="External"/><Relationship Id="rId1647" Type="http://schemas.openxmlformats.org/officeDocument/2006/relationships/hyperlink" Target="https://doi.org/10.1109/TIM.2025.3552392" TargetMode="External"/><Relationship Id="rId2978" Type="http://schemas.openxmlformats.org/officeDocument/2006/relationships/hyperlink" Target="https://www.prophesee.ai/2022/03/17/what-is-an-event-camera" TargetMode="External"/><Relationship Id="rId1648" Type="http://schemas.openxmlformats.org/officeDocument/2006/relationships/hyperlink" Target="https://doi.org/10.1109/TIM.2025.3566813" TargetMode="External"/><Relationship Id="rId2979" Type="http://schemas.openxmlformats.org/officeDocument/2006/relationships/hyperlink" Target="https://www.prophesee.ai/2025/04/14/real-time-event-simulation-with-frame-based-cameras" TargetMode="External"/><Relationship Id="rId1649" Type="http://schemas.openxmlformats.org/officeDocument/2006/relationships/hyperlink" Target="https://doi.org/10.1109/TIM.2025.3568945" TargetMode="External"/><Relationship Id="rId819" Type="http://schemas.openxmlformats.org/officeDocument/2006/relationships/hyperlink" Target="https://arxiv.org/abs/2509.18184" TargetMode="External"/><Relationship Id="rId818" Type="http://schemas.openxmlformats.org/officeDocument/2006/relationships/hyperlink" Target="https://arxiv.org/abs/2509.17287" TargetMode="External"/><Relationship Id="rId817" Type="http://schemas.openxmlformats.org/officeDocument/2006/relationships/hyperlink" Target="https://arxiv.org/abs/2509.16949" TargetMode="External"/><Relationship Id="rId816" Type="http://schemas.openxmlformats.org/officeDocument/2006/relationships/hyperlink" Target="https://arxiv.org/abs/2509.15224" TargetMode="External"/><Relationship Id="rId811" Type="http://schemas.openxmlformats.org/officeDocument/2006/relationships/hyperlink" Target="https://arxiv.org/abs/2509.09546" TargetMode="External"/><Relationship Id="rId810" Type="http://schemas.openxmlformats.org/officeDocument/2006/relationships/hyperlink" Target="https://arxiv.org/abs/2509.08794" TargetMode="External"/><Relationship Id="rId815" Type="http://schemas.openxmlformats.org/officeDocument/2006/relationships/hyperlink" Target="https://arxiv.org/abs/2509.13883" TargetMode="External"/><Relationship Id="rId814" Type="http://schemas.openxmlformats.org/officeDocument/2006/relationships/hyperlink" Target="https://arxiv.org/abs/2509.13784" TargetMode="External"/><Relationship Id="rId813" Type="http://schemas.openxmlformats.org/officeDocument/2006/relationships/hyperlink" Target="https://arxiv.org/abs/2509.12959" TargetMode="External"/><Relationship Id="rId812" Type="http://schemas.openxmlformats.org/officeDocument/2006/relationships/hyperlink" Target="https://arxiv.org/abs/2509.09584" TargetMode="External"/><Relationship Id="rId2970" Type="http://schemas.openxmlformats.org/officeDocument/2006/relationships/hyperlink" Target="https://www.nature.com/articles/s41586-024-08253-8" TargetMode="External"/><Relationship Id="rId1640" Type="http://schemas.openxmlformats.org/officeDocument/2006/relationships/hyperlink" Target="https://doi.org/10.1109/TIFS.2024.3409167" TargetMode="External"/><Relationship Id="rId2971" Type="http://schemas.openxmlformats.org/officeDocument/2006/relationships/hyperlink" Target="https://www.nature.com/articles/s41598-023-34508-x" TargetMode="External"/><Relationship Id="rId1641" Type="http://schemas.openxmlformats.org/officeDocument/2006/relationships/hyperlink" Target="https://doi.org/10.1109/TII.2023.3262854" TargetMode="External"/><Relationship Id="rId2972" Type="http://schemas.openxmlformats.org/officeDocument/2006/relationships/hyperlink" Target="https://www.nature.com/research-intelligence/nri-topic-summaries/visual-servoing-in-robotics-micro-96703" TargetMode="External"/><Relationship Id="rId1675" Type="http://schemas.openxmlformats.org/officeDocument/2006/relationships/hyperlink" Target="https://doi.org/10.1109/TMM.2025.3542978" TargetMode="External"/><Relationship Id="rId1676" Type="http://schemas.openxmlformats.org/officeDocument/2006/relationships/hyperlink" Target="https://doi.org/10.1109/TMM.2025.3543010" TargetMode="External"/><Relationship Id="rId1677" Type="http://schemas.openxmlformats.org/officeDocument/2006/relationships/hyperlink" Target="https://doi.org/10.1109/TMM.2026.3654340" TargetMode="External"/><Relationship Id="rId1678" Type="http://schemas.openxmlformats.org/officeDocument/2006/relationships/hyperlink" Target="https://doi.org/10.1109/TNNLS.2014.2308551" TargetMode="External"/><Relationship Id="rId1679" Type="http://schemas.openxmlformats.org/officeDocument/2006/relationships/hyperlink" Target="https://doi.org/10.1109/TNNLS.2014.2352401" TargetMode="External"/><Relationship Id="rId849" Type="http://schemas.openxmlformats.org/officeDocument/2006/relationships/hyperlink" Target="https://arxiv.org/abs/2511.06238" TargetMode="External"/><Relationship Id="rId844" Type="http://schemas.openxmlformats.org/officeDocument/2006/relationships/hyperlink" Target="https://arxiv.org/abs/2511.01381" TargetMode="External"/><Relationship Id="rId843" Type="http://schemas.openxmlformats.org/officeDocument/2006/relationships/hyperlink" Target="https://arxiv.org/abs/2510.24231" TargetMode="External"/><Relationship Id="rId842" Type="http://schemas.openxmlformats.org/officeDocument/2006/relationships/hyperlink" Target="https://arxiv.org/abs/2510.22565" TargetMode="External"/><Relationship Id="rId841" Type="http://schemas.openxmlformats.org/officeDocument/2006/relationships/hyperlink" Target="https://arxiv.org/abs/2510.20071v1" TargetMode="External"/><Relationship Id="rId848" Type="http://schemas.openxmlformats.org/officeDocument/2006/relationships/hyperlink" Target="https://arxiv.org/abs/2511.05467" TargetMode="External"/><Relationship Id="rId847" Type="http://schemas.openxmlformats.org/officeDocument/2006/relationships/hyperlink" Target="https://arxiv.org/abs/2511.04779" TargetMode="External"/><Relationship Id="rId846" Type="http://schemas.openxmlformats.org/officeDocument/2006/relationships/hyperlink" Target="https://arxiv.org/abs/2511.02953" TargetMode="External"/><Relationship Id="rId845" Type="http://schemas.openxmlformats.org/officeDocument/2006/relationships/hyperlink" Target="https://arxiv.org/abs/2511.02180" TargetMode="External"/><Relationship Id="rId1670" Type="http://schemas.openxmlformats.org/officeDocument/2006/relationships/hyperlink" Target="https://doi.org/10.1109/TMM.2023.3260638" TargetMode="External"/><Relationship Id="rId840" Type="http://schemas.openxmlformats.org/officeDocument/2006/relationships/hyperlink" Target="https://arxiv.org/abs/2510.19560" TargetMode="External"/><Relationship Id="rId1671" Type="http://schemas.openxmlformats.org/officeDocument/2006/relationships/hyperlink" Target="https://doi.org/10.1109/TMM.2023.3290432" TargetMode="External"/><Relationship Id="rId1672" Type="http://schemas.openxmlformats.org/officeDocument/2006/relationships/hyperlink" Target="https://doi.org/10.1109/TMM.2024.3355630" TargetMode="External"/><Relationship Id="rId1673" Type="http://schemas.openxmlformats.org/officeDocument/2006/relationships/hyperlink" Target="https://doi.org/10.1109/TMM.2024.3380255" TargetMode="External"/><Relationship Id="rId1674" Type="http://schemas.openxmlformats.org/officeDocument/2006/relationships/hyperlink" Target="https://doi.org/10.1109/TMM.2024.3521662" TargetMode="External"/><Relationship Id="rId1664" Type="http://schemas.openxmlformats.org/officeDocument/2006/relationships/hyperlink" Target="https://doi.org/10.1109/TITS.2025.3641162" TargetMode="External"/><Relationship Id="rId2995" Type="http://schemas.openxmlformats.org/officeDocument/2006/relationships/hyperlink" Target="https://www.reddit.com/r/robotics/comments/zfe2ev/event_cameras_aka_neuromorphic_cameras_dynamic" TargetMode="External"/><Relationship Id="rId1665" Type="http://schemas.openxmlformats.org/officeDocument/2006/relationships/hyperlink" Target="https://doi.org/10.1109/TIV.2023.3323378" TargetMode="External"/><Relationship Id="rId2996" Type="http://schemas.openxmlformats.org/officeDocument/2006/relationships/hyperlink" Target="https://www.research-collection.ethz.ch/handle/20.500.11850/595034" TargetMode="External"/><Relationship Id="rId1666" Type="http://schemas.openxmlformats.org/officeDocument/2006/relationships/hyperlink" Target="https://doi.org/10.1109/TIV.2024.3365991" TargetMode="External"/><Relationship Id="rId2997" Type="http://schemas.openxmlformats.org/officeDocument/2006/relationships/hyperlink" Target="https://www.researchgate.net/figure/Advantages-and-limits-of-event-camera-images-compared-to-normal-images-a-Night-scene_fig3_360724075" TargetMode="External"/><Relationship Id="rId1667" Type="http://schemas.openxmlformats.org/officeDocument/2006/relationships/hyperlink" Target="https://doi.org/10.1109/TMC.2024.3521044" TargetMode="External"/><Relationship Id="rId2998" Type="http://schemas.openxmlformats.org/officeDocument/2006/relationships/hyperlink" Target="https://www.researchgate.net/publication/264937595_A_1000_fps_Vision_Chip_Based_on_a_Dynamically_Reconfigurable_Hybrid_Architecture_Comprising_a_PE_Array_Processor_and_Self-Organizing_Map_Neural_Network" TargetMode="External"/><Relationship Id="rId1668" Type="http://schemas.openxmlformats.org/officeDocument/2006/relationships/hyperlink" Target="https://doi.org/10.1109/TMC.2025.3581317" TargetMode="External"/><Relationship Id="rId2999" Type="http://schemas.openxmlformats.org/officeDocument/2006/relationships/hyperlink" Target="https://www.researchgate.net/publication/341622518_ASAP_Adaptive_Scheme_for_Asynchronous_Processing_of_event-based_vision_algorithms" TargetMode="External"/><Relationship Id="rId1669" Type="http://schemas.openxmlformats.org/officeDocument/2006/relationships/hyperlink" Target="https://doi.org/10.1109/TMECH.2023.3259444" TargetMode="External"/><Relationship Id="rId839" Type="http://schemas.openxmlformats.org/officeDocument/2006/relationships/hyperlink" Target="https://arxiv.org/abs/2510.17347" TargetMode="External"/><Relationship Id="rId838" Type="http://schemas.openxmlformats.org/officeDocument/2006/relationships/hyperlink" Target="https://arxiv.org/abs/2510.17203" TargetMode="External"/><Relationship Id="rId833" Type="http://schemas.openxmlformats.org/officeDocument/2006/relationships/hyperlink" Target="https://arxiv.org/abs/2510.12102" TargetMode="External"/><Relationship Id="rId832" Type="http://schemas.openxmlformats.org/officeDocument/2006/relationships/hyperlink" Target="https://arxiv.org/abs/2510.10577" TargetMode="External"/><Relationship Id="rId831" Type="http://schemas.openxmlformats.org/officeDocument/2006/relationships/hyperlink" Target="https://arxiv.org/abs/2510.07752" TargetMode="External"/><Relationship Id="rId830" Type="http://schemas.openxmlformats.org/officeDocument/2006/relationships/hyperlink" Target="https://arxiv.org/abs/2510.06829v1" TargetMode="External"/><Relationship Id="rId837" Type="http://schemas.openxmlformats.org/officeDocument/2006/relationships/hyperlink" Target="https://arxiv.org/abs/2510.14770" TargetMode="External"/><Relationship Id="rId836" Type="http://schemas.openxmlformats.org/officeDocument/2006/relationships/hyperlink" Target="https://arxiv.org/abs/2510.14266" TargetMode="External"/><Relationship Id="rId835" Type="http://schemas.openxmlformats.org/officeDocument/2006/relationships/hyperlink" Target="https://arxiv.org/abs/2510.14245" TargetMode="External"/><Relationship Id="rId834" Type="http://schemas.openxmlformats.org/officeDocument/2006/relationships/hyperlink" Target="https://arxiv.org/abs/2510.12753" TargetMode="External"/><Relationship Id="rId2990" Type="http://schemas.openxmlformats.org/officeDocument/2006/relationships/hyperlink" Target="https://www.proquest.com/openview/9d3e71ceed7d93906fd2fecb5017c12a/1?pq-origsite=gscholar&amp;cbl=18750&amp;diss=y" TargetMode="External"/><Relationship Id="rId1660" Type="http://schemas.openxmlformats.org/officeDocument/2006/relationships/hyperlink" Target="https://doi.org/10.1109/TIP.2024.3512362" TargetMode="External"/><Relationship Id="rId2991" Type="http://schemas.openxmlformats.org/officeDocument/2006/relationships/hyperlink" Target="https://www.proquest.com/openview/cf0d5685191aa576247f39259585f8d9/1?pq-origsite=gscholar&amp;cbl=18750&amp;diss=y" TargetMode="External"/><Relationship Id="rId1661" Type="http://schemas.openxmlformats.org/officeDocument/2006/relationships/hyperlink" Target="https://doi.org/10.1109/TIP.2025.3550008" TargetMode="External"/><Relationship Id="rId2992" Type="http://schemas.openxmlformats.org/officeDocument/2006/relationships/hyperlink" Target="https://www.proquest.com/openview/f0048a4aeea021211421dee3e57018c1/1?pq-origsite=gscholar&amp;cbl=18750&amp;diss=y" TargetMode="External"/><Relationship Id="rId1662" Type="http://schemas.openxmlformats.org/officeDocument/2006/relationships/hyperlink" Target="https://doi.org/10.1109/tip.2025.3607632" TargetMode="External"/><Relationship Id="rId2993" Type="http://schemas.openxmlformats.org/officeDocument/2006/relationships/hyperlink" Target="https://www.reddit.com/r/computervision/comments/1dnz6eo/event_based_camera" TargetMode="External"/><Relationship Id="rId1663" Type="http://schemas.openxmlformats.org/officeDocument/2006/relationships/hyperlink" Target="https://doi.org/10.1109/TITS.2023.3312355" TargetMode="External"/><Relationship Id="rId2994" Type="http://schemas.openxmlformats.org/officeDocument/2006/relationships/hyperlink" Target="https://www.reddit.com/r/robotics/comments/t9x2lr/a_month_ago_i_went_down_the_rabbit_hole_of_event" TargetMode="External"/><Relationship Id="rId2148" Type="http://schemas.openxmlformats.org/officeDocument/2006/relationships/hyperlink" Target="https://iopscience.iop.org/article/10.1088/1741-2552/aceca3" TargetMode="External"/><Relationship Id="rId2149" Type="http://schemas.openxmlformats.org/officeDocument/2006/relationships/hyperlink" Target="https://iopscience.iop.org/article/10.1088/2631-8695/ad9235/meta" TargetMode="External"/><Relationship Id="rId2140" Type="http://schemas.openxmlformats.org/officeDocument/2006/relationships/hyperlink" Target="https://index.ros.org/p/event_camera_codecs" TargetMode="External"/><Relationship Id="rId2141" Type="http://schemas.openxmlformats.org/officeDocument/2006/relationships/hyperlink" Target="https://index.ros.org/p/event_camera_renderer" TargetMode="External"/><Relationship Id="rId2142" Type="http://schemas.openxmlformats.org/officeDocument/2006/relationships/hyperlink" Target="https://infoscience.epfl.ch/record/304463" TargetMode="External"/><Relationship Id="rId2143" Type="http://schemas.openxmlformats.org/officeDocument/2006/relationships/hyperlink" Target="https://iopscience.iop.org/article/10.1088/1361-6420/ace7c7/meta" TargetMode="External"/><Relationship Id="rId2144" Type="http://schemas.openxmlformats.org/officeDocument/2006/relationships/hyperlink" Target="https://iopscience.iop.org/article/10.1088/1361-6501/ad25da/pdf" TargetMode="External"/><Relationship Id="rId2145" Type="http://schemas.openxmlformats.org/officeDocument/2006/relationships/hyperlink" Target="https://iopscience.iop.org/article/10.1088/1361-6501/ad42bf/pdf" TargetMode="External"/><Relationship Id="rId2146" Type="http://schemas.openxmlformats.org/officeDocument/2006/relationships/hyperlink" Target="https://iopscience.iop.org/article/10.1088/1361-6501/ad6172/meta" TargetMode="External"/><Relationship Id="rId2147" Type="http://schemas.openxmlformats.org/officeDocument/2006/relationships/hyperlink" Target="https://iopscience.iop.org/article/10.1088/1361-6501/ade27b" TargetMode="External"/><Relationship Id="rId2137" Type="http://schemas.openxmlformats.org/officeDocument/2006/relationships/hyperlink" Target="https://ietresearch.onlinelibrary.wiley.com/doi/full/10.1049/cvi2.12115" TargetMode="External"/><Relationship Id="rId2138" Type="http://schemas.openxmlformats.org/officeDocument/2006/relationships/hyperlink" Target="https://image-sensors-world.blogspot.com/2021/02/do-event-based-imagers-have-advantage.html?m=1" TargetMode="External"/><Relationship Id="rId2139" Type="http://schemas.openxmlformats.org/officeDocument/2006/relationships/hyperlink" Target="https://imt-atlantique.hal.science/hal-04746439/document" TargetMode="External"/><Relationship Id="rId2130" Type="http://schemas.openxmlformats.org/officeDocument/2006/relationships/hyperlink" Target="https://ieeexplore.ieee.org/xpl/conhome/1000393/all-proceedings" TargetMode="External"/><Relationship Id="rId2131" Type="http://schemas.openxmlformats.org/officeDocument/2006/relationships/hyperlink" Target="https://ieeexplore.ieee.org/xpl/conhome/1000639/all-proceedings" TargetMode="External"/><Relationship Id="rId2132" Type="http://schemas.openxmlformats.org/officeDocument/2006/relationships/hyperlink" Target="https://ieeexplore.ieee.org/xpl/conhome/10738716/proceeding" TargetMode="External"/><Relationship Id="rId2133" Type="http://schemas.openxmlformats.org/officeDocument/2006/relationships/hyperlink" Target="https://ieeexplore.ieee.org/xpl/conhome/9845455/proceeding" TargetMode="External"/><Relationship Id="rId2134" Type="http://schemas.openxmlformats.org/officeDocument/2006/relationships/hyperlink" Target="https://ietresearch.onlinelibrary.wiley.com/doi/10.1049/cvi2.12206" TargetMode="External"/><Relationship Id="rId2135" Type="http://schemas.openxmlformats.org/officeDocument/2006/relationships/hyperlink" Target="https://ietresearch.onlinelibrary.wiley.com/doi/abs/10.1049/cvi2.12220" TargetMode="External"/><Relationship Id="rId2136" Type="http://schemas.openxmlformats.org/officeDocument/2006/relationships/hyperlink" Target="https://ietresearch.onlinelibrary.wiley.com/doi/abs/10.1049/ell2.12582" TargetMode="External"/><Relationship Id="rId2160" Type="http://schemas.openxmlformats.org/officeDocument/2006/relationships/hyperlink" Target="https://journal.50sea.com/index.php/IJIST/article/view/1097" TargetMode="External"/><Relationship Id="rId2161" Type="http://schemas.openxmlformats.org/officeDocument/2006/relationships/hyperlink" Target="https://kth.diva-portal.org/smash/get/diva2:1779214/FULLTEXT01.pdf" TargetMode="External"/><Relationship Id="rId2162" Type="http://schemas.openxmlformats.org/officeDocument/2006/relationships/hyperlink" Target="https://laurentperrinet.github.io/publication/grimaldi-21-cosyne/" TargetMode="External"/><Relationship Id="rId2163" Type="http://schemas.openxmlformats.org/officeDocument/2006/relationships/hyperlink" Target="https://lbh666.github.io/ef-3dgs/" TargetMode="External"/><Relationship Id="rId2164" Type="http://schemas.openxmlformats.org/officeDocument/2006/relationships/hyperlink" Target="https://link.springer.com/article/10.1007/s00348-022-03441-6" TargetMode="External"/><Relationship Id="rId2165" Type="http://schemas.openxmlformats.org/officeDocument/2006/relationships/hyperlink" Target="https://link.springer.com/article/10.1007/s00348-023-03641-8" TargetMode="External"/><Relationship Id="rId2166" Type="http://schemas.openxmlformats.org/officeDocument/2006/relationships/hyperlink" Target="https://link.springer.com/article/10.1007/s00348-023-03673-0" TargetMode="External"/><Relationship Id="rId2167" Type="http://schemas.openxmlformats.org/officeDocument/2006/relationships/hyperlink" Target="https://link.springer.com/article/10.1007/s00348-024-03766-4" TargetMode="External"/><Relationship Id="rId2168" Type="http://schemas.openxmlformats.org/officeDocument/2006/relationships/hyperlink" Target="https://link.springer.com/article/10.1007/s00348-025-04009-w" TargetMode="External"/><Relationship Id="rId2169" Type="http://schemas.openxmlformats.org/officeDocument/2006/relationships/hyperlink" Target="https://link.springer.com/article/10.1007/s10489-023-04763-6" TargetMode="External"/><Relationship Id="rId2159" Type="http://schemas.openxmlformats.org/officeDocument/2006/relationships/hyperlink" Target="https://itcanthink.substack.com/p/vision-language-action-models-and" TargetMode="External"/><Relationship Id="rId2150" Type="http://schemas.openxmlformats.org/officeDocument/2006/relationships/hyperlink" Target="https://iopscience.iop.org/article/10.1088/2634-4386/ac4a83" TargetMode="External"/><Relationship Id="rId2151" Type="http://schemas.openxmlformats.org/officeDocument/2006/relationships/hyperlink" Target="https://iopscience.iop.org/article/10.1088/2634-4386/ac970d/meta" TargetMode="External"/><Relationship Id="rId2152" Type="http://schemas.openxmlformats.org/officeDocument/2006/relationships/hyperlink" Target="https://iopscience.iop.org/article/10.1088/2634-4386/add0da/pdf" TargetMode="External"/><Relationship Id="rId2153" Type="http://schemas.openxmlformats.org/officeDocument/2006/relationships/hyperlink" Target="https://iopscience.iop.org/article/10.1088/2634-4386/add0db/pdf" TargetMode="External"/><Relationship Id="rId2154" Type="http://schemas.openxmlformats.org/officeDocument/2006/relationships/hyperlink" Target="https://iopscience.iop.org/article/10.1088/2634-4386/ae0a76" TargetMode="External"/><Relationship Id="rId2155" Type="http://schemas.openxmlformats.org/officeDocument/2006/relationships/hyperlink" Target="https://iopscience.iop.org/article/10.1088/2634-4386/ae2156" TargetMode="External"/><Relationship Id="rId2156" Type="http://schemas.openxmlformats.org/officeDocument/2006/relationships/hyperlink" Target="https://iopscience.iop.org/article/10.35848/1347-4065/acad88" TargetMode="External"/><Relationship Id="rId2157" Type="http://schemas.openxmlformats.org/officeDocument/2006/relationships/hyperlink" Target="https://isprs-archives.copernicus.org/articles/XLVIII-4-2024/645/2024/isprs-archives-XLVIII-4-2024-645-2024.pdf" TargetMode="External"/><Relationship Id="rId2158" Type="http://schemas.openxmlformats.org/officeDocument/2006/relationships/hyperlink" Target="https://isprs-archives.copernicus.org/articles/XLVIII-4-2024/717/2024/" TargetMode="External"/><Relationship Id="rId2104" Type="http://schemas.openxmlformats.org/officeDocument/2006/relationships/hyperlink" Target="https://ieeexplore.ieee.org/document/9963561/" TargetMode="External"/><Relationship Id="rId2105" Type="http://schemas.openxmlformats.org/officeDocument/2006/relationships/hyperlink" Target="https://ieeexplore.ieee.org/document/9966595/" TargetMode="External"/><Relationship Id="rId2106" Type="http://schemas.openxmlformats.org/officeDocument/2006/relationships/hyperlink" Target="https://ieeexplore.ieee.org/document/9978619/" TargetMode="External"/><Relationship Id="rId2107" Type="http://schemas.openxmlformats.org/officeDocument/2006/relationships/hyperlink" Target="https://ieeexplore.ieee.org/iel7/10186382/10186383/10186538.pdf" TargetMode="External"/><Relationship Id="rId2108" Type="http://schemas.openxmlformats.org/officeDocument/2006/relationships/hyperlink" Target="https://ieeexplore.ieee.org/iel7/16/4358746/09837876.pdf" TargetMode="External"/><Relationship Id="rId2109" Type="http://schemas.openxmlformats.org/officeDocument/2006/relationships/hyperlink" Target="https://ieeexplore.ieee.org/iel7/34/10384454/10292537.pdf" TargetMode="External"/><Relationship Id="rId2100" Type="http://schemas.openxmlformats.org/officeDocument/2006/relationships/hyperlink" Target="https://ieeexplore.ieee.org/document/9913852/" TargetMode="External"/><Relationship Id="rId2101" Type="http://schemas.openxmlformats.org/officeDocument/2006/relationships/hyperlink" Target="https://ieeexplore.ieee.org/document/9913871/" TargetMode="External"/><Relationship Id="rId2102" Type="http://schemas.openxmlformats.org/officeDocument/2006/relationships/hyperlink" Target="https://ieeexplore.ieee.org/document/9945086/" TargetMode="External"/><Relationship Id="rId2103" Type="http://schemas.openxmlformats.org/officeDocument/2006/relationships/hyperlink" Target="https://ieeexplore.ieee.org/document/9954128/" TargetMode="External"/><Relationship Id="rId899" Type="http://schemas.openxmlformats.org/officeDocument/2006/relationships/hyperlink" Target="https://arxiv.org/html/2404.09870v1" TargetMode="External"/><Relationship Id="rId898" Type="http://schemas.openxmlformats.org/officeDocument/2006/relationships/hyperlink" Target="https://arxiv.org/html/2404.08858v1" TargetMode="External"/><Relationship Id="rId897" Type="http://schemas.openxmlformats.org/officeDocument/2006/relationships/hyperlink" Target="https://arxiv.org/html/2403.14082v1" TargetMode="External"/><Relationship Id="rId896" Type="http://schemas.openxmlformats.org/officeDocument/2006/relationships/hyperlink" Target="https://arxiv.org/html/2403.12574v1" TargetMode="External"/><Relationship Id="rId891" Type="http://schemas.openxmlformats.org/officeDocument/2006/relationships/hyperlink" Target="https://arxiv.org/abs/2601.18583" TargetMode="External"/><Relationship Id="rId890" Type="http://schemas.openxmlformats.org/officeDocument/2006/relationships/hyperlink" Target="https://arxiv.org/abs/2601.17391" TargetMode="External"/><Relationship Id="rId895" Type="http://schemas.openxmlformats.org/officeDocument/2006/relationships/hyperlink" Target="https://arxiv.org/html/2403.10173v2" TargetMode="External"/><Relationship Id="rId894" Type="http://schemas.openxmlformats.org/officeDocument/2006/relationships/hyperlink" Target="https://arxiv.org/html/2401.11123v1" TargetMode="External"/><Relationship Id="rId893" Type="http://schemas.openxmlformats.org/officeDocument/2006/relationships/hyperlink" Target="https://arxiv.org/html/2307.10593v3" TargetMode="External"/><Relationship Id="rId892" Type="http://schemas.openxmlformats.org/officeDocument/2006/relationships/hyperlink" Target="https://arxiv.org/abs/2601.19079v1" TargetMode="External"/><Relationship Id="rId2126" Type="http://schemas.openxmlformats.org/officeDocument/2006/relationships/hyperlink" Target="https://ieeexplore.ieee.org/search/searchresult.jsp?queryText=event%20camera&amp;highlight=true&amp;returnType=SEARCH&amp;matchPubs=true&amp;returnFacets=ALL&amp;refinements=PublicationTitle:IEEE%20Transactions%20on%20Pattern%20Analysis%20and%20Machine%20Intelligence" TargetMode="External"/><Relationship Id="rId2127" Type="http://schemas.openxmlformats.org/officeDocument/2006/relationships/hyperlink" Target="https://ieeexplore.ieee.org/search/searchresult.jsp?queryText=event%20camera&amp;highlight=true&amp;returnType=SEARCH&amp;matchPubs=true&amp;sortType=newest&amp;returnFacets=ALL&amp;refinementName=Publication%20Title&amp;refinements=PublicationTitle:IEEE%20Transactions%20on%20Image%20Processing" TargetMode="External"/><Relationship Id="rId2128" Type="http://schemas.openxmlformats.org/officeDocument/2006/relationships/hyperlink" Target="https://ieeexplore.ieee.org/search/searchresult.jsp?queryText=event%20camera&amp;searchWithin=%22Parent%20Publication%20Number%22:1000349&amp;highlight=true&amp;returnFacets=ALL&amp;returnType=SEARCH&amp;matchPubs=true&amp;sortType=newest" TargetMode="External"/><Relationship Id="rId2129" Type="http://schemas.openxmlformats.org/officeDocument/2006/relationships/hyperlink" Target="https://ieeexplore.ieee.org/stamp/stamp.jsp?arnumber=8683606" TargetMode="External"/><Relationship Id="rId2120" Type="http://schemas.openxmlformats.org/officeDocument/2006/relationships/hyperlink" Target="https://ieeexplore.ieee.org/iel8/7083369/10601335/10629077.pdf" TargetMode="External"/><Relationship Id="rId2121" Type="http://schemas.openxmlformats.org/officeDocument/2006/relationships/hyperlink" Target="https://ieeexplore.ieee.org/iel8/83/4358840/10612786.pdf" TargetMode="External"/><Relationship Id="rId2122" Type="http://schemas.openxmlformats.org/officeDocument/2006/relationships/hyperlink" Target="https://ieeexplore.ieee.org/search/searchresult.jsp?newsearch=true&amp;queryText=event%20camera&amp;searchWithin=%22Parent%20Publication%20Number%22:1000002" TargetMode="External"/><Relationship Id="rId2123" Type="http://schemas.openxmlformats.org/officeDocument/2006/relationships/hyperlink" Target="https://ieeexplore.ieee.org/search/searchresult.jsp?newsearch=true&amp;queryText=event%20camera&amp;searchWithin=%22Publication%20Number%22:19" TargetMode="External"/><Relationship Id="rId2124" Type="http://schemas.openxmlformats.org/officeDocument/2006/relationships/hyperlink" Target="https://ieeexplore.ieee.org/search/searchresult.jsp?newsearch=true&amp;queryText=event%20camera&amp;searchWithin=%22Publication%20Number%22:6745852" TargetMode="External"/><Relationship Id="rId2125" Type="http://schemas.openxmlformats.org/officeDocument/2006/relationships/hyperlink" Target="https://ieeexplore.ieee.org/search/searchresult.jsp?queryText=event%20camera&amp;highlight=true&amp;returnType=SEARCH&amp;matchPubs=true&amp;returnFacets=ALL&amp;refinements=PublicationTitle:IEEE%20Transactions%20on%20Circuits%20and%20Systems%20for%20Video%20Technology" TargetMode="External"/><Relationship Id="rId2115" Type="http://schemas.openxmlformats.org/officeDocument/2006/relationships/hyperlink" Target="https://ieeexplore.ieee.org/iel7/9066468/9072687/09073855.pdf" TargetMode="External"/><Relationship Id="rId2116" Type="http://schemas.openxmlformats.org/officeDocument/2006/relationships/hyperlink" Target="https://ieeexplore.ieee.org/iel7/9184803/9190635/09190830.pdf" TargetMode="External"/><Relationship Id="rId2117" Type="http://schemas.openxmlformats.org/officeDocument/2006/relationships/hyperlink" Target="https://ieeexplore.ieee.org/iel7/9891857/9889787/09892070.pdf" TargetMode="External"/><Relationship Id="rId2118" Type="http://schemas.openxmlformats.org/officeDocument/2006/relationships/hyperlink" Target="https://ieeexplore.ieee.org/iel7/9959088/9959097/09959313.pdf" TargetMode="External"/><Relationship Id="rId2119" Type="http://schemas.openxmlformats.org/officeDocument/2006/relationships/hyperlink" Target="https://ieeexplore.ieee.org/iel8/10801246/10801290/10802786.pdf" TargetMode="External"/><Relationship Id="rId2110" Type="http://schemas.openxmlformats.org/officeDocument/2006/relationships/hyperlink" Target="https://ieeexplore.ieee.org/iel7/34/4359286/10198747.pdf" TargetMode="External"/><Relationship Id="rId2111" Type="http://schemas.openxmlformats.org/officeDocument/2006/relationships/hyperlink" Target="https://ieeexplore.ieee.org/iel7/5962385/6104215/06589170.pdf" TargetMode="External"/><Relationship Id="rId2112" Type="http://schemas.openxmlformats.org/officeDocument/2006/relationships/hyperlink" Target="https://ieeexplore.ieee.org/iel7/5962385/6104215/09893571.pdf" TargetMode="External"/><Relationship Id="rId2113" Type="http://schemas.openxmlformats.org/officeDocument/2006/relationships/hyperlink" Target="https://ieeexplore.ieee.org/iel7/6287639/6514899/10188686.pdf" TargetMode="External"/><Relationship Id="rId2114" Type="http://schemas.openxmlformats.org/officeDocument/2006/relationships/hyperlink" Target="https://ieeexplore.ieee.org/iel7/7083369/7339444/09813406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5"/>
    <col customWidth="1" min="2" max="2" width="45.5"/>
    <col customWidth="1" min="3" max="3" width="26.0"/>
    <col customWidth="1" min="4" max="4" width="31.75"/>
    <col customWidth="1" min="5" max="5" width="28.63"/>
    <col customWidth="1" min="6" max="6" width="30.38"/>
  </cols>
  <sheetData>
    <row r="1" ht="15.75" customHeight="1">
      <c r="A1" s="1" t="str">
        <f>"URLs: "&amp;COUNTA($A2:$A4540) &amp;"    [missing: "&amp;COUNTBLANK($A2:$A4540)&amp;"]"</f>
        <v>URLs: 4539    [missing: 0]</v>
      </c>
      <c r="B1" s="2" t="str">
        <f>"TITLE"&amp;"    [missing: "&amp;COUNTBLANK($B2:$B4540)&amp;"]"</f>
        <v>TITLE    [missing: 1557]</v>
      </c>
      <c r="C1" s="1" t="str">
        <f>"TYPE"&amp;"    [missing: "&amp;COUNTBLANK($C2:$C4540)&amp;"]"</f>
        <v>TYPE    [missing: 2097]</v>
      </c>
      <c r="D1" s="1" t="str">
        <f>"DESCRIPTION"&amp;"    [missing: "&amp;COUNTBLANK($D2:$D4540)&amp;"]"</f>
        <v>DESCRIPTION    [missing: 1583]</v>
      </c>
      <c r="E1" s="1" t="str">
        <f>"AUTHORS"&amp;"    [missing: "&amp;COUNTBLANK($E2:$E4540)&amp;"]"</f>
        <v>AUTHORS    [missing: 4538]</v>
      </c>
      <c r="F1" s="1" t="str">
        <f>"DUPLICATES: " &amp;COUNTIF($F2:$F4540, "True")&amp;"    [missing: "&amp;COUNTBLANK($F2:$F4540)&amp;"]"</f>
        <v>DUPLICATES: 0    [missing: 0]</v>
      </c>
    </row>
    <row r="2" ht="15.75" customHeight="1">
      <c r="A2" s="3" t="s">
        <v>0</v>
      </c>
      <c r="B2" s="4"/>
      <c r="C2" s="5"/>
      <c r="D2" s="5"/>
      <c r="E2" s="6"/>
      <c r="F2" s="6" t="b">
        <f t="shared" ref="F2:F4540" si="1">COUNTIF($A:$A, $A2)&gt;1</f>
        <v>0</v>
      </c>
    </row>
    <row r="3" ht="15.75" customHeight="1">
      <c r="A3" s="3" t="s">
        <v>1</v>
      </c>
      <c r="B3" s="4"/>
      <c r="C3" s="5"/>
      <c r="D3" s="5"/>
      <c r="E3" s="6"/>
      <c r="F3" s="6" t="b">
        <f t="shared" si="1"/>
        <v>0</v>
      </c>
    </row>
    <row r="4" ht="15.75" customHeight="1">
      <c r="A4" s="3" t="s">
        <v>2</v>
      </c>
      <c r="B4" s="4"/>
      <c r="C4" s="5"/>
      <c r="D4" s="5"/>
      <c r="E4" s="6"/>
      <c r="F4" s="6" t="b">
        <f t="shared" si="1"/>
        <v>0</v>
      </c>
    </row>
    <row r="5" ht="15.75" customHeight="1">
      <c r="A5" s="3" t="s">
        <v>3</v>
      </c>
      <c r="B5" s="4"/>
      <c r="C5" s="5"/>
      <c r="D5" s="5"/>
      <c r="E5" s="6"/>
      <c r="F5" s="6" t="b">
        <f t="shared" si="1"/>
        <v>0</v>
      </c>
    </row>
    <row r="6" ht="15.75" customHeight="1">
      <c r="A6" s="7" t="s">
        <v>4</v>
      </c>
      <c r="B6" s="4" t="s">
        <v>5</v>
      </c>
      <c r="C6" s="5" t="s">
        <v>6</v>
      </c>
      <c r="D6" s="6" t="s">
        <v>7</v>
      </c>
      <c r="E6" s="6"/>
      <c r="F6" s="6" t="b">
        <f t="shared" si="1"/>
        <v>0</v>
      </c>
    </row>
    <row r="7" ht="15.75" customHeight="1">
      <c r="A7" s="7" t="s">
        <v>8</v>
      </c>
      <c r="B7" s="4" t="s">
        <v>9</v>
      </c>
      <c r="C7" s="5" t="s">
        <v>6</v>
      </c>
      <c r="D7" s="6" t="s">
        <v>10</v>
      </c>
      <c r="E7" s="6"/>
      <c r="F7" s="6" t="b">
        <f t="shared" si="1"/>
        <v>0</v>
      </c>
    </row>
    <row r="8" ht="15.75" customHeight="1">
      <c r="A8" s="7" t="s">
        <v>11</v>
      </c>
      <c r="B8" s="4" t="s">
        <v>12</v>
      </c>
      <c r="C8" s="5" t="s">
        <v>6</v>
      </c>
      <c r="D8" s="6" t="s">
        <v>13</v>
      </c>
      <c r="E8" s="6"/>
      <c r="F8" s="6" t="b">
        <f t="shared" si="1"/>
        <v>0</v>
      </c>
    </row>
    <row r="9" ht="15.75" customHeight="1">
      <c r="A9" s="7" t="s">
        <v>14</v>
      </c>
      <c r="B9" s="4" t="s">
        <v>15</v>
      </c>
      <c r="C9" s="5" t="s">
        <v>16</v>
      </c>
      <c r="D9" s="6" t="s">
        <v>17</v>
      </c>
      <c r="E9" s="6"/>
      <c r="F9" s="6" t="b">
        <f t="shared" si="1"/>
        <v>0</v>
      </c>
    </row>
    <row r="10" ht="15.75" customHeight="1">
      <c r="A10" s="7" t="s">
        <v>18</v>
      </c>
      <c r="B10" s="4" t="s">
        <v>19</v>
      </c>
      <c r="C10" s="5" t="s">
        <v>6</v>
      </c>
      <c r="D10" s="6" t="s">
        <v>20</v>
      </c>
      <c r="E10" s="6"/>
      <c r="F10" s="6" t="b">
        <f t="shared" si="1"/>
        <v>0</v>
      </c>
    </row>
    <row r="11" ht="15.75" customHeight="1">
      <c r="A11" s="7" t="s">
        <v>21</v>
      </c>
      <c r="B11" s="4" t="s">
        <v>22</v>
      </c>
      <c r="C11" s="5" t="s">
        <v>6</v>
      </c>
      <c r="D11" s="6" t="s">
        <v>13</v>
      </c>
      <c r="E11" s="6"/>
      <c r="F11" s="6" t="b">
        <f t="shared" si="1"/>
        <v>0</v>
      </c>
    </row>
    <row r="12" ht="15.75" customHeight="1">
      <c r="A12" s="7" t="s">
        <v>23</v>
      </c>
      <c r="B12" s="4" t="s">
        <v>24</v>
      </c>
      <c r="C12" s="5" t="s">
        <v>6</v>
      </c>
      <c r="D12" s="6" t="s">
        <v>25</v>
      </c>
      <c r="E12" s="6"/>
      <c r="F12" s="6" t="b">
        <f t="shared" si="1"/>
        <v>0</v>
      </c>
    </row>
    <row r="13" ht="15.75" customHeight="1">
      <c r="A13" s="7" t="s">
        <v>26</v>
      </c>
      <c r="B13" s="4" t="s">
        <v>27</v>
      </c>
      <c r="C13" s="5" t="s">
        <v>6</v>
      </c>
      <c r="D13" s="6" t="s">
        <v>28</v>
      </c>
      <c r="E13" s="6"/>
      <c r="F13" s="6" t="b">
        <f t="shared" si="1"/>
        <v>0</v>
      </c>
    </row>
    <row r="14" ht="15.75" customHeight="1">
      <c r="A14" s="7" t="s">
        <v>29</v>
      </c>
      <c r="B14" s="4" t="s">
        <v>30</v>
      </c>
      <c r="C14" s="5" t="s">
        <v>6</v>
      </c>
      <c r="D14" s="6" t="s">
        <v>28</v>
      </c>
      <c r="E14" s="6"/>
      <c r="F14" s="6" t="b">
        <f t="shared" si="1"/>
        <v>0</v>
      </c>
    </row>
    <row r="15" ht="15.75" customHeight="1">
      <c r="A15" s="7" t="s">
        <v>31</v>
      </c>
      <c r="B15" s="4" t="s">
        <v>32</v>
      </c>
      <c r="C15" s="5" t="s">
        <v>6</v>
      </c>
      <c r="D15" s="6" t="s">
        <v>33</v>
      </c>
      <c r="E15" s="6"/>
      <c r="F15" s="6" t="b">
        <f t="shared" si="1"/>
        <v>0</v>
      </c>
    </row>
    <row r="16" ht="15.75" customHeight="1">
      <c r="A16" s="7" t="s">
        <v>34</v>
      </c>
      <c r="B16" s="4" t="s">
        <v>35</v>
      </c>
      <c r="C16" s="8"/>
      <c r="D16" s="6" t="s">
        <v>36</v>
      </c>
      <c r="E16" s="6"/>
      <c r="F16" s="6" t="b">
        <f t="shared" si="1"/>
        <v>0</v>
      </c>
    </row>
    <row r="17" ht="15.75" customHeight="1">
      <c r="A17" s="7" t="s">
        <v>37</v>
      </c>
      <c r="B17" s="4" t="s">
        <v>38</v>
      </c>
      <c r="C17" s="5" t="s">
        <v>6</v>
      </c>
      <c r="D17" s="6" t="s">
        <v>39</v>
      </c>
      <c r="E17" s="6"/>
      <c r="F17" s="6" t="b">
        <f t="shared" si="1"/>
        <v>0</v>
      </c>
    </row>
    <row r="18" ht="15.75" customHeight="1">
      <c r="A18" s="7" t="s">
        <v>40</v>
      </c>
      <c r="B18" s="4" t="s">
        <v>41</v>
      </c>
      <c r="C18" s="5" t="s">
        <v>6</v>
      </c>
      <c r="D18" s="6" t="s">
        <v>42</v>
      </c>
      <c r="E18" s="6"/>
      <c r="F18" s="6" t="b">
        <f t="shared" si="1"/>
        <v>0</v>
      </c>
    </row>
    <row r="19" ht="15.75" customHeight="1">
      <c r="A19" s="7" t="s">
        <v>43</v>
      </c>
      <c r="B19" s="4" t="s">
        <v>44</v>
      </c>
      <c r="C19" s="5" t="s">
        <v>16</v>
      </c>
      <c r="D19" s="6" t="s">
        <v>45</v>
      </c>
      <c r="E19" s="6"/>
      <c r="F19" s="6" t="b">
        <f t="shared" si="1"/>
        <v>0</v>
      </c>
    </row>
    <row r="20" ht="15.75" customHeight="1">
      <c r="A20" s="7" t="s">
        <v>46</v>
      </c>
      <c r="B20" s="4" t="s">
        <v>47</v>
      </c>
      <c r="C20" s="8"/>
      <c r="D20" s="6" t="s">
        <v>36</v>
      </c>
      <c r="E20" s="6"/>
      <c r="F20" s="6" t="b">
        <f t="shared" si="1"/>
        <v>0</v>
      </c>
    </row>
    <row r="21" ht="15.75" customHeight="1">
      <c r="A21" s="7" t="s">
        <v>48</v>
      </c>
      <c r="B21" s="4" t="s">
        <v>49</v>
      </c>
      <c r="C21" s="8"/>
      <c r="D21" s="6" t="s">
        <v>36</v>
      </c>
      <c r="E21" s="6"/>
      <c r="F21" s="6" t="b">
        <f t="shared" si="1"/>
        <v>0</v>
      </c>
    </row>
    <row r="22" ht="15.75" customHeight="1">
      <c r="A22" s="7" t="s">
        <v>50</v>
      </c>
      <c r="B22" s="4" t="s">
        <v>51</v>
      </c>
      <c r="C22" s="5" t="s">
        <v>16</v>
      </c>
      <c r="D22" s="6" t="s">
        <v>52</v>
      </c>
      <c r="E22" s="6"/>
      <c r="F22" s="6" t="b">
        <f t="shared" si="1"/>
        <v>0</v>
      </c>
    </row>
    <row r="23" ht="15.75" customHeight="1">
      <c r="A23" s="7" t="s">
        <v>53</v>
      </c>
      <c r="B23" s="4" t="s">
        <v>54</v>
      </c>
      <c r="C23" s="6"/>
      <c r="D23" s="6" t="s">
        <v>55</v>
      </c>
      <c r="E23" s="6"/>
      <c r="F23" s="6" t="b">
        <f t="shared" si="1"/>
        <v>0</v>
      </c>
    </row>
    <row r="24" ht="15.75" customHeight="1">
      <c r="A24" s="7" t="s">
        <v>56</v>
      </c>
      <c r="B24" s="4" t="s">
        <v>57</v>
      </c>
      <c r="C24" s="5" t="s">
        <v>16</v>
      </c>
      <c r="D24" s="6" t="s">
        <v>58</v>
      </c>
      <c r="E24" s="6"/>
      <c r="F24" s="6" t="b">
        <f t="shared" si="1"/>
        <v>0</v>
      </c>
    </row>
    <row r="25" ht="15.75" customHeight="1">
      <c r="A25" s="7" t="s">
        <v>59</v>
      </c>
      <c r="B25" s="4" t="s">
        <v>60</v>
      </c>
      <c r="C25" s="5" t="s">
        <v>6</v>
      </c>
      <c r="D25" s="6" t="s">
        <v>61</v>
      </c>
      <c r="E25" s="6"/>
      <c r="F25" s="6" t="b">
        <f t="shared" si="1"/>
        <v>0</v>
      </c>
    </row>
    <row r="26" ht="15.75" customHeight="1">
      <c r="A26" s="7" t="s">
        <v>62</v>
      </c>
      <c r="B26" s="4" t="s">
        <v>63</v>
      </c>
      <c r="C26" s="5" t="s">
        <v>16</v>
      </c>
      <c r="D26" s="6" t="s">
        <v>64</v>
      </c>
      <c r="E26" s="6"/>
      <c r="F26" s="6" t="b">
        <f t="shared" si="1"/>
        <v>0</v>
      </c>
    </row>
    <row r="27" ht="15.75" customHeight="1">
      <c r="A27" s="7" t="s">
        <v>65</v>
      </c>
      <c r="B27" s="4" t="s">
        <v>66</v>
      </c>
      <c r="C27" s="5" t="s">
        <v>6</v>
      </c>
      <c r="D27" s="6" t="s">
        <v>67</v>
      </c>
      <c r="E27" s="6"/>
      <c r="F27" s="6" t="b">
        <f t="shared" si="1"/>
        <v>0</v>
      </c>
    </row>
    <row r="28" ht="15.75" customHeight="1">
      <c r="A28" s="7" t="s">
        <v>68</v>
      </c>
      <c r="B28" s="4" t="s">
        <v>69</v>
      </c>
      <c r="C28" s="6"/>
      <c r="D28" s="6" t="s">
        <v>70</v>
      </c>
      <c r="E28" s="6"/>
      <c r="F28" s="6" t="b">
        <f t="shared" si="1"/>
        <v>0</v>
      </c>
    </row>
    <row r="29" ht="15.75" customHeight="1">
      <c r="A29" s="7" t="s">
        <v>71</v>
      </c>
      <c r="B29" s="4" t="s">
        <v>72</v>
      </c>
      <c r="C29" s="6"/>
      <c r="D29" s="6" t="s">
        <v>70</v>
      </c>
      <c r="E29" s="6"/>
      <c r="F29" s="6" t="b">
        <f t="shared" si="1"/>
        <v>0</v>
      </c>
    </row>
    <row r="30" ht="15.75" customHeight="1">
      <c r="A30" s="7" t="s">
        <v>73</v>
      </c>
      <c r="B30" s="4" t="s">
        <v>74</v>
      </c>
      <c r="C30" s="6"/>
      <c r="D30" s="6" t="s">
        <v>70</v>
      </c>
      <c r="E30" s="6"/>
      <c r="F30" s="6" t="b">
        <f t="shared" si="1"/>
        <v>0</v>
      </c>
    </row>
    <row r="31" ht="15.75" customHeight="1">
      <c r="A31" s="7" t="s">
        <v>75</v>
      </c>
      <c r="B31" s="4" t="s">
        <v>76</v>
      </c>
      <c r="C31" s="6"/>
      <c r="D31" s="6" t="s">
        <v>70</v>
      </c>
      <c r="E31" s="6"/>
      <c r="F31" s="6" t="b">
        <f t="shared" si="1"/>
        <v>0</v>
      </c>
    </row>
    <row r="32" ht="15.75" customHeight="1">
      <c r="A32" s="7" t="s">
        <v>77</v>
      </c>
      <c r="B32" s="4" t="s">
        <v>78</v>
      </c>
      <c r="C32" s="6"/>
      <c r="D32" s="6" t="s">
        <v>70</v>
      </c>
      <c r="E32" s="6"/>
      <c r="F32" s="6" t="b">
        <f t="shared" si="1"/>
        <v>0</v>
      </c>
    </row>
    <row r="33" ht="15.75" customHeight="1">
      <c r="A33" s="7" t="s">
        <v>79</v>
      </c>
      <c r="B33" s="4" t="s">
        <v>80</v>
      </c>
      <c r="C33" s="5" t="s">
        <v>6</v>
      </c>
      <c r="D33" s="6" t="s">
        <v>81</v>
      </c>
      <c r="E33" s="6"/>
      <c r="F33" s="6" t="b">
        <f t="shared" si="1"/>
        <v>0</v>
      </c>
    </row>
    <row r="34" ht="15.75" customHeight="1">
      <c r="A34" s="7" t="s">
        <v>82</v>
      </c>
      <c r="B34" s="4" t="s">
        <v>83</v>
      </c>
      <c r="C34" s="6"/>
      <c r="D34" s="6" t="s">
        <v>70</v>
      </c>
      <c r="E34" s="6"/>
      <c r="F34" s="6" t="b">
        <f t="shared" si="1"/>
        <v>0</v>
      </c>
    </row>
    <row r="35" ht="15.75" customHeight="1">
      <c r="A35" s="7" t="s">
        <v>84</v>
      </c>
      <c r="B35" s="4" t="s">
        <v>85</v>
      </c>
      <c r="C35" s="5" t="s">
        <v>6</v>
      </c>
      <c r="D35" s="6" t="s">
        <v>86</v>
      </c>
      <c r="E35" s="6"/>
      <c r="F35" s="6" t="b">
        <f t="shared" si="1"/>
        <v>0</v>
      </c>
    </row>
    <row r="36" ht="15.75" customHeight="1">
      <c r="A36" s="3" t="s">
        <v>87</v>
      </c>
      <c r="B36" s="4"/>
      <c r="C36" s="5"/>
      <c r="D36" s="5"/>
      <c r="E36" s="6"/>
      <c r="F36" s="6" t="b">
        <f t="shared" si="1"/>
        <v>0</v>
      </c>
    </row>
    <row r="37" ht="15.75" customHeight="1">
      <c r="A37" s="3" t="s">
        <v>88</v>
      </c>
      <c r="B37" s="4"/>
      <c r="C37" s="5"/>
      <c r="D37" s="5"/>
      <c r="E37" s="6"/>
      <c r="F37" s="6" t="b">
        <f t="shared" si="1"/>
        <v>0</v>
      </c>
    </row>
    <row r="38" ht="15.75" customHeight="1">
      <c r="A38" s="3" t="s">
        <v>89</v>
      </c>
      <c r="B38" s="4"/>
      <c r="C38" s="5"/>
      <c r="D38" s="5"/>
      <c r="E38" s="6"/>
      <c r="F38" s="6" t="b">
        <f t="shared" si="1"/>
        <v>0</v>
      </c>
    </row>
    <row r="39" ht="15.75" customHeight="1">
      <c r="A39" s="7" t="s">
        <v>90</v>
      </c>
      <c r="B39" s="4" t="s">
        <v>91</v>
      </c>
      <c r="C39" s="5" t="s">
        <v>6</v>
      </c>
      <c r="D39" s="6" t="s">
        <v>92</v>
      </c>
      <c r="E39" s="6"/>
      <c r="F39" s="6" t="b">
        <f t="shared" si="1"/>
        <v>0</v>
      </c>
    </row>
    <row r="40" ht="15.75" customHeight="1">
      <c r="A40" s="7" t="s">
        <v>93</v>
      </c>
      <c r="B40" s="4" t="s">
        <v>94</v>
      </c>
      <c r="C40" s="5" t="s">
        <v>6</v>
      </c>
      <c r="D40" s="6" t="s">
        <v>92</v>
      </c>
      <c r="E40" s="6"/>
      <c r="F40" s="6" t="b">
        <f t="shared" si="1"/>
        <v>0</v>
      </c>
    </row>
    <row r="41" ht="15.75" customHeight="1">
      <c r="A41" s="3" t="s">
        <v>95</v>
      </c>
      <c r="B41" s="4"/>
      <c r="C41" s="5"/>
      <c r="D41" s="5"/>
      <c r="E41" s="6"/>
      <c r="F41" s="6" t="b">
        <f t="shared" si="1"/>
        <v>0</v>
      </c>
    </row>
    <row r="42" ht="15.75" customHeight="1">
      <c r="A42" s="3" t="s">
        <v>96</v>
      </c>
      <c r="B42" s="4"/>
      <c r="C42" s="5"/>
      <c r="D42" s="5"/>
      <c r="E42" s="6"/>
      <c r="F42" s="6" t="b">
        <f t="shared" si="1"/>
        <v>0</v>
      </c>
    </row>
    <row r="43" ht="15.75" customHeight="1">
      <c r="A43" s="7" t="s">
        <v>97</v>
      </c>
      <c r="B43" s="4" t="s">
        <v>98</v>
      </c>
      <c r="C43" s="5" t="s">
        <v>6</v>
      </c>
      <c r="D43" s="6" t="s">
        <v>99</v>
      </c>
      <c r="E43" s="6"/>
      <c r="F43" s="6" t="b">
        <f t="shared" si="1"/>
        <v>0</v>
      </c>
    </row>
    <row r="44" ht="15.75" customHeight="1">
      <c r="A44" s="3" t="s">
        <v>100</v>
      </c>
      <c r="B44" s="4"/>
      <c r="C44" s="5"/>
      <c r="D44" s="5"/>
      <c r="E44" s="6"/>
      <c r="F44" s="6" t="b">
        <f t="shared" si="1"/>
        <v>0</v>
      </c>
    </row>
    <row r="45" ht="15.75" customHeight="1">
      <c r="A45" s="3" t="s">
        <v>101</v>
      </c>
      <c r="B45" s="4"/>
      <c r="C45" s="5"/>
      <c r="D45" s="5"/>
      <c r="E45" s="6"/>
      <c r="F45" s="6" t="b">
        <f t="shared" si="1"/>
        <v>0</v>
      </c>
    </row>
    <row r="46" ht="15.75" customHeight="1">
      <c r="A46" s="3" t="s">
        <v>102</v>
      </c>
      <c r="B46" s="4"/>
      <c r="C46" s="5"/>
      <c r="D46" s="5"/>
      <c r="E46" s="6"/>
      <c r="F46" s="6" t="b">
        <f t="shared" si="1"/>
        <v>0</v>
      </c>
    </row>
    <row r="47" ht="15.75" customHeight="1">
      <c r="A47" s="3" t="s">
        <v>103</v>
      </c>
      <c r="B47" s="4"/>
      <c r="C47" s="5"/>
      <c r="D47" s="5"/>
      <c r="E47" s="6"/>
      <c r="F47" s="6" t="b">
        <f t="shared" si="1"/>
        <v>0</v>
      </c>
    </row>
    <row r="48" ht="15.75" customHeight="1">
      <c r="A48" s="3" t="s">
        <v>104</v>
      </c>
      <c r="B48" s="4"/>
      <c r="C48" s="5"/>
      <c r="D48" s="5"/>
      <c r="E48" s="6"/>
      <c r="F48" s="6" t="b">
        <f t="shared" si="1"/>
        <v>0</v>
      </c>
    </row>
    <row r="49" ht="15.75" customHeight="1">
      <c r="A49" s="3" t="s">
        <v>105</v>
      </c>
      <c r="B49" s="4"/>
      <c r="C49" s="5"/>
      <c r="D49" s="5"/>
      <c r="E49" s="6"/>
      <c r="F49" s="6" t="b">
        <f t="shared" si="1"/>
        <v>0</v>
      </c>
    </row>
    <row r="50" ht="15.75" customHeight="1">
      <c r="A50" s="3" t="s">
        <v>106</v>
      </c>
      <c r="B50" s="4"/>
      <c r="C50" s="5"/>
      <c r="D50" s="5"/>
      <c r="E50" s="6"/>
      <c r="F50" s="6" t="b">
        <f t="shared" si="1"/>
        <v>0</v>
      </c>
    </row>
    <row r="51" ht="15.75" customHeight="1">
      <c r="A51" s="3" t="s">
        <v>107</v>
      </c>
      <c r="B51" s="4"/>
      <c r="C51" s="5"/>
      <c r="D51" s="5"/>
      <c r="E51" s="6"/>
      <c r="F51" s="6" t="b">
        <f t="shared" si="1"/>
        <v>0</v>
      </c>
    </row>
    <row r="52" ht="15.75" customHeight="1">
      <c r="A52" s="3" t="s">
        <v>108</v>
      </c>
      <c r="B52" s="4"/>
      <c r="C52" s="5"/>
      <c r="D52" s="5"/>
      <c r="E52" s="6"/>
      <c r="F52" s="6" t="b">
        <f t="shared" si="1"/>
        <v>0</v>
      </c>
    </row>
    <row r="53" ht="15.75" customHeight="1">
      <c r="A53" s="3" t="s">
        <v>109</v>
      </c>
      <c r="B53" s="4"/>
      <c r="C53" s="5"/>
      <c r="D53" s="5"/>
      <c r="E53" s="6"/>
      <c r="F53" s="6" t="b">
        <f t="shared" si="1"/>
        <v>0</v>
      </c>
    </row>
    <row r="54" ht="15.75" customHeight="1">
      <c r="A54" s="7" t="s">
        <v>110</v>
      </c>
      <c r="B54" s="4" t="s">
        <v>111</v>
      </c>
      <c r="C54" s="5" t="s">
        <v>6</v>
      </c>
      <c r="D54" s="6" t="s">
        <v>112</v>
      </c>
      <c r="E54" s="6"/>
      <c r="F54" s="6" t="b">
        <f t="shared" si="1"/>
        <v>0</v>
      </c>
    </row>
    <row r="55" ht="15.75" customHeight="1">
      <c r="A55" s="3" t="s">
        <v>113</v>
      </c>
      <c r="B55" s="4"/>
      <c r="C55" s="5"/>
      <c r="D55" s="5"/>
      <c r="E55" s="6"/>
      <c r="F55" s="6" t="b">
        <f t="shared" si="1"/>
        <v>0</v>
      </c>
    </row>
    <row r="56" ht="15.75" customHeight="1">
      <c r="A56" s="3" t="s">
        <v>114</v>
      </c>
      <c r="B56" s="4"/>
      <c r="C56" s="5"/>
      <c r="D56" s="5"/>
      <c r="E56" s="6"/>
      <c r="F56" s="6" t="b">
        <f t="shared" si="1"/>
        <v>0</v>
      </c>
    </row>
    <row r="57" ht="15.75" customHeight="1">
      <c r="A57" s="3" t="s">
        <v>115</v>
      </c>
      <c r="B57" s="4"/>
      <c r="C57" s="5"/>
      <c r="D57" s="5"/>
      <c r="E57" s="6"/>
      <c r="F57" s="6" t="b">
        <f t="shared" si="1"/>
        <v>0</v>
      </c>
    </row>
    <row r="58" ht="15.75" customHeight="1">
      <c r="A58" s="3" t="s">
        <v>116</v>
      </c>
      <c r="B58" s="4"/>
      <c r="C58" s="5"/>
      <c r="D58" s="5"/>
      <c r="E58" s="6"/>
      <c r="F58" s="6" t="b">
        <f t="shared" si="1"/>
        <v>0</v>
      </c>
    </row>
    <row r="59" ht="15.75" customHeight="1">
      <c r="A59" s="7" t="s">
        <v>117</v>
      </c>
      <c r="B59" s="4" t="s">
        <v>118</v>
      </c>
      <c r="C59" s="5" t="s">
        <v>16</v>
      </c>
      <c r="D59" s="6" t="s">
        <v>119</v>
      </c>
      <c r="E59" s="6"/>
      <c r="F59" s="6" t="b">
        <f t="shared" si="1"/>
        <v>0</v>
      </c>
    </row>
    <row r="60" ht="15.75" customHeight="1">
      <c r="A60" s="7" t="s">
        <v>120</v>
      </c>
      <c r="B60" s="4" t="s">
        <v>121</v>
      </c>
      <c r="C60" s="5" t="s">
        <v>6</v>
      </c>
      <c r="D60" s="6" t="s">
        <v>122</v>
      </c>
      <c r="E60" s="6"/>
      <c r="F60" s="6" t="b">
        <f t="shared" si="1"/>
        <v>0</v>
      </c>
    </row>
    <row r="61" ht="15.75" customHeight="1">
      <c r="A61" s="7" t="s">
        <v>123</v>
      </c>
      <c r="B61" s="4" t="s">
        <v>124</v>
      </c>
      <c r="C61" s="5" t="s">
        <v>16</v>
      </c>
      <c r="D61" s="6" t="s">
        <v>125</v>
      </c>
      <c r="E61" s="6"/>
      <c r="F61" s="6" t="b">
        <f t="shared" si="1"/>
        <v>0</v>
      </c>
    </row>
    <row r="62" ht="15.75" customHeight="1">
      <c r="A62" s="7" t="s">
        <v>126</v>
      </c>
      <c r="B62" s="4" t="s">
        <v>127</v>
      </c>
      <c r="C62" s="5" t="s">
        <v>16</v>
      </c>
      <c r="D62" s="6" t="s">
        <v>125</v>
      </c>
      <c r="E62" s="6"/>
      <c r="F62" s="6" t="b">
        <f t="shared" si="1"/>
        <v>0</v>
      </c>
    </row>
    <row r="63" ht="15.75" customHeight="1">
      <c r="A63" s="7" t="s">
        <v>128</v>
      </c>
      <c r="B63" s="4" t="s">
        <v>129</v>
      </c>
      <c r="C63" s="5" t="s">
        <v>6</v>
      </c>
      <c r="D63" s="6" t="s">
        <v>130</v>
      </c>
      <c r="E63" s="6"/>
      <c r="F63" s="6" t="b">
        <f t="shared" si="1"/>
        <v>0</v>
      </c>
    </row>
    <row r="64" ht="15.75" customHeight="1">
      <c r="A64" s="3" t="s">
        <v>131</v>
      </c>
      <c r="B64" s="4"/>
      <c r="C64" s="5"/>
      <c r="D64" s="5"/>
      <c r="E64" s="6"/>
      <c r="F64" s="6" t="b">
        <f t="shared" si="1"/>
        <v>0</v>
      </c>
    </row>
    <row r="65" ht="15.75" customHeight="1">
      <c r="A65" s="3" t="s">
        <v>132</v>
      </c>
      <c r="B65" s="4"/>
      <c r="C65" s="5"/>
      <c r="D65" s="5"/>
      <c r="E65" s="6"/>
      <c r="F65" s="6" t="b">
        <f t="shared" si="1"/>
        <v>0</v>
      </c>
    </row>
    <row r="66" ht="15.75" customHeight="1">
      <c r="A66" s="3" t="s">
        <v>133</v>
      </c>
      <c r="B66" s="4"/>
      <c r="C66" s="5"/>
      <c r="D66" s="5"/>
      <c r="E66" s="6"/>
      <c r="F66" s="6" t="b">
        <f t="shared" si="1"/>
        <v>0</v>
      </c>
    </row>
    <row r="67" ht="15.75" customHeight="1">
      <c r="A67" s="3" t="s">
        <v>134</v>
      </c>
      <c r="B67" s="4"/>
      <c r="C67" s="5"/>
      <c r="D67" s="5"/>
      <c r="E67" s="6"/>
      <c r="F67" s="6" t="b">
        <f t="shared" si="1"/>
        <v>0</v>
      </c>
    </row>
    <row r="68" ht="15.75" customHeight="1">
      <c r="A68" s="3" t="s">
        <v>135</v>
      </c>
      <c r="B68" s="4"/>
      <c r="C68" s="5"/>
      <c r="D68" s="5"/>
      <c r="E68" s="6"/>
      <c r="F68" s="6" t="b">
        <f t="shared" si="1"/>
        <v>0</v>
      </c>
    </row>
    <row r="69" ht="15.75" customHeight="1">
      <c r="A69" s="3" t="s">
        <v>136</v>
      </c>
      <c r="B69" s="4"/>
      <c r="C69" s="5"/>
      <c r="D69" s="5"/>
      <c r="E69" s="6"/>
      <c r="F69" s="6" t="b">
        <f t="shared" si="1"/>
        <v>0</v>
      </c>
    </row>
    <row r="70" ht="15.75" customHeight="1">
      <c r="A70" s="7" t="s">
        <v>137</v>
      </c>
      <c r="B70" s="4" t="s">
        <v>138</v>
      </c>
      <c r="C70" s="5" t="s">
        <v>16</v>
      </c>
      <c r="D70" s="6" t="s">
        <v>139</v>
      </c>
      <c r="E70" s="6"/>
      <c r="F70" s="6" t="b">
        <f t="shared" si="1"/>
        <v>0</v>
      </c>
    </row>
    <row r="71" ht="15.75" customHeight="1">
      <c r="A71" s="3" t="s">
        <v>140</v>
      </c>
      <c r="B71" s="4"/>
      <c r="C71" s="5"/>
      <c r="D71" s="5"/>
      <c r="E71" s="6"/>
      <c r="F71" s="6" t="b">
        <f t="shared" si="1"/>
        <v>0</v>
      </c>
    </row>
    <row r="72" ht="15.75" customHeight="1">
      <c r="A72" s="7" t="s">
        <v>141</v>
      </c>
      <c r="B72" s="4" t="s">
        <v>142</v>
      </c>
      <c r="C72" s="5" t="s">
        <v>6</v>
      </c>
      <c r="D72" s="6" t="s">
        <v>143</v>
      </c>
      <c r="E72" s="6"/>
      <c r="F72" s="6" t="b">
        <f t="shared" si="1"/>
        <v>0</v>
      </c>
    </row>
    <row r="73" ht="15.75" customHeight="1">
      <c r="A73" s="3" t="s">
        <v>144</v>
      </c>
      <c r="B73" s="4"/>
      <c r="C73" s="5"/>
      <c r="D73" s="5"/>
      <c r="E73" s="6"/>
      <c r="F73" s="6" t="b">
        <f t="shared" si="1"/>
        <v>0</v>
      </c>
    </row>
    <row r="74" ht="15.75" customHeight="1">
      <c r="A74" s="7" t="s">
        <v>145</v>
      </c>
      <c r="B74" s="4" t="s">
        <v>146</v>
      </c>
      <c r="C74" s="5" t="s">
        <v>16</v>
      </c>
      <c r="D74" s="6" t="s">
        <v>147</v>
      </c>
      <c r="E74" s="6"/>
      <c r="F74" s="6" t="b">
        <f t="shared" si="1"/>
        <v>0</v>
      </c>
    </row>
    <row r="75" ht="15.75" customHeight="1">
      <c r="A75" s="7" t="s">
        <v>148</v>
      </c>
      <c r="B75" s="4" t="s">
        <v>149</v>
      </c>
      <c r="C75" s="6"/>
      <c r="D75" s="6" t="s">
        <v>150</v>
      </c>
      <c r="E75" s="6"/>
      <c r="F75" s="6" t="b">
        <f t="shared" si="1"/>
        <v>0</v>
      </c>
    </row>
    <row r="76" ht="15.75" customHeight="1">
      <c r="A76" s="3" t="s">
        <v>151</v>
      </c>
      <c r="B76" s="4"/>
      <c r="C76" s="5"/>
      <c r="D76" s="5"/>
      <c r="E76" s="6"/>
      <c r="F76" s="6" t="b">
        <f t="shared" si="1"/>
        <v>0</v>
      </c>
    </row>
    <row r="77" ht="15.75" customHeight="1">
      <c r="A77" s="7" t="s">
        <v>152</v>
      </c>
      <c r="B77" s="4" t="s">
        <v>153</v>
      </c>
      <c r="C77" s="5" t="s">
        <v>6</v>
      </c>
      <c r="D77" s="6" t="s">
        <v>154</v>
      </c>
      <c r="E77" s="6"/>
      <c r="F77" s="6" t="b">
        <f t="shared" si="1"/>
        <v>0</v>
      </c>
    </row>
    <row r="78" ht="15.75" customHeight="1">
      <c r="A78" s="7" t="s">
        <v>155</v>
      </c>
      <c r="B78" s="4" t="s">
        <v>156</v>
      </c>
      <c r="C78" s="5" t="s">
        <v>6</v>
      </c>
      <c r="D78" s="6" t="s">
        <v>154</v>
      </c>
      <c r="E78" s="6"/>
      <c r="F78" s="6" t="b">
        <f t="shared" si="1"/>
        <v>0</v>
      </c>
    </row>
    <row r="79" ht="15.75" customHeight="1">
      <c r="A79" s="3" t="s">
        <v>157</v>
      </c>
      <c r="B79" s="4"/>
      <c r="C79" s="5"/>
      <c r="D79" s="5"/>
      <c r="E79" s="6"/>
      <c r="F79" s="6" t="b">
        <f t="shared" si="1"/>
        <v>0</v>
      </c>
    </row>
    <row r="80" ht="15.75" customHeight="1">
      <c r="A80" s="7" t="s">
        <v>158</v>
      </c>
      <c r="B80" s="4" t="s">
        <v>159</v>
      </c>
      <c r="C80" s="6"/>
      <c r="D80" s="6" t="s">
        <v>150</v>
      </c>
      <c r="E80" s="6"/>
      <c r="F80" s="6" t="b">
        <f t="shared" si="1"/>
        <v>0</v>
      </c>
    </row>
    <row r="81" ht="15.75" customHeight="1">
      <c r="A81" s="3" t="s">
        <v>160</v>
      </c>
      <c r="B81" s="4"/>
      <c r="C81" s="5"/>
      <c r="D81" s="5"/>
      <c r="E81" s="6"/>
      <c r="F81" s="6" t="b">
        <f t="shared" si="1"/>
        <v>0</v>
      </c>
    </row>
    <row r="82" ht="15.75" customHeight="1">
      <c r="A82" s="3" t="s">
        <v>161</v>
      </c>
      <c r="B82" s="4"/>
      <c r="C82" s="5"/>
      <c r="D82" s="5"/>
      <c r="E82" s="6"/>
      <c r="F82" s="6" t="b">
        <f t="shared" si="1"/>
        <v>0</v>
      </c>
    </row>
    <row r="83" ht="15.75" customHeight="1">
      <c r="A83" s="3" t="s">
        <v>162</v>
      </c>
      <c r="B83" s="4"/>
      <c r="C83" s="5"/>
      <c r="D83" s="5"/>
      <c r="E83" s="6"/>
      <c r="F83" s="6" t="b">
        <f t="shared" si="1"/>
        <v>0</v>
      </c>
    </row>
    <row r="84" ht="15.75" customHeight="1">
      <c r="A84" s="3" t="s">
        <v>163</v>
      </c>
      <c r="B84" s="4"/>
      <c r="C84" s="5"/>
      <c r="D84" s="5"/>
      <c r="E84" s="6"/>
      <c r="F84" s="6" t="b">
        <f t="shared" si="1"/>
        <v>0</v>
      </c>
    </row>
    <row r="85" ht="15.75" customHeight="1">
      <c r="A85" s="3" t="s">
        <v>164</v>
      </c>
      <c r="B85" s="4"/>
      <c r="C85" s="5"/>
      <c r="D85" s="5"/>
      <c r="E85" s="6"/>
      <c r="F85" s="6" t="b">
        <f t="shared" si="1"/>
        <v>0</v>
      </c>
    </row>
    <row r="86" ht="15.75" customHeight="1">
      <c r="A86" s="7" t="s">
        <v>165</v>
      </c>
      <c r="B86" s="4" t="s">
        <v>166</v>
      </c>
      <c r="C86" s="5" t="s">
        <v>6</v>
      </c>
      <c r="D86" s="6" t="s">
        <v>167</v>
      </c>
      <c r="E86" s="6"/>
      <c r="F86" s="6" t="b">
        <f t="shared" si="1"/>
        <v>0</v>
      </c>
    </row>
    <row r="87" ht="15.75" customHeight="1">
      <c r="A87" s="7" t="s">
        <v>168</v>
      </c>
      <c r="B87" s="4" t="s">
        <v>169</v>
      </c>
      <c r="C87" s="5" t="s">
        <v>6</v>
      </c>
      <c r="D87" s="6" t="s">
        <v>170</v>
      </c>
      <c r="E87" s="6"/>
      <c r="F87" s="6" t="b">
        <f t="shared" si="1"/>
        <v>0</v>
      </c>
    </row>
    <row r="88" ht="15.75" customHeight="1">
      <c r="A88" s="7" t="s">
        <v>171</v>
      </c>
      <c r="B88" s="4" t="s">
        <v>172</v>
      </c>
      <c r="C88" s="5" t="s">
        <v>6</v>
      </c>
      <c r="D88" s="6" t="s">
        <v>173</v>
      </c>
      <c r="E88" s="6"/>
      <c r="F88" s="6" t="b">
        <f t="shared" si="1"/>
        <v>0</v>
      </c>
    </row>
    <row r="89" ht="15.75" customHeight="1">
      <c r="A89" s="3" t="s">
        <v>174</v>
      </c>
      <c r="B89" s="4"/>
      <c r="C89" s="5"/>
      <c r="D89" s="5"/>
      <c r="E89" s="6"/>
      <c r="F89" s="6" t="b">
        <f t="shared" si="1"/>
        <v>0</v>
      </c>
    </row>
    <row r="90" ht="15.75" customHeight="1">
      <c r="A90" s="3" t="s">
        <v>175</v>
      </c>
      <c r="B90" s="4"/>
      <c r="C90" s="5"/>
      <c r="D90" s="5"/>
      <c r="E90" s="6"/>
      <c r="F90" s="6" t="b">
        <f t="shared" si="1"/>
        <v>0</v>
      </c>
    </row>
    <row r="91" ht="15.75" customHeight="1">
      <c r="A91" s="3" t="s">
        <v>176</v>
      </c>
      <c r="B91" s="4"/>
      <c r="C91" s="5"/>
      <c r="D91" s="5"/>
      <c r="E91" s="6"/>
      <c r="F91" s="6" t="b">
        <f t="shared" si="1"/>
        <v>0</v>
      </c>
    </row>
    <row r="92" ht="15.75" customHeight="1">
      <c r="A92" s="3" t="s">
        <v>177</v>
      </c>
      <c r="B92" s="4"/>
      <c r="C92" s="5"/>
      <c r="D92" s="5"/>
      <c r="E92" s="6"/>
      <c r="F92" s="6" t="b">
        <f t="shared" si="1"/>
        <v>0</v>
      </c>
    </row>
    <row r="93" ht="15.75" customHeight="1">
      <c r="A93" s="3" t="s">
        <v>178</v>
      </c>
      <c r="B93" s="4"/>
      <c r="C93" s="5"/>
      <c r="D93" s="5"/>
      <c r="E93" s="6"/>
      <c r="F93" s="6" t="b">
        <f t="shared" si="1"/>
        <v>0</v>
      </c>
    </row>
    <row r="94" ht="15.75" customHeight="1">
      <c r="A94" s="3" t="s">
        <v>179</v>
      </c>
      <c r="B94" s="4"/>
      <c r="C94" s="5"/>
      <c r="D94" s="5"/>
      <c r="E94" s="6"/>
      <c r="F94" s="6" t="b">
        <f t="shared" si="1"/>
        <v>0</v>
      </c>
    </row>
    <row r="95" ht="15.75" customHeight="1">
      <c r="A95" s="3" t="s">
        <v>180</v>
      </c>
      <c r="B95" s="4"/>
      <c r="C95" s="5"/>
      <c r="D95" s="5"/>
      <c r="E95" s="6"/>
      <c r="F95" s="6" t="b">
        <f t="shared" si="1"/>
        <v>0</v>
      </c>
    </row>
    <row r="96" ht="15.75" customHeight="1">
      <c r="A96" s="7" t="s">
        <v>181</v>
      </c>
      <c r="B96" s="4" t="s">
        <v>182</v>
      </c>
      <c r="C96" s="5" t="s">
        <v>16</v>
      </c>
      <c r="D96" s="6" t="s">
        <v>183</v>
      </c>
      <c r="E96" s="6"/>
      <c r="F96" s="6" t="b">
        <f t="shared" si="1"/>
        <v>0</v>
      </c>
    </row>
    <row r="97" ht="15.75" customHeight="1">
      <c r="A97" s="3" t="s">
        <v>184</v>
      </c>
      <c r="B97" s="4"/>
      <c r="C97" s="5"/>
      <c r="D97" s="5"/>
      <c r="E97" s="6"/>
      <c r="F97" s="6" t="b">
        <f t="shared" si="1"/>
        <v>0</v>
      </c>
    </row>
    <row r="98" ht="15.75" customHeight="1">
      <c r="A98" s="3" t="s">
        <v>185</v>
      </c>
      <c r="B98" s="4"/>
      <c r="C98" s="5"/>
      <c r="D98" s="5"/>
      <c r="E98" s="6"/>
      <c r="F98" s="6" t="b">
        <f t="shared" si="1"/>
        <v>0</v>
      </c>
    </row>
    <row r="99" ht="15.75" customHeight="1">
      <c r="A99" s="7" t="s">
        <v>186</v>
      </c>
      <c r="B99" s="4" t="s">
        <v>187</v>
      </c>
      <c r="C99" s="5" t="s">
        <v>16</v>
      </c>
      <c r="D99" s="6" t="s">
        <v>188</v>
      </c>
      <c r="E99" s="6"/>
      <c r="F99" s="6" t="b">
        <f t="shared" si="1"/>
        <v>0</v>
      </c>
    </row>
    <row r="100" ht="15.75" customHeight="1">
      <c r="A100" s="3" t="s">
        <v>189</v>
      </c>
      <c r="B100" s="4"/>
      <c r="C100" s="5"/>
      <c r="D100" s="5"/>
      <c r="E100" s="6"/>
      <c r="F100" s="6" t="b">
        <f t="shared" si="1"/>
        <v>0</v>
      </c>
    </row>
    <row r="101" ht="15.75" customHeight="1">
      <c r="A101" s="3" t="s">
        <v>190</v>
      </c>
      <c r="B101" s="4"/>
      <c r="C101" s="5"/>
      <c r="D101" s="5"/>
      <c r="E101" s="6"/>
      <c r="F101" s="6" t="b">
        <f t="shared" si="1"/>
        <v>0</v>
      </c>
    </row>
    <row r="102" ht="15.75" customHeight="1">
      <c r="A102" s="7" t="s">
        <v>191</v>
      </c>
      <c r="B102" s="4" t="s">
        <v>192</v>
      </c>
      <c r="C102" s="5" t="s">
        <v>16</v>
      </c>
      <c r="D102" s="6" t="s">
        <v>193</v>
      </c>
      <c r="E102" s="6"/>
      <c r="F102" s="6" t="b">
        <f t="shared" si="1"/>
        <v>0</v>
      </c>
    </row>
    <row r="103" ht="15.75" customHeight="1">
      <c r="A103" s="3" t="s">
        <v>194</v>
      </c>
      <c r="B103" s="4"/>
      <c r="C103" s="5"/>
      <c r="D103" s="5"/>
      <c r="E103" s="6"/>
      <c r="F103" s="6" t="b">
        <f t="shared" si="1"/>
        <v>0</v>
      </c>
    </row>
    <row r="104" ht="15.75" customHeight="1">
      <c r="A104" s="7" t="s">
        <v>195</v>
      </c>
      <c r="B104" s="4" t="s">
        <v>196</v>
      </c>
      <c r="C104" s="5" t="s">
        <v>16</v>
      </c>
      <c r="D104" s="6" t="s">
        <v>197</v>
      </c>
      <c r="E104" s="6"/>
      <c r="F104" s="6" t="b">
        <f t="shared" si="1"/>
        <v>0</v>
      </c>
    </row>
    <row r="105" ht="15.75" customHeight="1">
      <c r="A105" s="7" t="s">
        <v>198</v>
      </c>
      <c r="B105" s="4" t="s">
        <v>199</v>
      </c>
      <c r="C105" s="5" t="s">
        <v>16</v>
      </c>
      <c r="D105" s="6" t="s">
        <v>200</v>
      </c>
      <c r="E105" s="6"/>
      <c r="F105" s="6" t="b">
        <f t="shared" si="1"/>
        <v>0</v>
      </c>
    </row>
    <row r="106" ht="15.75" customHeight="1">
      <c r="A106" s="7" t="s">
        <v>201</v>
      </c>
      <c r="B106" s="4" t="s">
        <v>202</v>
      </c>
      <c r="C106" s="5" t="s">
        <v>6</v>
      </c>
      <c r="D106" s="6" t="s">
        <v>203</v>
      </c>
      <c r="E106" s="6"/>
      <c r="F106" s="6" t="b">
        <f t="shared" si="1"/>
        <v>0</v>
      </c>
    </row>
    <row r="107" ht="15.75" customHeight="1">
      <c r="A107" s="3" t="s">
        <v>204</v>
      </c>
      <c r="B107" s="4"/>
      <c r="C107" s="5"/>
      <c r="D107" s="5"/>
      <c r="E107" s="6"/>
      <c r="F107" s="6" t="b">
        <f t="shared" si="1"/>
        <v>0</v>
      </c>
    </row>
    <row r="108" ht="15.75" customHeight="1">
      <c r="A108" s="3" t="s">
        <v>205</v>
      </c>
      <c r="B108" s="4"/>
      <c r="C108" s="5"/>
      <c r="D108" s="5"/>
      <c r="E108" s="6"/>
      <c r="F108" s="6" t="b">
        <f t="shared" si="1"/>
        <v>0</v>
      </c>
    </row>
    <row r="109" ht="15.75" customHeight="1">
      <c r="A109" s="3" t="s">
        <v>206</v>
      </c>
      <c r="B109" s="4"/>
      <c r="C109" s="5"/>
      <c r="D109" s="5"/>
      <c r="E109" s="6"/>
      <c r="F109" s="6" t="b">
        <f t="shared" si="1"/>
        <v>0</v>
      </c>
    </row>
    <row r="110" ht="15.75" customHeight="1">
      <c r="A110" s="3" t="s">
        <v>207</v>
      </c>
      <c r="B110" s="4"/>
      <c r="C110" s="5"/>
      <c r="D110" s="5"/>
      <c r="E110" s="6"/>
      <c r="F110" s="6" t="b">
        <f t="shared" si="1"/>
        <v>0</v>
      </c>
    </row>
    <row r="111" ht="15.75" customHeight="1">
      <c r="A111" s="3" t="s">
        <v>208</v>
      </c>
      <c r="B111" s="4"/>
      <c r="C111" s="5"/>
      <c r="D111" s="5"/>
      <c r="E111" s="6"/>
      <c r="F111" s="6" t="b">
        <f t="shared" si="1"/>
        <v>0</v>
      </c>
    </row>
    <row r="112" ht="15.75" customHeight="1">
      <c r="A112" s="7" t="s">
        <v>209</v>
      </c>
      <c r="B112" s="4" t="s">
        <v>210</v>
      </c>
      <c r="C112" s="5" t="s">
        <v>16</v>
      </c>
      <c r="D112" s="6" t="s">
        <v>211</v>
      </c>
      <c r="E112" s="6"/>
      <c r="F112" s="6" t="b">
        <f t="shared" si="1"/>
        <v>0</v>
      </c>
    </row>
    <row r="113" ht="15.75" customHeight="1">
      <c r="A113" s="3" t="s">
        <v>212</v>
      </c>
      <c r="B113" s="4"/>
      <c r="C113" s="5"/>
      <c r="D113" s="5"/>
      <c r="E113" s="6"/>
      <c r="F113" s="6" t="b">
        <f t="shared" si="1"/>
        <v>0</v>
      </c>
    </row>
    <row r="114" ht="15.75" customHeight="1">
      <c r="A114" s="3" t="s">
        <v>213</v>
      </c>
      <c r="B114" s="4"/>
      <c r="C114" s="5"/>
      <c r="D114" s="5"/>
      <c r="E114" s="6"/>
      <c r="F114" s="6" t="b">
        <f t="shared" si="1"/>
        <v>0</v>
      </c>
    </row>
    <row r="115" ht="15.75" customHeight="1">
      <c r="A115" s="3" t="s">
        <v>214</v>
      </c>
      <c r="B115" s="4"/>
      <c r="C115" s="5"/>
      <c r="D115" s="5"/>
      <c r="E115" s="6"/>
      <c r="F115" s="6" t="b">
        <f t="shared" si="1"/>
        <v>0</v>
      </c>
    </row>
    <row r="116" ht="15.75" customHeight="1">
      <c r="A116" s="3" t="s">
        <v>215</v>
      </c>
      <c r="B116" s="4"/>
      <c r="C116" s="5"/>
      <c r="D116" s="5"/>
      <c r="E116" s="6"/>
      <c r="F116" s="6" t="b">
        <f t="shared" si="1"/>
        <v>0</v>
      </c>
    </row>
    <row r="117" ht="15.75" customHeight="1">
      <c r="A117" s="3" t="s">
        <v>216</v>
      </c>
      <c r="B117" s="4"/>
      <c r="C117" s="5"/>
      <c r="D117" s="5"/>
      <c r="E117" s="6"/>
      <c r="F117" s="6" t="b">
        <f t="shared" si="1"/>
        <v>0</v>
      </c>
    </row>
    <row r="118" ht="15.75" customHeight="1">
      <c r="A118" s="3" t="s">
        <v>217</v>
      </c>
      <c r="B118" s="4"/>
      <c r="C118" s="5"/>
      <c r="D118" s="5"/>
      <c r="E118" s="6"/>
      <c r="F118" s="6" t="b">
        <f t="shared" si="1"/>
        <v>0</v>
      </c>
    </row>
    <row r="119" ht="15.75" customHeight="1">
      <c r="A119" s="3" t="s">
        <v>218</v>
      </c>
      <c r="B119" s="4"/>
      <c r="C119" s="5"/>
      <c r="D119" s="5"/>
      <c r="E119" s="6"/>
      <c r="F119" s="6" t="b">
        <f t="shared" si="1"/>
        <v>0</v>
      </c>
    </row>
    <row r="120" ht="15.75" customHeight="1">
      <c r="A120" s="3" t="s">
        <v>219</v>
      </c>
      <c r="B120" s="4"/>
      <c r="C120" s="5"/>
      <c r="D120" s="5"/>
      <c r="E120" s="6"/>
      <c r="F120" s="6" t="b">
        <f t="shared" si="1"/>
        <v>0</v>
      </c>
    </row>
    <row r="121" ht="15.75" customHeight="1">
      <c r="A121" s="3" t="s">
        <v>220</v>
      </c>
      <c r="B121" s="4"/>
      <c r="C121" s="5"/>
      <c r="D121" s="5"/>
      <c r="E121" s="6"/>
      <c r="F121" s="6" t="b">
        <f t="shared" si="1"/>
        <v>0</v>
      </c>
    </row>
    <row r="122" ht="15.75" customHeight="1">
      <c r="A122" s="3" t="s">
        <v>221</v>
      </c>
      <c r="B122" s="4"/>
      <c r="C122" s="5"/>
      <c r="D122" s="5"/>
      <c r="E122" s="6"/>
      <c r="F122" s="6" t="b">
        <f t="shared" si="1"/>
        <v>0</v>
      </c>
    </row>
    <row r="123" ht="15.75" customHeight="1">
      <c r="A123" s="3" t="s">
        <v>222</v>
      </c>
      <c r="B123" s="4"/>
      <c r="C123" s="5"/>
      <c r="D123" s="5"/>
      <c r="E123" s="6"/>
      <c r="F123" s="6" t="b">
        <f t="shared" si="1"/>
        <v>0</v>
      </c>
    </row>
    <row r="124" ht="15.75" customHeight="1">
      <c r="A124" s="3" t="s">
        <v>223</v>
      </c>
      <c r="B124" s="4"/>
      <c r="C124" s="5"/>
      <c r="D124" s="5"/>
      <c r="E124" s="6"/>
      <c r="F124" s="6" t="b">
        <f t="shared" si="1"/>
        <v>0</v>
      </c>
    </row>
    <row r="125" ht="15.75" customHeight="1">
      <c r="A125" s="3" t="s">
        <v>224</v>
      </c>
      <c r="B125" s="4"/>
      <c r="C125" s="5"/>
      <c r="D125" s="5"/>
      <c r="E125" s="6"/>
      <c r="F125" s="6" t="b">
        <f t="shared" si="1"/>
        <v>0</v>
      </c>
    </row>
    <row r="126" ht="15.75" customHeight="1">
      <c r="A126" s="3" t="s">
        <v>225</v>
      </c>
      <c r="B126" s="4"/>
      <c r="C126" s="5"/>
      <c r="D126" s="5"/>
      <c r="E126" s="6"/>
      <c r="F126" s="6" t="b">
        <f t="shared" si="1"/>
        <v>0</v>
      </c>
    </row>
    <row r="127" ht="15.75" customHeight="1">
      <c r="A127" s="3" t="s">
        <v>226</v>
      </c>
      <c r="B127" s="4"/>
      <c r="C127" s="5"/>
      <c r="D127" s="5"/>
      <c r="E127" s="6"/>
      <c r="F127" s="6" t="b">
        <f t="shared" si="1"/>
        <v>0</v>
      </c>
    </row>
    <row r="128" ht="15.75" customHeight="1">
      <c r="A128" s="7" t="s">
        <v>227</v>
      </c>
      <c r="B128" s="4" t="s">
        <v>228</v>
      </c>
      <c r="C128" s="5" t="s">
        <v>229</v>
      </c>
      <c r="D128" s="6" t="s">
        <v>230</v>
      </c>
      <c r="E128" s="6"/>
      <c r="F128" s="6" t="b">
        <f t="shared" si="1"/>
        <v>0</v>
      </c>
    </row>
    <row r="129" ht="15.75" customHeight="1">
      <c r="A129" s="7" t="s">
        <v>231</v>
      </c>
      <c r="B129" s="4" t="s">
        <v>232</v>
      </c>
      <c r="C129" s="5" t="s">
        <v>16</v>
      </c>
      <c r="D129" s="6" t="s">
        <v>233</v>
      </c>
      <c r="E129" s="6"/>
      <c r="F129" s="6" t="b">
        <f t="shared" si="1"/>
        <v>0</v>
      </c>
    </row>
    <row r="130" ht="15.75" customHeight="1">
      <c r="A130" s="7" t="s">
        <v>234</v>
      </c>
      <c r="B130" s="4" t="s">
        <v>235</v>
      </c>
      <c r="C130" s="5" t="s">
        <v>16</v>
      </c>
      <c r="D130" s="6" t="s">
        <v>236</v>
      </c>
      <c r="E130" s="6"/>
      <c r="F130" s="6" t="b">
        <f t="shared" si="1"/>
        <v>0</v>
      </c>
    </row>
    <row r="131" ht="15.75" customHeight="1">
      <c r="A131" s="7" t="s">
        <v>237</v>
      </c>
      <c r="B131" s="4" t="s">
        <v>238</v>
      </c>
      <c r="C131" s="5" t="s">
        <v>16</v>
      </c>
      <c r="D131" s="6" t="s">
        <v>236</v>
      </c>
      <c r="E131" s="6"/>
      <c r="F131" s="6" t="b">
        <f t="shared" si="1"/>
        <v>0</v>
      </c>
    </row>
    <row r="132" ht="15.75" customHeight="1">
      <c r="A132" s="7" t="s">
        <v>239</v>
      </c>
      <c r="B132" s="4" t="s">
        <v>240</v>
      </c>
      <c r="C132" s="5" t="s">
        <v>6</v>
      </c>
      <c r="D132" s="6" t="s">
        <v>241</v>
      </c>
      <c r="E132" s="6"/>
      <c r="F132" s="6" t="b">
        <f t="shared" si="1"/>
        <v>0</v>
      </c>
    </row>
    <row r="133" ht="15.75" customHeight="1">
      <c r="A133" s="3" t="s">
        <v>242</v>
      </c>
      <c r="B133" s="4"/>
      <c r="C133" s="5"/>
      <c r="D133" s="5"/>
      <c r="E133" s="6"/>
      <c r="F133" s="6" t="b">
        <f t="shared" si="1"/>
        <v>0</v>
      </c>
    </row>
    <row r="134" ht="15.75" customHeight="1">
      <c r="A134" s="3" t="s">
        <v>243</v>
      </c>
      <c r="B134" s="4"/>
      <c r="C134" s="5"/>
      <c r="D134" s="5"/>
      <c r="E134" s="6"/>
      <c r="F134" s="6" t="b">
        <f t="shared" si="1"/>
        <v>0</v>
      </c>
    </row>
    <row r="135" ht="15.75" customHeight="1">
      <c r="A135" s="3" t="s">
        <v>244</v>
      </c>
      <c r="B135" s="4"/>
      <c r="C135" s="5"/>
      <c r="D135" s="5"/>
      <c r="E135" s="6"/>
      <c r="F135" s="6" t="b">
        <f t="shared" si="1"/>
        <v>0</v>
      </c>
    </row>
    <row r="136" ht="15.75" customHeight="1">
      <c r="A136" s="7" t="s">
        <v>245</v>
      </c>
      <c r="B136" s="4" t="s">
        <v>246</v>
      </c>
      <c r="C136" s="5" t="s">
        <v>16</v>
      </c>
      <c r="D136" s="6" t="s">
        <v>247</v>
      </c>
      <c r="E136" s="6"/>
      <c r="F136" s="6" t="b">
        <f t="shared" si="1"/>
        <v>0</v>
      </c>
    </row>
    <row r="137" ht="15.75" customHeight="1">
      <c r="A137" s="3" t="s">
        <v>248</v>
      </c>
      <c r="B137" s="4"/>
      <c r="C137" s="5"/>
      <c r="D137" s="5"/>
      <c r="E137" s="6"/>
      <c r="F137" s="6" t="b">
        <f t="shared" si="1"/>
        <v>0</v>
      </c>
    </row>
    <row r="138" ht="15.75" customHeight="1">
      <c r="A138" s="3" t="s">
        <v>249</v>
      </c>
      <c r="B138" s="4"/>
      <c r="C138" s="5"/>
      <c r="D138" s="5"/>
      <c r="E138" s="6"/>
      <c r="F138" s="6" t="b">
        <f t="shared" si="1"/>
        <v>0</v>
      </c>
    </row>
    <row r="139" ht="15.75" customHeight="1">
      <c r="A139" s="3" t="s">
        <v>250</v>
      </c>
      <c r="B139" s="4"/>
      <c r="C139" s="5"/>
      <c r="D139" s="5"/>
      <c r="E139" s="6"/>
      <c r="F139" s="6" t="b">
        <f t="shared" si="1"/>
        <v>0</v>
      </c>
    </row>
    <row r="140" ht="15.75" customHeight="1">
      <c r="A140" s="3" t="s">
        <v>251</v>
      </c>
      <c r="B140" s="4"/>
      <c r="C140" s="5"/>
      <c r="D140" s="5"/>
      <c r="E140" s="6"/>
      <c r="F140" s="6" t="b">
        <f t="shared" si="1"/>
        <v>0</v>
      </c>
    </row>
    <row r="141" ht="15.75" customHeight="1">
      <c r="A141" s="3" t="s">
        <v>252</v>
      </c>
      <c r="B141" s="4"/>
      <c r="C141" s="5"/>
      <c r="D141" s="5"/>
      <c r="E141" s="6"/>
      <c r="F141" s="6" t="b">
        <f t="shared" si="1"/>
        <v>0</v>
      </c>
    </row>
    <row r="142" ht="15.75" customHeight="1">
      <c r="A142" s="3" t="s">
        <v>253</v>
      </c>
      <c r="B142" s="4"/>
      <c r="C142" s="5"/>
      <c r="D142" s="5"/>
      <c r="E142" s="6"/>
      <c r="F142" s="6" t="b">
        <f t="shared" si="1"/>
        <v>0</v>
      </c>
    </row>
    <row r="143" ht="15.75" customHeight="1">
      <c r="A143" s="7" t="s">
        <v>254</v>
      </c>
      <c r="B143" s="4" t="s">
        <v>255</v>
      </c>
      <c r="C143" s="5" t="s">
        <v>6</v>
      </c>
      <c r="D143" s="6" t="s">
        <v>256</v>
      </c>
      <c r="E143" s="6"/>
      <c r="F143" s="6" t="b">
        <f t="shared" si="1"/>
        <v>0</v>
      </c>
    </row>
    <row r="144" ht="15.75" customHeight="1">
      <c r="A144" s="7" t="s">
        <v>257</v>
      </c>
      <c r="B144" s="4" t="s">
        <v>258</v>
      </c>
      <c r="C144" s="5" t="s">
        <v>6</v>
      </c>
      <c r="D144" s="6" t="s">
        <v>256</v>
      </c>
      <c r="E144" s="6"/>
      <c r="F144" s="6" t="b">
        <f t="shared" si="1"/>
        <v>0</v>
      </c>
    </row>
    <row r="145" ht="15.75" customHeight="1">
      <c r="A145" s="7" t="s">
        <v>259</v>
      </c>
      <c r="B145" s="4" t="s">
        <v>260</v>
      </c>
      <c r="C145" s="5" t="s">
        <v>6</v>
      </c>
      <c r="D145" s="6" t="s">
        <v>256</v>
      </c>
      <c r="E145" s="6"/>
      <c r="F145" s="6" t="b">
        <f t="shared" si="1"/>
        <v>0</v>
      </c>
    </row>
    <row r="146" ht="15.75" customHeight="1">
      <c r="A146" s="3" t="s">
        <v>261</v>
      </c>
      <c r="B146" s="4"/>
      <c r="C146" s="5"/>
      <c r="D146" s="5"/>
      <c r="E146" s="6"/>
      <c r="F146" s="6" t="b">
        <f t="shared" si="1"/>
        <v>0</v>
      </c>
    </row>
    <row r="147" ht="15.75" customHeight="1">
      <c r="A147" s="7" t="s">
        <v>262</v>
      </c>
      <c r="B147" s="9" t="s">
        <v>263</v>
      </c>
      <c r="C147" s="5" t="s">
        <v>6</v>
      </c>
      <c r="D147" s="6" t="s">
        <v>264</v>
      </c>
      <c r="E147" s="6"/>
      <c r="F147" s="6" t="b">
        <f t="shared" si="1"/>
        <v>0</v>
      </c>
    </row>
    <row r="148" ht="15.75" customHeight="1">
      <c r="A148" s="7" t="s">
        <v>265</v>
      </c>
      <c r="B148" s="9" t="s">
        <v>266</v>
      </c>
      <c r="C148" s="5" t="s">
        <v>6</v>
      </c>
      <c r="D148" s="6" t="s">
        <v>264</v>
      </c>
      <c r="E148" s="6"/>
      <c r="F148" s="6" t="b">
        <f t="shared" si="1"/>
        <v>0</v>
      </c>
    </row>
    <row r="149" ht="15.75" customHeight="1">
      <c r="A149" s="7" t="s">
        <v>267</v>
      </c>
      <c r="B149" s="9" t="s">
        <v>268</v>
      </c>
      <c r="C149" s="5" t="s">
        <v>6</v>
      </c>
      <c r="D149" s="6" t="s">
        <v>264</v>
      </c>
      <c r="E149" s="6"/>
      <c r="F149" s="6" t="b">
        <f t="shared" si="1"/>
        <v>0</v>
      </c>
    </row>
    <row r="150" ht="15.75" customHeight="1">
      <c r="A150" s="7" t="s">
        <v>269</v>
      </c>
      <c r="B150" s="9" t="s">
        <v>270</v>
      </c>
      <c r="C150" s="5" t="s">
        <v>6</v>
      </c>
      <c r="D150" s="6" t="s">
        <v>264</v>
      </c>
      <c r="E150" s="6"/>
      <c r="F150" s="6" t="b">
        <f t="shared" si="1"/>
        <v>0</v>
      </c>
    </row>
    <row r="151" ht="15.75" customHeight="1">
      <c r="A151" s="3" t="s">
        <v>271</v>
      </c>
      <c r="B151" s="4"/>
      <c r="C151" s="5"/>
      <c r="D151" s="5"/>
      <c r="E151" s="6"/>
      <c r="F151" s="6" t="b">
        <f t="shared" si="1"/>
        <v>0</v>
      </c>
    </row>
    <row r="152" ht="15.75" customHeight="1">
      <c r="A152" s="3" t="s">
        <v>272</v>
      </c>
      <c r="B152" s="4"/>
      <c r="C152" s="5"/>
      <c r="D152" s="5"/>
      <c r="E152" s="6"/>
      <c r="F152" s="6" t="b">
        <f t="shared" si="1"/>
        <v>0</v>
      </c>
    </row>
    <row r="153" ht="15.75" customHeight="1">
      <c r="A153" s="3" t="s">
        <v>273</v>
      </c>
      <c r="B153" s="4"/>
      <c r="C153" s="5"/>
      <c r="D153" s="5"/>
      <c r="E153" s="6"/>
      <c r="F153" s="6" t="b">
        <f t="shared" si="1"/>
        <v>0</v>
      </c>
    </row>
    <row r="154" ht="15.75" customHeight="1">
      <c r="A154" s="3" t="s">
        <v>274</v>
      </c>
      <c r="B154" s="4"/>
      <c r="C154" s="5"/>
      <c r="D154" s="5"/>
      <c r="E154" s="6"/>
      <c r="F154" s="6" t="b">
        <f t="shared" si="1"/>
        <v>0</v>
      </c>
    </row>
    <row r="155" ht="15.75" customHeight="1">
      <c r="A155" s="3" t="s">
        <v>275</v>
      </c>
      <c r="B155" s="4"/>
      <c r="C155" s="5"/>
      <c r="D155" s="5"/>
      <c r="E155" s="6"/>
      <c r="F155" s="6" t="b">
        <f t="shared" si="1"/>
        <v>0</v>
      </c>
    </row>
    <row r="156" ht="15.75" customHeight="1">
      <c r="A156" s="3" t="s">
        <v>276</v>
      </c>
      <c r="B156" s="4"/>
      <c r="C156" s="5"/>
      <c r="D156" s="5"/>
      <c r="E156" s="6"/>
      <c r="F156" s="6" t="b">
        <f t="shared" si="1"/>
        <v>0</v>
      </c>
    </row>
    <row r="157" ht="15.75" customHeight="1">
      <c r="A157" s="3" t="s">
        <v>277</v>
      </c>
      <c r="B157" s="4"/>
      <c r="C157" s="5"/>
      <c r="D157" s="5"/>
      <c r="E157" s="6"/>
      <c r="F157" s="6" t="b">
        <f t="shared" si="1"/>
        <v>0</v>
      </c>
    </row>
    <row r="158" ht="15.75" customHeight="1">
      <c r="A158" s="3" t="s">
        <v>278</v>
      </c>
      <c r="B158" s="4"/>
      <c r="C158" s="5"/>
      <c r="D158" s="5"/>
      <c r="E158" s="6"/>
      <c r="F158" s="6" t="b">
        <f t="shared" si="1"/>
        <v>0</v>
      </c>
    </row>
    <row r="159" ht="15.75" customHeight="1">
      <c r="A159" s="7" t="s">
        <v>279</v>
      </c>
      <c r="B159" s="4" t="s">
        <v>280</v>
      </c>
      <c r="C159" s="5" t="s">
        <v>6</v>
      </c>
      <c r="D159" s="6" t="s">
        <v>281</v>
      </c>
      <c r="E159" s="6"/>
      <c r="F159" s="6" t="b">
        <f t="shared" si="1"/>
        <v>0</v>
      </c>
    </row>
    <row r="160" ht="15.75" customHeight="1">
      <c r="A160" s="3" t="s">
        <v>282</v>
      </c>
      <c r="B160" s="4"/>
      <c r="C160" s="5"/>
      <c r="D160" s="5"/>
      <c r="E160" s="6"/>
      <c r="F160" s="6" t="b">
        <f t="shared" si="1"/>
        <v>0</v>
      </c>
    </row>
    <row r="161" ht="15.75" customHeight="1">
      <c r="A161" s="3" t="s">
        <v>283</v>
      </c>
      <c r="B161" s="4"/>
      <c r="C161" s="5"/>
      <c r="D161" s="5"/>
      <c r="E161" s="6"/>
      <c r="F161" s="6" t="b">
        <f t="shared" si="1"/>
        <v>0</v>
      </c>
    </row>
    <row r="162" ht="15.75" customHeight="1">
      <c r="A162" s="7" t="s">
        <v>284</v>
      </c>
      <c r="B162" s="4" t="s">
        <v>285</v>
      </c>
      <c r="C162" s="5" t="s">
        <v>6</v>
      </c>
      <c r="D162" s="6" t="s">
        <v>281</v>
      </c>
      <c r="E162" s="6"/>
      <c r="F162" s="6" t="b">
        <f t="shared" si="1"/>
        <v>0</v>
      </c>
    </row>
    <row r="163" ht="15.75" customHeight="1">
      <c r="A163" s="3" t="s">
        <v>286</v>
      </c>
      <c r="B163" s="4"/>
      <c r="C163" s="5"/>
      <c r="D163" s="5"/>
      <c r="E163" s="6"/>
      <c r="F163" s="6" t="b">
        <f t="shared" si="1"/>
        <v>0</v>
      </c>
    </row>
    <row r="164" ht="15.75" customHeight="1">
      <c r="A164" s="3" t="s">
        <v>287</v>
      </c>
      <c r="B164" s="4"/>
      <c r="C164" s="5"/>
      <c r="D164" s="5"/>
      <c r="E164" s="6"/>
      <c r="F164" s="6" t="b">
        <f t="shared" si="1"/>
        <v>0</v>
      </c>
    </row>
    <row r="165" ht="15.75" customHeight="1">
      <c r="A165" s="3" t="s">
        <v>288</v>
      </c>
      <c r="B165" s="4"/>
      <c r="C165" s="5"/>
      <c r="D165" s="5"/>
      <c r="E165" s="6"/>
      <c r="F165" s="6" t="b">
        <f t="shared" si="1"/>
        <v>0</v>
      </c>
    </row>
    <row r="166" ht="15.75" customHeight="1">
      <c r="A166" s="3" t="s">
        <v>289</v>
      </c>
      <c r="B166" s="4"/>
      <c r="C166" s="5"/>
      <c r="D166" s="5"/>
      <c r="E166" s="6"/>
      <c r="F166" s="6" t="b">
        <f t="shared" si="1"/>
        <v>0</v>
      </c>
    </row>
    <row r="167" ht="15.75" customHeight="1">
      <c r="A167" s="3" t="s">
        <v>290</v>
      </c>
      <c r="B167" s="4"/>
      <c r="C167" s="5"/>
      <c r="D167" s="5"/>
      <c r="E167" s="6"/>
      <c r="F167" s="6" t="b">
        <f t="shared" si="1"/>
        <v>0</v>
      </c>
    </row>
    <row r="168" ht="15.75" customHeight="1">
      <c r="A168" s="3" t="s">
        <v>291</v>
      </c>
      <c r="B168" s="4"/>
      <c r="C168" s="5"/>
      <c r="D168" s="5"/>
      <c r="E168" s="6"/>
      <c r="F168" s="6" t="b">
        <f t="shared" si="1"/>
        <v>0</v>
      </c>
    </row>
    <row r="169" ht="15.75" customHeight="1">
      <c r="A169" s="7" t="s">
        <v>292</v>
      </c>
      <c r="B169" s="4" t="s">
        <v>293</v>
      </c>
      <c r="C169" s="5" t="s">
        <v>6</v>
      </c>
      <c r="D169" s="6" t="s">
        <v>294</v>
      </c>
      <c r="E169" s="6"/>
      <c r="F169" s="6" t="b">
        <f t="shared" si="1"/>
        <v>0</v>
      </c>
    </row>
    <row r="170" ht="15.75" customHeight="1">
      <c r="A170" s="3" t="s">
        <v>295</v>
      </c>
      <c r="B170" s="4"/>
      <c r="C170" s="5"/>
      <c r="D170" s="5"/>
      <c r="E170" s="6"/>
      <c r="F170" s="6" t="b">
        <f t="shared" si="1"/>
        <v>0</v>
      </c>
    </row>
    <row r="171" ht="15.75" customHeight="1">
      <c r="A171" s="3" t="s">
        <v>296</v>
      </c>
      <c r="B171" s="4"/>
      <c r="C171" s="5"/>
      <c r="D171" s="5"/>
      <c r="E171" s="6"/>
      <c r="F171" s="6" t="b">
        <f t="shared" si="1"/>
        <v>0</v>
      </c>
    </row>
    <row r="172" ht="15.75" customHeight="1">
      <c r="A172" s="3" t="s">
        <v>297</v>
      </c>
      <c r="B172" s="4"/>
      <c r="C172" s="5"/>
      <c r="D172" s="5"/>
      <c r="E172" s="6"/>
      <c r="F172" s="6" t="b">
        <f t="shared" si="1"/>
        <v>0</v>
      </c>
    </row>
    <row r="173" ht="15.75" customHeight="1">
      <c r="A173" s="3" t="s">
        <v>298</v>
      </c>
      <c r="B173" s="4"/>
      <c r="C173" s="5"/>
      <c r="D173" s="5"/>
      <c r="E173" s="6"/>
      <c r="F173" s="6" t="b">
        <f t="shared" si="1"/>
        <v>0</v>
      </c>
    </row>
    <row r="174" ht="15.75" customHeight="1">
      <c r="A174" s="3" t="s">
        <v>299</v>
      </c>
      <c r="B174" s="4"/>
      <c r="C174" s="5"/>
      <c r="D174" s="5"/>
      <c r="E174" s="6"/>
      <c r="F174" s="6" t="b">
        <f t="shared" si="1"/>
        <v>0</v>
      </c>
    </row>
    <row r="175" ht="15.75" customHeight="1">
      <c r="A175" s="7" t="s">
        <v>300</v>
      </c>
      <c r="B175" s="4" t="s">
        <v>301</v>
      </c>
      <c r="C175" s="5" t="s">
        <v>6</v>
      </c>
      <c r="D175" s="6" t="s">
        <v>302</v>
      </c>
      <c r="E175" s="6"/>
      <c r="F175" s="6" t="b">
        <f t="shared" si="1"/>
        <v>0</v>
      </c>
    </row>
    <row r="176" ht="15.75" customHeight="1">
      <c r="A176" s="3" t="s">
        <v>303</v>
      </c>
      <c r="B176" s="4"/>
      <c r="C176" s="5"/>
      <c r="D176" s="5"/>
      <c r="E176" s="6"/>
      <c r="F176" s="6" t="b">
        <f t="shared" si="1"/>
        <v>0</v>
      </c>
    </row>
    <row r="177" ht="15.75" customHeight="1">
      <c r="A177" s="3" t="s">
        <v>304</v>
      </c>
      <c r="B177" s="4"/>
      <c r="C177" s="5"/>
      <c r="D177" s="5"/>
      <c r="E177" s="6"/>
      <c r="F177" s="6" t="b">
        <f t="shared" si="1"/>
        <v>0</v>
      </c>
    </row>
    <row r="178" ht="15.75" customHeight="1">
      <c r="A178" s="7" t="s">
        <v>305</v>
      </c>
      <c r="B178" s="4" t="s">
        <v>306</v>
      </c>
      <c r="C178" s="5" t="s">
        <v>6</v>
      </c>
      <c r="D178" s="6" t="s">
        <v>307</v>
      </c>
      <c r="E178" s="6"/>
      <c r="F178" s="6" t="b">
        <f t="shared" si="1"/>
        <v>0</v>
      </c>
    </row>
    <row r="179" ht="15.75" customHeight="1">
      <c r="A179" s="3" t="s">
        <v>308</v>
      </c>
      <c r="B179" s="4"/>
      <c r="C179" s="5"/>
      <c r="D179" s="5"/>
      <c r="E179" s="6"/>
      <c r="F179" s="6" t="b">
        <f t="shared" si="1"/>
        <v>0</v>
      </c>
    </row>
    <row r="180" ht="15.75" customHeight="1">
      <c r="A180" s="3" t="s">
        <v>309</v>
      </c>
      <c r="B180" s="4"/>
      <c r="C180" s="5"/>
      <c r="D180" s="5"/>
      <c r="E180" s="6"/>
      <c r="F180" s="6" t="b">
        <f t="shared" si="1"/>
        <v>0</v>
      </c>
    </row>
    <row r="181" ht="15.75" customHeight="1">
      <c r="A181" s="7" t="s">
        <v>310</v>
      </c>
      <c r="B181" s="9" t="s">
        <v>311</v>
      </c>
      <c r="C181" s="5" t="s">
        <v>6</v>
      </c>
      <c r="D181" s="6" t="s">
        <v>312</v>
      </c>
      <c r="E181" s="6"/>
      <c r="F181" s="6" t="b">
        <f t="shared" si="1"/>
        <v>0</v>
      </c>
    </row>
    <row r="182" ht="15.75" customHeight="1">
      <c r="A182" s="7" t="s">
        <v>313</v>
      </c>
      <c r="B182" s="4" t="s">
        <v>314</v>
      </c>
      <c r="C182" s="5" t="s">
        <v>6</v>
      </c>
      <c r="D182" s="6" t="s">
        <v>312</v>
      </c>
      <c r="E182" s="6"/>
      <c r="F182" s="6" t="b">
        <f t="shared" si="1"/>
        <v>0</v>
      </c>
    </row>
    <row r="183" ht="15.75" customHeight="1">
      <c r="A183" s="3" t="s">
        <v>315</v>
      </c>
      <c r="B183" s="4"/>
      <c r="C183" s="5"/>
      <c r="D183" s="5"/>
      <c r="E183" s="6"/>
      <c r="F183" s="6" t="b">
        <f t="shared" si="1"/>
        <v>0</v>
      </c>
    </row>
    <row r="184" ht="15.75" customHeight="1">
      <c r="A184" s="7" t="s">
        <v>316</v>
      </c>
      <c r="B184" s="9" t="s">
        <v>317</v>
      </c>
      <c r="C184" s="5" t="s">
        <v>6</v>
      </c>
      <c r="D184" s="6" t="s">
        <v>318</v>
      </c>
      <c r="E184" s="6"/>
      <c r="F184" s="6" t="b">
        <f t="shared" si="1"/>
        <v>0</v>
      </c>
    </row>
    <row r="185" ht="15.75" customHeight="1">
      <c r="A185" s="7" t="s">
        <v>319</v>
      </c>
      <c r="B185" s="4" t="s">
        <v>320</v>
      </c>
      <c r="C185" s="5" t="s">
        <v>6</v>
      </c>
      <c r="D185" s="6" t="s">
        <v>318</v>
      </c>
      <c r="E185" s="6"/>
      <c r="F185" s="6" t="b">
        <f t="shared" si="1"/>
        <v>0</v>
      </c>
    </row>
    <row r="186" ht="15.75" customHeight="1">
      <c r="A186" s="3" t="s">
        <v>321</v>
      </c>
      <c r="B186" s="4"/>
      <c r="C186" s="5"/>
      <c r="D186" s="5"/>
      <c r="E186" s="6"/>
      <c r="F186" s="6" t="b">
        <f t="shared" si="1"/>
        <v>0</v>
      </c>
    </row>
    <row r="187" ht="15.75" customHeight="1">
      <c r="A187" s="7" t="s">
        <v>322</v>
      </c>
      <c r="B187" s="4" t="s">
        <v>323</v>
      </c>
      <c r="C187" s="5" t="s">
        <v>6</v>
      </c>
      <c r="D187" s="6" t="s">
        <v>318</v>
      </c>
      <c r="E187" s="6"/>
      <c r="F187" s="6" t="b">
        <f t="shared" si="1"/>
        <v>0</v>
      </c>
    </row>
    <row r="188" ht="15.75" customHeight="1">
      <c r="A188" s="7" t="s">
        <v>324</v>
      </c>
      <c r="B188" s="4" t="s">
        <v>325</v>
      </c>
      <c r="C188" s="5" t="s">
        <v>6</v>
      </c>
      <c r="D188" s="6" t="s">
        <v>326</v>
      </c>
      <c r="E188" s="6"/>
      <c r="F188" s="6" t="b">
        <f t="shared" si="1"/>
        <v>0</v>
      </c>
    </row>
    <row r="189" ht="15.75" customHeight="1">
      <c r="A189" s="7" t="s">
        <v>327</v>
      </c>
      <c r="B189" s="4" t="s">
        <v>328</v>
      </c>
      <c r="C189" s="5" t="s">
        <v>6</v>
      </c>
      <c r="D189" s="6" t="s">
        <v>42</v>
      </c>
      <c r="E189" s="6"/>
      <c r="F189" s="6" t="b">
        <f t="shared" si="1"/>
        <v>0</v>
      </c>
    </row>
    <row r="190" ht="15.75" customHeight="1">
      <c r="A190" s="3" t="s">
        <v>329</v>
      </c>
      <c r="B190" s="4"/>
      <c r="C190" s="5"/>
      <c r="D190" s="5"/>
      <c r="E190" s="6"/>
      <c r="F190" s="6" t="b">
        <f t="shared" si="1"/>
        <v>0</v>
      </c>
    </row>
    <row r="191" ht="15.75" customHeight="1">
      <c r="A191" s="7" t="s">
        <v>330</v>
      </c>
      <c r="B191" s="4" t="s">
        <v>331</v>
      </c>
      <c r="C191" s="5" t="s">
        <v>6</v>
      </c>
      <c r="D191" s="6" t="s">
        <v>332</v>
      </c>
      <c r="E191" s="6"/>
      <c r="F191" s="6" t="b">
        <f t="shared" si="1"/>
        <v>0</v>
      </c>
    </row>
    <row r="192" ht="15.75" customHeight="1">
      <c r="A192" s="3" t="s">
        <v>333</v>
      </c>
      <c r="B192" s="4"/>
      <c r="C192" s="5"/>
      <c r="D192" s="5"/>
      <c r="E192" s="6"/>
      <c r="F192" s="6" t="b">
        <f t="shared" si="1"/>
        <v>0</v>
      </c>
    </row>
    <row r="193" ht="15.75" customHeight="1">
      <c r="A193" s="3" t="s">
        <v>334</v>
      </c>
      <c r="B193" s="4"/>
      <c r="C193" s="5"/>
      <c r="D193" s="5"/>
      <c r="E193" s="6"/>
      <c r="F193" s="6" t="b">
        <f t="shared" si="1"/>
        <v>0</v>
      </c>
    </row>
    <row r="194" ht="15.75" customHeight="1">
      <c r="A194" s="3" t="s">
        <v>335</v>
      </c>
      <c r="B194" s="4"/>
      <c r="C194" s="5"/>
      <c r="D194" s="5"/>
      <c r="E194" s="6"/>
      <c r="F194" s="6" t="b">
        <f t="shared" si="1"/>
        <v>0</v>
      </c>
    </row>
    <row r="195" ht="15.75" customHeight="1">
      <c r="A195" s="3" t="s">
        <v>336</v>
      </c>
      <c r="B195" s="4"/>
      <c r="C195" s="5"/>
      <c r="D195" s="5"/>
      <c r="E195" s="6"/>
      <c r="F195" s="6" t="b">
        <f t="shared" si="1"/>
        <v>0</v>
      </c>
    </row>
    <row r="196" ht="15.75" customHeight="1">
      <c r="A196" s="3" t="s">
        <v>337</v>
      </c>
      <c r="B196" s="4"/>
      <c r="C196" s="5"/>
      <c r="D196" s="5"/>
      <c r="E196" s="6"/>
      <c r="F196" s="6" t="b">
        <f t="shared" si="1"/>
        <v>0</v>
      </c>
    </row>
    <row r="197" ht="15.75" customHeight="1">
      <c r="A197" s="3" t="s">
        <v>338</v>
      </c>
      <c r="B197" s="4"/>
      <c r="C197" s="5"/>
      <c r="D197" s="5"/>
      <c r="E197" s="6"/>
      <c r="F197" s="6" t="b">
        <f t="shared" si="1"/>
        <v>0</v>
      </c>
    </row>
    <row r="198" ht="15.75" customHeight="1">
      <c r="A198" s="3" t="s">
        <v>339</v>
      </c>
      <c r="B198" s="4"/>
      <c r="C198" s="5"/>
      <c r="D198" s="5"/>
      <c r="E198" s="6"/>
      <c r="F198" s="6" t="b">
        <f t="shared" si="1"/>
        <v>0</v>
      </c>
    </row>
    <row r="199" ht="15.75" customHeight="1">
      <c r="A199" s="3" t="s">
        <v>340</v>
      </c>
      <c r="B199" s="4"/>
      <c r="C199" s="5"/>
      <c r="D199" s="5"/>
      <c r="E199" s="6"/>
      <c r="F199" s="6" t="b">
        <f t="shared" si="1"/>
        <v>0</v>
      </c>
    </row>
    <row r="200" ht="15.75" customHeight="1">
      <c r="A200" s="3" t="s">
        <v>341</v>
      </c>
      <c r="B200" s="4"/>
      <c r="C200" s="5"/>
      <c r="D200" s="5"/>
      <c r="E200" s="6"/>
      <c r="F200" s="6" t="b">
        <f t="shared" si="1"/>
        <v>0</v>
      </c>
    </row>
    <row r="201" ht="15.75" customHeight="1">
      <c r="A201" s="3" t="s">
        <v>342</v>
      </c>
      <c r="B201" s="4"/>
      <c r="C201" s="5"/>
      <c r="D201" s="5"/>
      <c r="E201" s="6"/>
      <c r="F201" s="6" t="b">
        <f t="shared" si="1"/>
        <v>0</v>
      </c>
    </row>
    <row r="202" ht="15.75" customHeight="1">
      <c r="A202" s="3" t="s">
        <v>343</v>
      </c>
      <c r="B202" s="4"/>
      <c r="C202" s="5"/>
      <c r="D202" s="5"/>
      <c r="E202" s="6"/>
      <c r="F202" s="6" t="b">
        <f t="shared" si="1"/>
        <v>0</v>
      </c>
    </row>
    <row r="203" ht="15.75" customHeight="1">
      <c r="A203" s="3" t="s">
        <v>344</v>
      </c>
      <c r="B203" s="4"/>
      <c r="C203" s="5"/>
      <c r="D203" s="5"/>
      <c r="E203" s="6"/>
      <c r="F203" s="6" t="b">
        <f t="shared" si="1"/>
        <v>0</v>
      </c>
    </row>
    <row r="204" ht="15.75" customHeight="1">
      <c r="A204" s="7" t="s">
        <v>345</v>
      </c>
      <c r="B204" s="4" t="s">
        <v>346</v>
      </c>
      <c r="C204" s="5" t="s">
        <v>6</v>
      </c>
      <c r="D204" s="6" t="s">
        <v>347</v>
      </c>
      <c r="E204" s="6"/>
      <c r="F204" s="6" t="b">
        <f t="shared" si="1"/>
        <v>0</v>
      </c>
    </row>
    <row r="205" ht="15.75" customHeight="1">
      <c r="A205" s="3" t="s">
        <v>348</v>
      </c>
      <c r="B205" s="4"/>
      <c r="C205" s="5"/>
      <c r="D205" s="5"/>
      <c r="E205" s="6"/>
      <c r="F205" s="6" t="b">
        <f t="shared" si="1"/>
        <v>0</v>
      </c>
    </row>
    <row r="206" ht="15.75" customHeight="1">
      <c r="A206" s="7" t="s">
        <v>349</v>
      </c>
      <c r="B206" s="4" t="s">
        <v>350</v>
      </c>
      <c r="C206" s="5" t="s">
        <v>6</v>
      </c>
      <c r="D206" s="6" t="s">
        <v>351</v>
      </c>
      <c r="E206" s="6"/>
      <c r="F206" s="6" t="b">
        <f t="shared" si="1"/>
        <v>0</v>
      </c>
    </row>
    <row r="207" ht="15.75" customHeight="1">
      <c r="A207" s="7" t="s">
        <v>352</v>
      </c>
      <c r="B207" s="4" t="s">
        <v>353</v>
      </c>
      <c r="C207" s="5" t="s">
        <v>6</v>
      </c>
      <c r="D207" s="6" t="s">
        <v>351</v>
      </c>
      <c r="E207" s="6"/>
      <c r="F207" s="6" t="b">
        <f t="shared" si="1"/>
        <v>0</v>
      </c>
    </row>
    <row r="208" ht="15.75" customHeight="1">
      <c r="A208" s="7" t="s">
        <v>354</v>
      </c>
      <c r="B208" s="4" t="s">
        <v>355</v>
      </c>
      <c r="C208" s="5" t="s">
        <v>6</v>
      </c>
      <c r="D208" s="6" t="s">
        <v>351</v>
      </c>
      <c r="E208" s="6"/>
      <c r="F208" s="6" t="b">
        <f t="shared" si="1"/>
        <v>0</v>
      </c>
    </row>
    <row r="209" ht="15.75" customHeight="1">
      <c r="A209" s="7" t="s">
        <v>356</v>
      </c>
      <c r="B209" s="4" t="s">
        <v>357</v>
      </c>
      <c r="C209" s="5" t="s">
        <v>6</v>
      </c>
      <c r="D209" s="6" t="s">
        <v>351</v>
      </c>
      <c r="E209" s="6"/>
      <c r="F209" s="6" t="b">
        <f t="shared" si="1"/>
        <v>0</v>
      </c>
    </row>
    <row r="210" ht="15.75" customHeight="1">
      <c r="A210" s="7" t="s">
        <v>358</v>
      </c>
      <c r="B210" s="4" t="s">
        <v>359</v>
      </c>
      <c r="C210" s="5" t="s">
        <v>6</v>
      </c>
      <c r="D210" s="6" t="s">
        <v>351</v>
      </c>
      <c r="E210" s="6"/>
      <c r="F210" s="6" t="b">
        <f t="shared" si="1"/>
        <v>0</v>
      </c>
    </row>
    <row r="211" ht="15.75" customHeight="1">
      <c r="A211" s="7" t="s">
        <v>360</v>
      </c>
      <c r="B211" s="4" t="s">
        <v>361</v>
      </c>
      <c r="C211" s="5" t="s">
        <v>6</v>
      </c>
      <c r="D211" s="6" t="s">
        <v>351</v>
      </c>
      <c r="E211" s="6"/>
      <c r="F211" s="6" t="b">
        <f t="shared" si="1"/>
        <v>0</v>
      </c>
    </row>
    <row r="212" ht="15.75" customHeight="1">
      <c r="A212" s="7" t="s">
        <v>362</v>
      </c>
      <c r="B212" s="4" t="s">
        <v>363</v>
      </c>
      <c r="C212" s="5" t="s">
        <v>6</v>
      </c>
      <c r="D212" s="6" t="s">
        <v>351</v>
      </c>
      <c r="E212" s="6"/>
      <c r="F212" s="6" t="b">
        <f t="shared" si="1"/>
        <v>0</v>
      </c>
    </row>
    <row r="213" ht="15.75" customHeight="1">
      <c r="A213" s="7" t="s">
        <v>364</v>
      </c>
      <c r="B213" s="4" t="s">
        <v>365</v>
      </c>
      <c r="C213" s="5" t="s">
        <v>6</v>
      </c>
      <c r="D213" s="6" t="s">
        <v>351</v>
      </c>
      <c r="E213" s="6"/>
      <c r="F213" s="6" t="b">
        <f t="shared" si="1"/>
        <v>0</v>
      </c>
    </row>
    <row r="214" ht="15.75" customHeight="1">
      <c r="A214" s="3" t="s">
        <v>366</v>
      </c>
      <c r="B214" s="4"/>
      <c r="C214" s="5"/>
      <c r="D214" s="5"/>
      <c r="E214" s="6"/>
      <c r="F214" s="6" t="b">
        <f t="shared" si="1"/>
        <v>0</v>
      </c>
    </row>
    <row r="215" ht="15.75" customHeight="1">
      <c r="A215" s="7" t="s">
        <v>367</v>
      </c>
      <c r="B215" s="4" t="s">
        <v>368</v>
      </c>
      <c r="C215" s="5" t="s">
        <v>16</v>
      </c>
      <c r="D215" s="6" t="s">
        <v>369</v>
      </c>
      <c r="E215" s="6"/>
      <c r="F215" s="6" t="b">
        <f t="shared" si="1"/>
        <v>0</v>
      </c>
    </row>
    <row r="216" ht="15.75" customHeight="1">
      <c r="A216" s="3" t="s">
        <v>370</v>
      </c>
      <c r="B216" s="4"/>
      <c r="C216" s="5"/>
      <c r="D216" s="5"/>
      <c r="E216" s="6"/>
      <c r="F216" s="6" t="b">
        <f t="shared" si="1"/>
        <v>0</v>
      </c>
    </row>
    <row r="217" ht="15.75" customHeight="1">
      <c r="A217" s="3" t="s">
        <v>371</v>
      </c>
      <c r="B217" s="4"/>
      <c r="C217" s="5"/>
      <c r="D217" s="5"/>
      <c r="E217" s="6"/>
      <c r="F217" s="6" t="b">
        <f t="shared" si="1"/>
        <v>0</v>
      </c>
    </row>
    <row r="218" ht="15.75" customHeight="1">
      <c r="A218" s="3" t="s">
        <v>372</v>
      </c>
      <c r="B218" s="4"/>
      <c r="C218" s="5"/>
      <c r="D218" s="5"/>
      <c r="E218" s="6"/>
      <c r="F218" s="6" t="b">
        <f t="shared" si="1"/>
        <v>0</v>
      </c>
    </row>
    <row r="219" ht="15.75" customHeight="1">
      <c r="A219" s="3" t="s">
        <v>373</v>
      </c>
      <c r="B219" s="4"/>
      <c r="C219" s="5"/>
      <c r="D219" s="5"/>
      <c r="E219" s="6"/>
      <c r="F219" s="6" t="b">
        <f t="shared" si="1"/>
        <v>0</v>
      </c>
    </row>
    <row r="220" ht="15.75" customHeight="1">
      <c r="A220" s="3" t="s">
        <v>374</v>
      </c>
      <c r="B220" s="4"/>
      <c r="C220" s="5"/>
      <c r="D220" s="5"/>
      <c r="E220" s="6"/>
      <c r="F220" s="6" t="b">
        <f t="shared" si="1"/>
        <v>0</v>
      </c>
    </row>
    <row r="221" ht="15.75" customHeight="1">
      <c r="A221" s="7" t="s">
        <v>375</v>
      </c>
      <c r="B221" s="4" t="s">
        <v>376</v>
      </c>
      <c r="C221" s="5" t="s">
        <v>6</v>
      </c>
      <c r="D221" s="6" t="s">
        <v>377</v>
      </c>
      <c r="E221" s="6"/>
      <c r="F221" s="6" t="b">
        <f t="shared" si="1"/>
        <v>0</v>
      </c>
    </row>
    <row r="222" ht="15.75" customHeight="1">
      <c r="A222" s="7" t="s">
        <v>378</v>
      </c>
      <c r="B222" s="4" t="s">
        <v>379</v>
      </c>
      <c r="C222" s="5" t="s">
        <v>6</v>
      </c>
      <c r="D222" s="6" t="s">
        <v>377</v>
      </c>
      <c r="E222" s="6"/>
      <c r="F222" s="6" t="b">
        <f t="shared" si="1"/>
        <v>0</v>
      </c>
    </row>
    <row r="223" ht="15.75" customHeight="1">
      <c r="A223" s="7" t="s">
        <v>380</v>
      </c>
      <c r="B223" s="4" t="s">
        <v>381</v>
      </c>
      <c r="C223" s="5" t="s">
        <v>6</v>
      </c>
      <c r="D223" s="6" t="s">
        <v>382</v>
      </c>
      <c r="E223" s="6"/>
      <c r="F223" s="6" t="b">
        <f t="shared" si="1"/>
        <v>0</v>
      </c>
    </row>
    <row r="224" ht="15.75" customHeight="1">
      <c r="A224" s="3" t="s">
        <v>383</v>
      </c>
      <c r="B224" s="4"/>
      <c r="C224" s="5"/>
      <c r="D224" s="5"/>
      <c r="E224" s="6"/>
      <c r="F224" s="6" t="b">
        <f t="shared" si="1"/>
        <v>0</v>
      </c>
    </row>
    <row r="225" ht="15.75" customHeight="1">
      <c r="A225" s="3" t="s">
        <v>384</v>
      </c>
      <c r="B225" s="4"/>
      <c r="C225" s="5"/>
      <c r="D225" s="5"/>
      <c r="E225" s="6"/>
      <c r="F225" s="6" t="b">
        <f t="shared" si="1"/>
        <v>0</v>
      </c>
    </row>
    <row r="226" ht="15.75" customHeight="1">
      <c r="A226" s="3" t="s">
        <v>385</v>
      </c>
      <c r="B226" s="4"/>
      <c r="C226" s="5"/>
      <c r="D226" s="5"/>
      <c r="E226" s="6"/>
      <c r="F226" s="6" t="b">
        <f t="shared" si="1"/>
        <v>0</v>
      </c>
    </row>
    <row r="227" ht="15.75" customHeight="1">
      <c r="A227" s="7" t="s">
        <v>386</v>
      </c>
      <c r="B227" s="4" t="s">
        <v>387</v>
      </c>
      <c r="C227" s="5" t="s">
        <v>6</v>
      </c>
      <c r="D227" s="6" t="s">
        <v>264</v>
      </c>
      <c r="E227" s="6"/>
      <c r="F227" s="6" t="b">
        <f t="shared" si="1"/>
        <v>0</v>
      </c>
    </row>
    <row r="228" ht="15.75" customHeight="1">
      <c r="A228" s="3" t="s">
        <v>388</v>
      </c>
      <c r="B228" s="4"/>
      <c r="C228" s="5"/>
      <c r="D228" s="5"/>
      <c r="E228" s="6"/>
      <c r="F228" s="6" t="b">
        <f t="shared" si="1"/>
        <v>0</v>
      </c>
    </row>
    <row r="229" ht="15.75" customHeight="1">
      <c r="A229" s="3" t="s">
        <v>389</v>
      </c>
      <c r="B229" s="4"/>
      <c r="C229" s="5"/>
      <c r="D229" s="5"/>
      <c r="E229" s="6"/>
      <c r="F229" s="6" t="b">
        <f t="shared" si="1"/>
        <v>0</v>
      </c>
    </row>
    <row r="230" ht="15.75" customHeight="1">
      <c r="A230" s="3" t="s">
        <v>390</v>
      </c>
      <c r="B230" s="4"/>
      <c r="C230" s="5"/>
      <c r="D230" s="5"/>
      <c r="E230" s="6"/>
      <c r="F230" s="6" t="b">
        <f t="shared" si="1"/>
        <v>0</v>
      </c>
    </row>
    <row r="231" ht="15.75" customHeight="1">
      <c r="A231" s="7" t="s">
        <v>391</v>
      </c>
      <c r="B231" s="9" t="s">
        <v>392</v>
      </c>
      <c r="C231" s="5" t="s">
        <v>6</v>
      </c>
      <c r="D231" s="6" t="s">
        <v>281</v>
      </c>
      <c r="E231" s="6"/>
      <c r="F231" s="6" t="b">
        <f t="shared" si="1"/>
        <v>0</v>
      </c>
    </row>
    <row r="232" ht="15.75" customHeight="1">
      <c r="A232" s="7" t="s">
        <v>393</v>
      </c>
      <c r="B232" s="4" t="s">
        <v>394</v>
      </c>
      <c r="C232" s="5" t="s">
        <v>6</v>
      </c>
      <c r="D232" s="6" t="s">
        <v>351</v>
      </c>
      <c r="E232" s="6"/>
      <c r="F232" s="6" t="b">
        <f t="shared" si="1"/>
        <v>0</v>
      </c>
    </row>
    <row r="233" ht="15.75" customHeight="1">
      <c r="A233" s="3" t="s">
        <v>395</v>
      </c>
      <c r="B233" s="4"/>
      <c r="C233" s="5"/>
      <c r="D233" s="5"/>
      <c r="E233" s="6"/>
      <c r="F233" s="6" t="b">
        <f t="shared" si="1"/>
        <v>0</v>
      </c>
    </row>
    <row r="234" ht="15.75" customHeight="1">
      <c r="A234" s="3" t="s">
        <v>396</v>
      </c>
      <c r="B234" s="4"/>
      <c r="C234" s="5"/>
      <c r="D234" s="5"/>
      <c r="E234" s="6"/>
      <c r="F234" s="6" t="b">
        <f t="shared" si="1"/>
        <v>0</v>
      </c>
    </row>
    <row r="235" ht="15.75" customHeight="1">
      <c r="A235" s="3" t="s">
        <v>397</v>
      </c>
      <c r="B235" s="4"/>
      <c r="C235" s="5"/>
      <c r="D235" s="5"/>
      <c r="E235" s="6"/>
      <c r="F235" s="6" t="b">
        <f t="shared" si="1"/>
        <v>0</v>
      </c>
    </row>
    <row r="236" ht="15.75" customHeight="1">
      <c r="A236" s="3" t="s">
        <v>398</v>
      </c>
      <c r="B236" s="4"/>
      <c r="C236" s="5"/>
      <c r="D236" s="5"/>
      <c r="E236" s="6"/>
      <c r="F236" s="6" t="b">
        <f t="shared" si="1"/>
        <v>0</v>
      </c>
    </row>
    <row r="237" ht="15.75" customHeight="1">
      <c r="A237" s="7" t="s">
        <v>399</v>
      </c>
      <c r="B237" s="4" t="s">
        <v>400</v>
      </c>
      <c r="C237" s="5" t="s">
        <v>6</v>
      </c>
      <c r="D237" s="6" t="s">
        <v>401</v>
      </c>
      <c r="E237" s="6"/>
      <c r="F237" s="6" t="b">
        <f t="shared" si="1"/>
        <v>0</v>
      </c>
    </row>
    <row r="238" ht="15.75" customHeight="1">
      <c r="A238" s="7" t="s">
        <v>402</v>
      </c>
      <c r="B238" s="4" t="s">
        <v>403</v>
      </c>
      <c r="C238" s="5" t="s">
        <v>6</v>
      </c>
      <c r="D238" s="6" t="s">
        <v>401</v>
      </c>
      <c r="E238" s="6"/>
      <c r="F238" s="6" t="b">
        <f t="shared" si="1"/>
        <v>0</v>
      </c>
    </row>
    <row r="239" ht="15.75" customHeight="1">
      <c r="A239" s="3" t="s">
        <v>404</v>
      </c>
      <c r="B239" s="4"/>
      <c r="C239" s="5"/>
      <c r="D239" s="5"/>
      <c r="E239" s="6"/>
      <c r="F239" s="6" t="b">
        <f t="shared" si="1"/>
        <v>0</v>
      </c>
    </row>
    <row r="240" ht="15.75" customHeight="1">
      <c r="A240" s="10" t="s">
        <v>405</v>
      </c>
      <c r="B240" s="11" t="s">
        <v>406</v>
      </c>
      <c r="C240" s="5"/>
      <c r="D240" s="8" t="s">
        <v>407</v>
      </c>
      <c r="E240" s="5" t="s">
        <v>408</v>
      </c>
      <c r="F240" s="6" t="b">
        <f t="shared" si="1"/>
        <v>0</v>
      </c>
    </row>
    <row r="241" ht="15.75" customHeight="1">
      <c r="A241" s="3" t="s">
        <v>409</v>
      </c>
      <c r="B241" s="4"/>
      <c r="C241" s="5"/>
      <c r="D241" s="5"/>
      <c r="E241" s="6"/>
      <c r="F241" s="6" t="b">
        <f t="shared" si="1"/>
        <v>0</v>
      </c>
    </row>
    <row r="242" ht="15.75" customHeight="1">
      <c r="A242" s="7" t="s">
        <v>410</v>
      </c>
      <c r="B242" s="4" t="s">
        <v>411</v>
      </c>
      <c r="C242" s="5" t="s">
        <v>6</v>
      </c>
      <c r="D242" s="6" t="s">
        <v>307</v>
      </c>
      <c r="E242" s="6"/>
      <c r="F242" s="6" t="b">
        <f t="shared" si="1"/>
        <v>0</v>
      </c>
    </row>
    <row r="243" ht="15.75" customHeight="1">
      <c r="A243" s="7" t="s">
        <v>412</v>
      </c>
      <c r="B243" s="4" t="s">
        <v>413</v>
      </c>
      <c r="C243" s="5" t="s">
        <v>6</v>
      </c>
      <c r="D243" s="6" t="s">
        <v>307</v>
      </c>
      <c r="E243" s="6"/>
      <c r="F243" s="6" t="b">
        <f t="shared" si="1"/>
        <v>0</v>
      </c>
    </row>
    <row r="244" ht="15.75" customHeight="1">
      <c r="A244" s="3" t="s">
        <v>414</v>
      </c>
      <c r="B244" s="4"/>
      <c r="C244" s="5"/>
      <c r="D244" s="5"/>
      <c r="E244" s="6"/>
      <c r="F244" s="6" t="b">
        <f t="shared" si="1"/>
        <v>0</v>
      </c>
    </row>
    <row r="245" ht="15.75" customHeight="1">
      <c r="A245" s="3" t="s">
        <v>415</v>
      </c>
      <c r="B245" s="4"/>
      <c r="C245" s="5"/>
      <c r="D245" s="5"/>
      <c r="E245" s="6"/>
      <c r="F245" s="6" t="b">
        <f t="shared" si="1"/>
        <v>0</v>
      </c>
    </row>
    <row r="246" ht="15.75" customHeight="1">
      <c r="A246" s="3" t="s">
        <v>416</v>
      </c>
      <c r="B246" s="4"/>
      <c r="C246" s="5"/>
      <c r="D246" s="5"/>
      <c r="E246" s="6"/>
      <c r="F246" s="6" t="b">
        <f t="shared" si="1"/>
        <v>0</v>
      </c>
    </row>
    <row r="247" ht="15.75" customHeight="1">
      <c r="A247" s="7" t="s">
        <v>417</v>
      </c>
      <c r="B247" s="4" t="s">
        <v>418</v>
      </c>
      <c r="C247" s="5" t="s">
        <v>6</v>
      </c>
      <c r="D247" s="6" t="s">
        <v>419</v>
      </c>
      <c r="E247" s="6"/>
      <c r="F247" s="6" t="b">
        <f t="shared" si="1"/>
        <v>0</v>
      </c>
    </row>
    <row r="248" ht="15.75" customHeight="1">
      <c r="A248" s="3" t="s">
        <v>420</v>
      </c>
      <c r="B248" s="4"/>
      <c r="C248" s="5"/>
      <c r="D248" s="5"/>
      <c r="E248" s="6"/>
      <c r="F248" s="6" t="b">
        <f t="shared" si="1"/>
        <v>0</v>
      </c>
    </row>
    <row r="249" ht="15.75" customHeight="1">
      <c r="A249" s="3" t="s">
        <v>421</v>
      </c>
      <c r="B249" s="4"/>
      <c r="C249" s="5"/>
      <c r="D249" s="5"/>
      <c r="E249" s="6"/>
      <c r="F249" s="6" t="b">
        <f t="shared" si="1"/>
        <v>0</v>
      </c>
    </row>
    <row r="250" ht="15.75" customHeight="1">
      <c r="A250" s="3" t="s">
        <v>422</v>
      </c>
      <c r="B250" s="4"/>
      <c r="C250" s="5"/>
      <c r="D250" s="5"/>
      <c r="E250" s="6"/>
      <c r="F250" s="6" t="b">
        <f t="shared" si="1"/>
        <v>0</v>
      </c>
    </row>
    <row r="251" ht="15.75" customHeight="1">
      <c r="A251" s="3" t="s">
        <v>423</v>
      </c>
      <c r="B251" s="4"/>
      <c r="C251" s="5"/>
      <c r="D251" s="5"/>
      <c r="E251" s="6"/>
      <c r="F251" s="6" t="b">
        <f t="shared" si="1"/>
        <v>0</v>
      </c>
    </row>
    <row r="252" ht="15.75" customHeight="1">
      <c r="A252" s="3" t="s">
        <v>424</v>
      </c>
      <c r="B252" s="4"/>
      <c r="C252" s="5"/>
      <c r="D252" s="5"/>
      <c r="E252" s="6"/>
      <c r="F252" s="6" t="b">
        <f t="shared" si="1"/>
        <v>0</v>
      </c>
    </row>
    <row r="253" ht="15.75" customHeight="1">
      <c r="A253" s="3" t="s">
        <v>425</v>
      </c>
      <c r="B253" s="4"/>
      <c r="C253" s="5"/>
      <c r="D253" s="5"/>
      <c r="E253" s="6"/>
      <c r="F253" s="6" t="b">
        <f t="shared" si="1"/>
        <v>0</v>
      </c>
    </row>
    <row r="254" ht="15.75" customHeight="1">
      <c r="A254" s="3" t="s">
        <v>426</v>
      </c>
      <c r="B254" s="4"/>
      <c r="C254" s="5"/>
      <c r="D254" s="5"/>
      <c r="E254" s="6"/>
      <c r="F254" s="6" t="b">
        <f t="shared" si="1"/>
        <v>0</v>
      </c>
    </row>
    <row r="255" ht="15.75" customHeight="1">
      <c r="A255" s="3" t="s">
        <v>427</v>
      </c>
      <c r="B255" s="4"/>
      <c r="C255" s="5"/>
      <c r="D255" s="5"/>
      <c r="E255" s="6"/>
      <c r="F255" s="6" t="b">
        <f t="shared" si="1"/>
        <v>0</v>
      </c>
    </row>
    <row r="256" ht="15.75" customHeight="1">
      <c r="A256" s="3" t="s">
        <v>428</v>
      </c>
      <c r="B256" s="4"/>
      <c r="C256" s="5"/>
      <c r="D256" s="5"/>
      <c r="E256" s="6"/>
      <c r="F256" s="6" t="b">
        <f t="shared" si="1"/>
        <v>0</v>
      </c>
    </row>
    <row r="257" ht="15.75" customHeight="1">
      <c r="A257" s="3" t="s">
        <v>429</v>
      </c>
      <c r="B257" s="4"/>
      <c r="C257" s="5"/>
      <c r="D257" s="5"/>
      <c r="E257" s="6"/>
      <c r="F257" s="6" t="b">
        <f t="shared" si="1"/>
        <v>0</v>
      </c>
    </row>
    <row r="258" ht="15.75" customHeight="1">
      <c r="A258" s="3" t="s">
        <v>430</v>
      </c>
      <c r="B258" s="4"/>
      <c r="C258" s="5"/>
      <c r="D258" s="5"/>
      <c r="E258" s="6"/>
      <c r="F258" s="6" t="b">
        <f t="shared" si="1"/>
        <v>0</v>
      </c>
    </row>
    <row r="259" ht="15.75" customHeight="1">
      <c r="A259" s="3" t="s">
        <v>431</v>
      </c>
      <c r="B259" s="4"/>
      <c r="C259" s="5"/>
      <c r="D259" s="5"/>
      <c r="E259" s="6"/>
      <c r="F259" s="6" t="b">
        <f t="shared" si="1"/>
        <v>0</v>
      </c>
    </row>
    <row r="260" ht="15.75" customHeight="1">
      <c r="A260" s="3" t="s">
        <v>432</v>
      </c>
      <c r="B260" s="4"/>
      <c r="C260" s="5"/>
      <c r="D260" s="5"/>
      <c r="E260" s="6"/>
      <c r="F260" s="6" t="b">
        <f t="shared" si="1"/>
        <v>0</v>
      </c>
    </row>
    <row r="261" ht="15.75" customHeight="1">
      <c r="A261" s="3" t="s">
        <v>433</v>
      </c>
      <c r="B261" s="4"/>
      <c r="C261" s="5"/>
      <c r="D261" s="5"/>
      <c r="E261" s="6"/>
      <c r="F261" s="6" t="b">
        <f t="shared" si="1"/>
        <v>0</v>
      </c>
    </row>
    <row r="262" ht="15.75" customHeight="1">
      <c r="A262" s="3" t="s">
        <v>434</v>
      </c>
      <c r="B262" s="4"/>
      <c r="C262" s="5"/>
      <c r="D262" s="5"/>
      <c r="E262" s="6"/>
      <c r="F262" s="6" t="b">
        <f t="shared" si="1"/>
        <v>0</v>
      </c>
    </row>
    <row r="263" ht="15.75" customHeight="1">
      <c r="A263" s="7" t="s">
        <v>435</v>
      </c>
      <c r="B263" s="4" t="s">
        <v>436</v>
      </c>
      <c r="C263" s="5" t="s">
        <v>16</v>
      </c>
      <c r="D263" s="6" t="s">
        <v>437</v>
      </c>
      <c r="E263" s="6"/>
      <c r="F263" s="6" t="b">
        <f t="shared" si="1"/>
        <v>0</v>
      </c>
    </row>
    <row r="264" ht="15.75" customHeight="1">
      <c r="A264" s="3" t="s">
        <v>438</v>
      </c>
      <c r="B264" s="4"/>
      <c r="C264" s="5"/>
      <c r="D264" s="5"/>
      <c r="E264" s="6"/>
      <c r="F264" s="6" t="b">
        <f t="shared" si="1"/>
        <v>0</v>
      </c>
    </row>
    <row r="265" ht="15.75" customHeight="1">
      <c r="A265" s="7" t="s">
        <v>439</v>
      </c>
      <c r="B265" s="4" t="s">
        <v>440</v>
      </c>
      <c r="C265" s="5" t="s">
        <v>16</v>
      </c>
      <c r="D265" s="6" t="s">
        <v>441</v>
      </c>
      <c r="E265" s="6"/>
      <c r="F265" s="6" t="b">
        <f t="shared" si="1"/>
        <v>0</v>
      </c>
    </row>
    <row r="266" ht="15.75" customHeight="1">
      <c r="A266" s="3" t="s">
        <v>442</v>
      </c>
      <c r="B266" s="4"/>
      <c r="C266" s="5"/>
      <c r="D266" s="5"/>
      <c r="E266" s="6"/>
      <c r="F266" s="6" t="b">
        <f t="shared" si="1"/>
        <v>0</v>
      </c>
    </row>
    <row r="267" ht="15.75" customHeight="1">
      <c r="A267" s="3" t="s">
        <v>443</v>
      </c>
      <c r="B267" s="4"/>
      <c r="C267" s="5"/>
      <c r="D267" s="5"/>
      <c r="E267" s="6"/>
      <c r="F267" s="6" t="b">
        <f t="shared" si="1"/>
        <v>0</v>
      </c>
    </row>
    <row r="268" ht="15.75" customHeight="1">
      <c r="A268" s="7" t="s">
        <v>444</v>
      </c>
      <c r="B268" s="4" t="s">
        <v>445</v>
      </c>
      <c r="C268" s="5" t="s">
        <v>16</v>
      </c>
      <c r="D268" s="6" t="s">
        <v>446</v>
      </c>
      <c r="E268" s="6"/>
      <c r="F268" s="6" t="b">
        <f t="shared" si="1"/>
        <v>0</v>
      </c>
    </row>
    <row r="269" ht="15.75" customHeight="1">
      <c r="A269" s="3" t="s">
        <v>447</v>
      </c>
      <c r="B269" s="4"/>
      <c r="C269" s="5"/>
      <c r="D269" s="5"/>
      <c r="E269" s="6"/>
      <c r="F269" s="6" t="b">
        <f t="shared" si="1"/>
        <v>0</v>
      </c>
    </row>
    <row r="270" ht="15.75" customHeight="1">
      <c r="A270" s="3" t="s">
        <v>448</v>
      </c>
      <c r="B270" s="4"/>
      <c r="C270" s="5"/>
      <c r="D270" s="5"/>
      <c r="E270" s="6"/>
      <c r="F270" s="6" t="b">
        <f t="shared" si="1"/>
        <v>0</v>
      </c>
    </row>
    <row r="271" ht="15.75" customHeight="1">
      <c r="A271" s="3" t="s">
        <v>449</v>
      </c>
      <c r="B271" s="4"/>
      <c r="C271" s="5"/>
      <c r="D271" s="5"/>
      <c r="E271" s="6"/>
      <c r="F271" s="6" t="b">
        <f t="shared" si="1"/>
        <v>0</v>
      </c>
    </row>
    <row r="272" ht="15.75" customHeight="1">
      <c r="A272" s="7" t="s">
        <v>450</v>
      </c>
      <c r="B272" s="4" t="s">
        <v>451</v>
      </c>
      <c r="C272" s="5" t="s">
        <v>16</v>
      </c>
      <c r="D272" s="6" t="s">
        <v>441</v>
      </c>
      <c r="E272" s="6"/>
      <c r="F272" s="6" t="b">
        <f t="shared" si="1"/>
        <v>0</v>
      </c>
    </row>
    <row r="273" ht="15.75" customHeight="1">
      <c r="A273" s="3" t="s">
        <v>452</v>
      </c>
      <c r="B273" s="4"/>
      <c r="C273" s="5"/>
      <c r="D273" s="5"/>
      <c r="E273" s="6"/>
      <c r="F273" s="6" t="b">
        <f t="shared" si="1"/>
        <v>0</v>
      </c>
    </row>
    <row r="274" ht="15.75" customHeight="1">
      <c r="A274" s="7" t="s">
        <v>453</v>
      </c>
      <c r="B274" s="4" t="s">
        <v>454</v>
      </c>
      <c r="C274" s="5" t="s">
        <v>6</v>
      </c>
      <c r="D274" s="6" t="s">
        <v>99</v>
      </c>
      <c r="E274" s="6"/>
      <c r="F274" s="6" t="b">
        <f t="shared" si="1"/>
        <v>0</v>
      </c>
    </row>
    <row r="275" ht="15.75" customHeight="1">
      <c r="A275" s="3" t="s">
        <v>455</v>
      </c>
      <c r="B275" s="4"/>
      <c r="C275" s="5"/>
      <c r="D275" s="5"/>
      <c r="E275" s="6"/>
      <c r="F275" s="6" t="b">
        <f t="shared" si="1"/>
        <v>0</v>
      </c>
    </row>
    <row r="276" ht="15.75" customHeight="1">
      <c r="A276" s="7" t="s">
        <v>456</v>
      </c>
      <c r="B276" s="4" t="s">
        <v>457</v>
      </c>
      <c r="C276" s="5" t="s">
        <v>6</v>
      </c>
      <c r="D276" s="6" t="s">
        <v>419</v>
      </c>
      <c r="E276" s="6"/>
      <c r="F276" s="6" t="b">
        <f t="shared" si="1"/>
        <v>0</v>
      </c>
    </row>
    <row r="277" ht="15.75" customHeight="1">
      <c r="A277" s="3" t="s">
        <v>458</v>
      </c>
      <c r="B277" s="4"/>
      <c r="C277" s="5"/>
      <c r="D277" s="5"/>
      <c r="E277" s="6"/>
      <c r="F277" s="6" t="b">
        <f t="shared" si="1"/>
        <v>0</v>
      </c>
    </row>
    <row r="278" ht="15.75" customHeight="1">
      <c r="A278" s="3" t="s">
        <v>459</v>
      </c>
      <c r="B278" s="4"/>
      <c r="C278" s="5"/>
      <c r="D278" s="5"/>
      <c r="E278" s="6"/>
      <c r="F278" s="6" t="b">
        <f t="shared" si="1"/>
        <v>0</v>
      </c>
    </row>
    <row r="279" ht="15.75" customHeight="1">
      <c r="A279" s="3" t="s">
        <v>460</v>
      </c>
      <c r="B279" s="4"/>
      <c r="C279" s="5"/>
      <c r="D279" s="5"/>
      <c r="E279" s="6"/>
      <c r="F279" s="6" t="b">
        <f t="shared" si="1"/>
        <v>0</v>
      </c>
    </row>
    <row r="280" ht="15.75" customHeight="1">
      <c r="A280" s="3" t="s">
        <v>461</v>
      </c>
      <c r="B280" s="4"/>
      <c r="C280" s="5"/>
      <c r="D280" s="5"/>
      <c r="E280" s="6"/>
      <c r="F280" s="6" t="b">
        <f t="shared" si="1"/>
        <v>0</v>
      </c>
    </row>
    <row r="281" ht="15.75" customHeight="1">
      <c r="A281" s="3" t="s">
        <v>462</v>
      </c>
      <c r="B281" s="4"/>
      <c r="C281" s="5"/>
      <c r="D281" s="5"/>
      <c r="E281" s="6"/>
      <c r="F281" s="6" t="b">
        <f t="shared" si="1"/>
        <v>0</v>
      </c>
    </row>
    <row r="282" ht="15.75" customHeight="1">
      <c r="A282" s="7" t="s">
        <v>463</v>
      </c>
      <c r="B282" s="4" t="s">
        <v>464</v>
      </c>
      <c r="C282" s="5" t="s">
        <v>16</v>
      </c>
      <c r="D282" s="6" t="s">
        <v>465</v>
      </c>
      <c r="E282" s="6"/>
      <c r="F282" s="6" t="b">
        <f t="shared" si="1"/>
        <v>0</v>
      </c>
    </row>
    <row r="283" ht="15.75" customHeight="1">
      <c r="A283" s="3" t="s">
        <v>466</v>
      </c>
      <c r="B283" s="4"/>
      <c r="C283" s="5"/>
      <c r="D283" s="5"/>
      <c r="E283" s="6"/>
      <c r="F283" s="6" t="b">
        <f t="shared" si="1"/>
        <v>0</v>
      </c>
    </row>
    <row r="284" ht="15.75" customHeight="1">
      <c r="A284" s="3" t="s">
        <v>467</v>
      </c>
      <c r="B284" s="4"/>
      <c r="C284" s="5"/>
      <c r="D284" s="5"/>
      <c r="E284" s="6"/>
      <c r="F284" s="6" t="b">
        <f t="shared" si="1"/>
        <v>0</v>
      </c>
    </row>
    <row r="285" ht="15.75" customHeight="1">
      <c r="A285" s="7" t="s">
        <v>468</v>
      </c>
      <c r="B285" s="4" t="s">
        <v>469</v>
      </c>
      <c r="C285" s="5" t="s">
        <v>6</v>
      </c>
      <c r="D285" s="6" t="s">
        <v>99</v>
      </c>
      <c r="E285" s="6"/>
      <c r="F285" s="6" t="b">
        <f t="shared" si="1"/>
        <v>0</v>
      </c>
    </row>
    <row r="286" ht="15.75" customHeight="1">
      <c r="A286" s="3" t="s">
        <v>470</v>
      </c>
      <c r="B286" s="4"/>
      <c r="C286" s="5"/>
      <c r="D286" s="5"/>
      <c r="E286" s="6"/>
      <c r="F286" s="6" t="b">
        <f t="shared" si="1"/>
        <v>0</v>
      </c>
    </row>
    <row r="287" ht="15.75" customHeight="1">
      <c r="A287" s="3" t="s">
        <v>471</v>
      </c>
      <c r="B287" s="4"/>
      <c r="C287" s="5"/>
      <c r="D287" s="5"/>
      <c r="E287" s="6"/>
      <c r="F287" s="6" t="b">
        <f t="shared" si="1"/>
        <v>0</v>
      </c>
    </row>
    <row r="288" ht="15.75" customHeight="1">
      <c r="A288" s="3" t="s">
        <v>472</v>
      </c>
      <c r="B288" s="4"/>
      <c r="C288" s="5"/>
      <c r="D288" s="5"/>
      <c r="E288" s="6"/>
      <c r="F288" s="6" t="b">
        <f t="shared" si="1"/>
        <v>0</v>
      </c>
    </row>
    <row r="289" ht="15.75" customHeight="1">
      <c r="A289" s="3" t="s">
        <v>473</v>
      </c>
      <c r="B289" s="4"/>
      <c r="C289" s="5"/>
      <c r="D289" s="5"/>
      <c r="E289" s="6"/>
      <c r="F289" s="6" t="b">
        <f t="shared" si="1"/>
        <v>0</v>
      </c>
    </row>
    <row r="290" ht="15.75" customHeight="1">
      <c r="A290" s="3" t="s">
        <v>474</v>
      </c>
      <c r="B290" s="4"/>
      <c r="C290" s="5"/>
      <c r="D290" s="5"/>
      <c r="E290" s="6"/>
      <c r="F290" s="6" t="b">
        <f t="shared" si="1"/>
        <v>0</v>
      </c>
    </row>
    <row r="291" ht="15.75" customHeight="1">
      <c r="A291" s="7" t="s">
        <v>475</v>
      </c>
      <c r="B291" s="4" t="s">
        <v>476</v>
      </c>
      <c r="C291" s="5" t="s">
        <v>6</v>
      </c>
      <c r="D291" s="6" t="s">
        <v>477</v>
      </c>
      <c r="E291" s="6"/>
      <c r="F291" s="6" t="b">
        <f t="shared" si="1"/>
        <v>0</v>
      </c>
    </row>
    <row r="292" ht="15.75" customHeight="1">
      <c r="A292" s="7" t="s">
        <v>478</v>
      </c>
      <c r="B292" s="4" t="s">
        <v>479</v>
      </c>
      <c r="C292" s="5" t="s">
        <v>6</v>
      </c>
      <c r="D292" s="6" t="s">
        <v>477</v>
      </c>
      <c r="E292" s="6"/>
      <c r="F292" s="6" t="b">
        <f t="shared" si="1"/>
        <v>0</v>
      </c>
    </row>
    <row r="293" ht="15.75" customHeight="1">
      <c r="A293" s="7" t="s">
        <v>480</v>
      </c>
      <c r="B293" s="4" t="s">
        <v>481</v>
      </c>
      <c r="C293" s="5" t="s">
        <v>6</v>
      </c>
      <c r="D293" s="6" t="s">
        <v>81</v>
      </c>
      <c r="E293" s="6"/>
      <c r="F293" s="6" t="b">
        <f t="shared" si="1"/>
        <v>0</v>
      </c>
    </row>
    <row r="294" ht="15.75" customHeight="1">
      <c r="A294" s="7" t="s">
        <v>482</v>
      </c>
      <c r="B294" s="4" t="s">
        <v>483</v>
      </c>
      <c r="C294" s="5" t="s">
        <v>6</v>
      </c>
      <c r="D294" s="6" t="s">
        <v>86</v>
      </c>
      <c r="E294" s="6"/>
      <c r="F294" s="6" t="b">
        <f t="shared" si="1"/>
        <v>0</v>
      </c>
    </row>
    <row r="295" ht="15.75" customHeight="1">
      <c r="A295" s="7" t="s">
        <v>484</v>
      </c>
      <c r="B295" s="4" t="s">
        <v>485</v>
      </c>
      <c r="C295" s="6"/>
      <c r="D295" s="6" t="s">
        <v>70</v>
      </c>
      <c r="E295" s="6"/>
      <c r="F295" s="6" t="b">
        <f t="shared" si="1"/>
        <v>0</v>
      </c>
    </row>
    <row r="296" ht="15.75" customHeight="1">
      <c r="A296" s="7" t="s">
        <v>486</v>
      </c>
      <c r="B296" s="4" t="s">
        <v>487</v>
      </c>
      <c r="C296" s="6"/>
      <c r="D296" s="6" t="s">
        <v>70</v>
      </c>
      <c r="E296" s="6"/>
      <c r="F296" s="6" t="b">
        <f t="shared" si="1"/>
        <v>0</v>
      </c>
    </row>
    <row r="297" ht="15.75" customHeight="1">
      <c r="A297" s="7" t="s">
        <v>488</v>
      </c>
      <c r="B297" s="4" t="s">
        <v>489</v>
      </c>
      <c r="C297" s="6"/>
      <c r="D297" s="6" t="s">
        <v>70</v>
      </c>
      <c r="E297" s="6"/>
      <c r="F297" s="6" t="b">
        <f t="shared" si="1"/>
        <v>0</v>
      </c>
    </row>
    <row r="298" ht="15.75" customHeight="1">
      <c r="A298" s="3" t="s">
        <v>490</v>
      </c>
      <c r="B298" s="4"/>
      <c r="C298" s="5"/>
      <c r="D298" s="5"/>
      <c r="E298" s="6"/>
      <c r="F298" s="6" t="b">
        <f t="shared" si="1"/>
        <v>0</v>
      </c>
    </row>
    <row r="299" ht="15.75" customHeight="1">
      <c r="A299" s="3" t="s">
        <v>491</v>
      </c>
      <c r="B299" s="4"/>
      <c r="C299" s="5"/>
      <c r="D299" s="5"/>
      <c r="E299" s="6"/>
      <c r="F299" s="6" t="b">
        <f t="shared" si="1"/>
        <v>0</v>
      </c>
    </row>
    <row r="300" ht="15.75" customHeight="1">
      <c r="A300" s="3" t="s">
        <v>492</v>
      </c>
      <c r="B300" s="4"/>
      <c r="C300" s="5"/>
      <c r="D300" s="5"/>
      <c r="E300" s="6"/>
      <c r="F300" s="6" t="b">
        <f t="shared" si="1"/>
        <v>0</v>
      </c>
    </row>
    <row r="301" ht="15.75" customHeight="1">
      <c r="A301" s="3" t="s">
        <v>493</v>
      </c>
      <c r="B301" s="4"/>
      <c r="C301" s="5"/>
      <c r="D301" s="5"/>
      <c r="E301" s="6"/>
      <c r="F301" s="6" t="b">
        <f t="shared" si="1"/>
        <v>0</v>
      </c>
    </row>
    <row r="302" ht="15.75" customHeight="1">
      <c r="A302" s="3" t="s">
        <v>494</v>
      </c>
      <c r="B302" s="4"/>
      <c r="C302" s="5"/>
      <c r="D302" s="5"/>
      <c r="E302" s="6"/>
      <c r="F302" s="6" t="b">
        <f t="shared" si="1"/>
        <v>0</v>
      </c>
    </row>
    <row r="303" ht="15.75" customHeight="1">
      <c r="A303" s="7" t="s">
        <v>495</v>
      </c>
      <c r="B303" s="4" t="s">
        <v>496</v>
      </c>
      <c r="C303" s="5" t="s">
        <v>6</v>
      </c>
      <c r="D303" s="6" t="s">
        <v>497</v>
      </c>
      <c r="E303" s="6"/>
      <c r="F303" s="6" t="b">
        <f t="shared" si="1"/>
        <v>0</v>
      </c>
    </row>
    <row r="304" ht="15.75" customHeight="1">
      <c r="A304" s="3" t="s">
        <v>498</v>
      </c>
      <c r="B304" s="4"/>
      <c r="C304" s="5"/>
      <c r="D304" s="5"/>
      <c r="E304" s="6"/>
      <c r="F304" s="6" t="b">
        <f t="shared" si="1"/>
        <v>0</v>
      </c>
    </row>
    <row r="305" ht="15.75" customHeight="1">
      <c r="A305" s="7" t="s">
        <v>499</v>
      </c>
      <c r="B305" s="4" t="s">
        <v>500</v>
      </c>
      <c r="C305" s="5" t="s">
        <v>6</v>
      </c>
      <c r="D305" s="6" t="s">
        <v>501</v>
      </c>
      <c r="E305" s="6"/>
      <c r="F305" s="6" t="b">
        <f t="shared" si="1"/>
        <v>0</v>
      </c>
    </row>
    <row r="306" ht="15.75" customHeight="1">
      <c r="A306" s="3" t="s">
        <v>502</v>
      </c>
      <c r="B306" s="4"/>
      <c r="C306" s="5"/>
      <c r="D306" s="5"/>
      <c r="E306" s="6"/>
      <c r="F306" s="6" t="b">
        <f t="shared" si="1"/>
        <v>0</v>
      </c>
    </row>
    <row r="307" ht="15.75" customHeight="1">
      <c r="A307" s="3" t="s">
        <v>503</v>
      </c>
      <c r="B307" s="4"/>
      <c r="C307" s="5"/>
      <c r="D307" s="5"/>
      <c r="E307" s="6"/>
      <c r="F307" s="6" t="b">
        <f t="shared" si="1"/>
        <v>0</v>
      </c>
    </row>
    <row r="308" ht="15.75" customHeight="1">
      <c r="A308" s="7" t="s">
        <v>504</v>
      </c>
      <c r="B308" s="4" t="s">
        <v>505</v>
      </c>
      <c r="C308" s="5" t="s">
        <v>6</v>
      </c>
      <c r="D308" s="6" t="s">
        <v>501</v>
      </c>
      <c r="E308" s="6"/>
      <c r="F308" s="6" t="b">
        <f t="shared" si="1"/>
        <v>0</v>
      </c>
    </row>
    <row r="309" ht="15.75" customHeight="1">
      <c r="A309" s="3" t="s">
        <v>506</v>
      </c>
      <c r="B309" s="4"/>
      <c r="C309" s="5"/>
      <c r="D309" s="5"/>
      <c r="E309" s="6"/>
      <c r="F309" s="6" t="b">
        <f t="shared" si="1"/>
        <v>0</v>
      </c>
    </row>
    <row r="310" ht="15.75" customHeight="1">
      <c r="A310" s="3" t="s">
        <v>507</v>
      </c>
      <c r="B310" s="4"/>
      <c r="C310" s="5"/>
      <c r="D310" s="5"/>
      <c r="E310" s="6"/>
      <c r="F310" s="6" t="b">
        <f t="shared" si="1"/>
        <v>0</v>
      </c>
    </row>
    <row r="311" ht="15.75" customHeight="1">
      <c r="A311" s="3" t="s">
        <v>508</v>
      </c>
      <c r="B311" s="4"/>
      <c r="C311" s="5"/>
      <c r="D311" s="5"/>
      <c r="E311" s="6"/>
      <c r="F311" s="6" t="b">
        <f t="shared" si="1"/>
        <v>0</v>
      </c>
    </row>
    <row r="312" ht="15.75" customHeight="1">
      <c r="A312" s="7" t="s">
        <v>509</v>
      </c>
      <c r="B312" s="4" t="s">
        <v>510</v>
      </c>
      <c r="C312" s="5" t="s">
        <v>6</v>
      </c>
      <c r="D312" s="6" t="s">
        <v>511</v>
      </c>
      <c r="E312" s="6"/>
      <c r="F312" s="6" t="b">
        <f t="shared" si="1"/>
        <v>0</v>
      </c>
    </row>
    <row r="313" ht="15.75" customHeight="1">
      <c r="A313" s="3" t="s">
        <v>512</v>
      </c>
      <c r="B313" s="4"/>
      <c r="C313" s="5"/>
      <c r="D313" s="5"/>
      <c r="E313" s="6"/>
      <c r="F313" s="6" t="b">
        <f t="shared" si="1"/>
        <v>0</v>
      </c>
    </row>
    <row r="314" ht="15.75" customHeight="1">
      <c r="A314" s="3" t="s">
        <v>513</v>
      </c>
      <c r="B314" s="4"/>
      <c r="C314" s="5"/>
      <c r="D314" s="5"/>
      <c r="E314" s="6"/>
      <c r="F314" s="6" t="b">
        <f t="shared" si="1"/>
        <v>0</v>
      </c>
    </row>
    <row r="315" ht="15.75" customHeight="1">
      <c r="A315" s="3" t="s">
        <v>514</v>
      </c>
      <c r="B315" s="4"/>
      <c r="C315" s="5"/>
      <c r="D315" s="5"/>
      <c r="E315" s="6"/>
      <c r="F315" s="6" t="b">
        <f t="shared" si="1"/>
        <v>0</v>
      </c>
    </row>
    <row r="316" ht="15.75" customHeight="1">
      <c r="A316" s="7" t="s">
        <v>515</v>
      </c>
      <c r="B316" s="4" t="s">
        <v>516</v>
      </c>
      <c r="C316" s="5" t="s">
        <v>6</v>
      </c>
      <c r="D316" s="6" t="s">
        <v>517</v>
      </c>
      <c r="E316" s="6"/>
      <c r="F316" s="6" t="b">
        <f t="shared" si="1"/>
        <v>0</v>
      </c>
    </row>
    <row r="317" ht="15.75" customHeight="1">
      <c r="A317" s="7" t="s">
        <v>518</v>
      </c>
      <c r="B317" s="4" t="s">
        <v>519</v>
      </c>
      <c r="C317" s="5" t="s">
        <v>6</v>
      </c>
      <c r="D317" s="6" t="s">
        <v>517</v>
      </c>
      <c r="E317" s="6"/>
      <c r="F317" s="6" t="b">
        <f t="shared" si="1"/>
        <v>0</v>
      </c>
    </row>
    <row r="318" ht="15.75" customHeight="1">
      <c r="A318" s="7" t="s">
        <v>520</v>
      </c>
      <c r="B318" s="4" t="s">
        <v>521</v>
      </c>
      <c r="C318" s="5" t="s">
        <v>6</v>
      </c>
      <c r="D318" s="6" t="s">
        <v>517</v>
      </c>
      <c r="E318" s="6"/>
      <c r="F318" s="6" t="b">
        <f t="shared" si="1"/>
        <v>0</v>
      </c>
    </row>
    <row r="319" ht="15.75" customHeight="1">
      <c r="A319" s="7" t="s">
        <v>522</v>
      </c>
      <c r="B319" s="4" t="s">
        <v>523</v>
      </c>
      <c r="C319" s="5" t="s">
        <v>6</v>
      </c>
      <c r="D319" s="6" t="s">
        <v>517</v>
      </c>
      <c r="E319" s="6"/>
      <c r="F319" s="6" t="b">
        <f t="shared" si="1"/>
        <v>0</v>
      </c>
    </row>
    <row r="320" ht="15.75" customHeight="1">
      <c r="A320" s="7" t="s">
        <v>524</v>
      </c>
      <c r="B320" s="4" t="s">
        <v>525</v>
      </c>
      <c r="C320" s="5" t="s">
        <v>6</v>
      </c>
      <c r="D320" s="6" t="s">
        <v>517</v>
      </c>
      <c r="E320" s="6"/>
      <c r="F320" s="6" t="b">
        <f t="shared" si="1"/>
        <v>0</v>
      </c>
    </row>
    <row r="321" ht="15.75" customHeight="1">
      <c r="A321" s="7" t="s">
        <v>526</v>
      </c>
      <c r="B321" s="4" t="s">
        <v>527</v>
      </c>
      <c r="C321" s="5" t="s">
        <v>6</v>
      </c>
      <c r="D321" s="6" t="s">
        <v>517</v>
      </c>
      <c r="E321" s="6"/>
      <c r="F321" s="6" t="b">
        <f t="shared" si="1"/>
        <v>0</v>
      </c>
    </row>
    <row r="322" ht="15.75" customHeight="1">
      <c r="A322" s="7" t="s">
        <v>528</v>
      </c>
      <c r="B322" s="4" t="s">
        <v>529</v>
      </c>
      <c r="C322" s="8"/>
      <c r="D322" s="6" t="s">
        <v>150</v>
      </c>
      <c r="E322" s="6"/>
      <c r="F322" s="6" t="b">
        <f t="shared" si="1"/>
        <v>0</v>
      </c>
    </row>
    <row r="323" ht="15.75" customHeight="1">
      <c r="A323" s="3" t="s">
        <v>530</v>
      </c>
      <c r="B323" s="4"/>
      <c r="C323" s="5"/>
      <c r="D323" s="5"/>
      <c r="E323" s="6"/>
      <c r="F323" s="6" t="b">
        <f t="shared" si="1"/>
        <v>0</v>
      </c>
    </row>
    <row r="324" ht="15.75" customHeight="1">
      <c r="A324" s="3" t="s">
        <v>531</v>
      </c>
      <c r="B324" s="4"/>
      <c r="C324" s="5"/>
      <c r="D324" s="5"/>
      <c r="E324" s="6"/>
      <c r="F324" s="6" t="b">
        <f t="shared" si="1"/>
        <v>0</v>
      </c>
    </row>
    <row r="325" ht="15.75" customHeight="1">
      <c r="A325" s="3" t="s">
        <v>532</v>
      </c>
      <c r="B325" s="4"/>
      <c r="C325" s="5"/>
      <c r="D325" s="5"/>
      <c r="E325" s="6"/>
      <c r="F325" s="6" t="b">
        <f t="shared" si="1"/>
        <v>0</v>
      </c>
    </row>
    <row r="326" ht="15.75" customHeight="1">
      <c r="A326" s="3" t="s">
        <v>533</v>
      </c>
      <c r="B326" s="4"/>
      <c r="C326" s="5"/>
      <c r="D326" s="5"/>
      <c r="E326" s="6"/>
      <c r="F326" s="6" t="b">
        <f t="shared" si="1"/>
        <v>0</v>
      </c>
    </row>
    <row r="327" ht="15.75" customHeight="1">
      <c r="A327" s="3" t="s">
        <v>534</v>
      </c>
      <c r="B327" s="4"/>
      <c r="C327" s="5"/>
      <c r="D327" s="5"/>
      <c r="E327" s="6"/>
      <c r="F327" s="6" t="b">
        <f t="shared" si="1"/>
        <v>0</v>
      </c>
    </row>
    <row r="328" ht="15.75" customHeight="1">
      <c r="A328" s="3" t="s">
        <v>535</v>
      </c>
      <c r="B328" s="4"/>
      <c r="C328" s="5"/>
      <c r="D328" s="5"/>
      <c r="E328" s="6"/>
      <c r="F328" s="6" t="b">
        <f t="shared" si="1"/>
        <v>0</v>
      </c>
    </row>
    <row r="329" ht="15.75" customHeight="1">
      <c r="A329" s="3" t="s">
        <v>536</v>
      </c>
      <c r="B329" s="4"/>
      <c r="C329" s="5"/>
      <c r="D329" s="5"/>
      <c r="E329" s="6"/>
      <c r="F329" s="6" t="b">
        <f t="shared" si="1"/>
        <v>0</v>
      </c>
    </row>
    <row r="330" ht="15.75" customHeight="1">
      <c r="A330" s="3" t="s">
        <v>537</v>
      </c>
      <c r="B330" s="4"/>
      <c r="C330" s="5"/>
      <c r="D330" s="5"/>
      <c r="E330" s="6"/>
      <c r="F330" s="6" t="b">
        <f t="shared" si="1"/>
        <v>0</v>
      </c>
    </row>
    <row r="331" ht="15.75" customHeight="1">
      <c r="A331" s="3" t="s">
        <v>538</v>
      </c>
      <c r="B331" s="4"/>
      <c r="C331" s="5"/>
      <c r="D331" s="5"/>
      <c r="E331" s="6"/>
      <c r="F331" s="6" t="b">
        <f t="shared" si="1"/>
        <v>0</v>
      </c>
    </row>
    <row r="332" ht="15.75" customHeight="1">
      <c r="A332" s="3" t="s">
        <v>539</v>
      </c>
      <c r="B332" s="4"/>
      <c r="C332" s="5"/>
      <c r="D332" s="5"/>
      <c r="E332" s="6"/>
      <c r="F332" s="6" t="b">
        <f t="shared" si="1"/>
        <v>0</v>
      </c>
    </row>
    <row r="333" ht="15.75" customHeight="1">
      <c r="A333" s="3" t="s">
        <v>540</v>
      </c>
      <c r="B333" s="4"/>
      <c r="C333" s="5"/>
      <c r="D333" s="5"/>
      <c r="E333" s="6"/>
      <c r="F333" s="6" t="b">
        <f t="shared" si="1"/>
        <v>0</v>
      </c>
    </row>
    <row r="334" ht="15.75" customHeight="1">
      <c r="A334" s="3" t="s">
        <v>541</v>
      </c>
      <c r="B334" s="4"/>
      <c r="C334" s="5"/>
      <c r="D334" s="5"/>
      <c r="E334" s="6"/>
      <c r="F334" s="6" t="b">
        <f t="shared" si="1"/>
        <v>0</v>
      </c>
    </row>
    <row r="335" ht="15.75" customHeight="1">
      <c r="A335" s="3" t="s">
        <v>542</v>
      </c>
      <c r="B335" s="4"/>
      <c r="C335" s="5"/>
      <c r="D335" s="5"/>
      <c r="E335" s="6"/>
      <c r="F335" s="6" t="b">
        <f t="shared" si="1"/>
        <v>0</v>
      </c>
    </row>
    <row r="336" ht="15.75" customHeight="1">
      <c r="A336" s="3" t="s">
        <v>543</v>
      </c>
      <c r="B336" s="4"/>
      <c r="C336" s="5"/>
      <c r="D336" s="5"/>
      <c r="E336" s="6"/>
      <c r="F336" s="6" t="b">
        <f t="shared" si="1"/>
        <v>0</v>
      </c>
    </row>
    <row r="337" ht="15.75" customHeight="1">
      <c r="A337" s="3" t="s">
        <v>544</v>
      </c>
      <c r="B337" s="4"/>
      <c r="C337" s="5"/>
      <c r="D337" s="5"/>
      <c r="E337" s="6"/>
      <c r="F337" s="6" t="b">
        <f t="shared" si="1"/>
        <v>0</v>
      </c>
    </row>
    <row r="338" ht="15.75" customHeight="1">
      <c r="A338" s="7" t="s">
        <v>545</v>
      </c>
      <c r="B338" s="4" t="s">
        <v>546</v>
      </c>
      <c r="C338" s="5" t="s">
        <v>6</v>
      </c>
      <c r="D338" s="6" t="s">
        <v>547</v>
      </c>
      <c r="E338" s="6"/>
      <c r="F338" s="6" t="b">
        <f t="shared" si="1"/>
        <v>0</v>
      </c>
    </row>
    <row r="339" ht="15.75" customHeight="1">
      <c r="A339" s="3" t="s">
        <v>548</v>
      </c>
      <c r="B339" s="4"/>
      <c r="C339" s="5"/>
      <c r="D339" s="5"/>
      <c r="E339" s="6"/>
      <c r="F339" s="6" t="b">
        <f t="shared" si="1"/>
        <v>0</v>
      </c>
    </row>
    <row r="340" ht="15.75" customHeight="1">
      <c r="A340" s="3" t="s">
        <v>549</v>
      </c>
      <c r="B340" s="4"/>
      <c r="C340" s="5"/>
      <c r="D340" s="5"/>
      <c r="E340" s="6"/>
      <c r="F340" s="6" t="b">
        <f t="shared" si="1"/>
        <v>0</v>
      </c>
    </row>
    <row r="341" ht="15.75" customHeight="1">
      <c r="A341" s="3" t="s">
        <v>550</v>
      </c>
      <c r="B341" s="4"/>
      <c r="C341" s="5"/>
      <c r="D341" s="5"/>
      <c r="E341" s="6"/>
      <c r="F341" s="6" t="b">
        <f t="shared" si="1"/>
        <v>0</v>
      </c>
    </row>
    <row r="342" ht="15.75" customHeight="1">
      <c r="A342" s="3" t="s">
        <v>551</v>
      </c>
      <c r="B342" s="4"/>
      <c r="C342" s="5"/>
      <c r="D342" s="5"/>
      <c r="E342" s="6"/>
      <c r="F342" s="6" t="b">
        <f t="shared" si="1"/>
        <v>0</v>
      </c>
    </row>
    <row r="343" ht="15.75" customHeight="1">
      <c r="A343" s="7" t="s">
        <v>552</v>
      </c>
      <c r="B343" s="4" t="s">
        <v>553</v>
      </c>
      <c r="C343" s="5" t="s">
        <v>6</v>
      </c>
      <c r="D343" s="6" t="s">
        <v>554</v>
      </c>
      <c r="E343" s="6"/>
      <c r="F343" s="6" t="b">
        <f t="shared" si="1"/>
        <v>0</v>
      </c>
    </row>
    <row r="344" ht="15.75" customHeight="1">
      <c r="A344" s="7" t="s">
        <v>555</v>
      </c>
      <c r="B344" s="4" t="s">
        <v>556</v>
      </c>
      <c r="C344" s="5" t="s">
        <v>6</v>
      </c>
      <c r="D344" s="6" t="s">
        <v>557</v>
      </c>
      <c r="E344" s="6"/>
      <c r="F344" s="6" t="b">
        <f t="shared" si="1"/>
        <v>0</v>
      </c>
    </row>
    <row r="345" ht="15.75" customHeight="1">
      <c r="A345" s="7" t="s">
        <v>558</v>
      </c>
      <c r="B345" s="4" t="s">
        <v>559</v>
      </c>
      <c r="C345" s="5" t="s">
        <v>6</v>
      </c>
      <c r="D345" s="6" t="s">
        <v>560</v>
      </c>
      <c r="E345" s="6"/>
      <c r="F345" s="6" t="b">
        <f t="shared" si="1"/>
        <v>0</v>
      </c>
    </row>
    <row r="346" ht="15.75" customHeight="1">
      <c r="A346" s="3" t="s">
        <v>561</v>
      </c>
      <c r="B346" s="4"/>
      <c r="C346" s="5"/>
      <c r="D346" s="5"/>
      <c r="E346" s="6"/>
      <c r="F346" s="6" t="b">
        <f t="shared" si="1"/>
        <v>0</v>
      </c>
    </row>
    <row r="347" ht="15.75" customHeight="1">
      <c r="A347" s="3" t="s">
        <v>562</v>
      </c>
      <c r="B347" s="4"/>
      <c r="C347" s="5"/>
      <c r="D347" s="5"/>
      <c r="E347" s="6"/>
      <c r="F347" s="6" t="b">
        <f t="shared" si="1"/>
        <v>0</v>
      </c>
    </row>
    <row r="348" ht="15.75" customHeight="1">
      <c r="A348" s="7" t="s">
        <v>563</v>
      </c>
      <c r="B348" s="4" t="s">
        <v>564</v>
      </c>
      <c r="C348" s="5" t="s">
        <v>6</v>
      </c>
      <c r="D348" s="6" t="s">
        <v>565</v>
      </c>
      <c r="E348" s="6"/>
      <c r="F348" s="6" t="b">
        <f t="shared" si="1"/>
        <v>0</v>
      </c>
    </row>
    <row r="349" ht="15.75" customHeight="1">
      <c r="A349" s="3" t="s">
        <v>566</v>
      </c>
      <c r="B349" s="4"/>
      <c r="C349" s="5"/>
      <c r="D349" s="5"/>
      <c r="E349" s="6"/>
      <c r="F349" s="6" t="b">
        <f t="shared" si="1"/>
        <v>0</v>
      </c>
    </row>
    <row r="350" ht="15.75" customHeight="1">
      <c r="A350" s="3" t="s">
        <v>567</v>
      </c>
      <c r="B350" s="4"/>
      <c r="C350" s="5"/>
      <c r="D350" s="5"/>
      <c r="E350" s="6"/>
      <c r="F350" s="6" t="b">
        <f t="shared" si="1"/>
        <v>0</v>
      </c>
    </row>
    <row r="351" ht="15.75" customHeight="1">
      <c r="A351" s="3" t="s">
        <v>568</v>
      </c>
      <c r="B351" s="4"/>
      <c r="C351" s="5"/>
      <c r="D351" s="5"/>
      <c r="E351" s="6"/>
      <c r="F351" s="6" t="b">
        <f t="shared" si="1"/>
        <v>0</v>
      </c>
    </row>
    <row r="352" ht="15.75" customHeight="1">
      <c r="A352" s="3" t="s">
        <v>569</v>
      </c>
      <c r="B352" s="4"/>
      <c r="C352" s="5"/>
      <c r="D352" s="5"/>
      <c r="E352" s="6"/>
      <c r="F352" s="6" t="b">
        <f t="shared" si="1"/>
        <v>0</v>
      </c>
    </row>
    <row r="353" ht="15.75" customHeight="1">
      <c r="A353" s="3" t="s">
        <v>570</v>
      </c>
      <c r="B353" s="4"/>
      <c r="C353" s="5"/>
      <c r="D353" s="5"/>
      <c r="E353" s="6"/>
      <c r="F353" s="6" t="b">
        <f t="shared" si="1"/>
        <v>0</v>
      </c>
    </row>
    <row r="354" ht="15.75" customHeight="1">
      <c r="A354" s="3" t="s">
        <v>571</v>
      </c>
      <c r="B354" s="4"/>
      <c r="C354" s="5"/>
      <c r="D354" s="5"/>
      <c r="E354" s="6"/>
      <c r="F354" s="6" t="b">
        <f t="shared" si="1"/>
        <v>0</v>
      </c>
    </row>
    <row r="355" ht="15.75" customHeight="1">
      <c r="A355" s="3" t="s">
        <v>572</v>
      </c>
      <c r="B355" s="4"/>
      <c r="C355" s="5"/>
      <c r="D355" s="5"/>
      <c r="E355" s="6"/>
      <c r="F355" s="6" t="b">
        <f t="shared" si="1"/>
        <v>0</v>
      </c>
    </row>
    <row r="356" ht="15.75" customHeight="1">
      <c r="A356" s="3" t="s">
        <v>573</v>
      </c>
      <c r="B356" s="4"/>
      <c r="C356" s="5"/>
      <c r="D356" s="5"/>
      <c r="E356" s="6"/>
      <c r="F356" s="6" t="b">
        <f t="shared" si="1"/>
        <v>0</v>
      </c>
    </row>
    <row r="357" ht="15.75" customHeight="1">
      <c r="A357" s="3" t="s">
        <v>574</v>
      </c>
      <c r="B357" s="4"/>
      <c r="C357" s="5"/>
      <c r="D357" s="5"/>
      <c r="E357" s="6"/>
      <c r="F357" s="6" t="b">
        <f t="shared" si="1"/>
        <v>0</v>
      </c>
    </row>
    <row r="358" ht="15.75" customHeight="1">
      <c r="A358" s="3" t="s">
        <v>575</v>
      </c>
      <c r="B358" s="4"/>
      <c r="C358" s="5"/>
      <c r="D358" s="5"/>
      <c r="E358" s="6"/>
      <c r="F358" s="6" t="b">
        <f t="shared" si="1"/>
        <v>0</v>
      </c>
    </row>
    <row r="359" ht="15.75" customHeight="1">
      <c r="A359" s="3" t="s">
        <v>576</v>
      </c>
      <c r="B359" s="4"/>
      <c r="C359" s="5"/>
      <c r="D359" s="5"/>
      <c r="E359" s="6"/>
      <c r="F359" s="6" t="b">
        <f t="shared" si="1"/>
        <v>0</v>
      </c>
    </row>
    <row r="360" ht="15.75" customHeight="1">
      <c r="A360" s="3" t="s">
        <v>577</v>
      </c>
      <c r="B360" s="4"/>
      <c r="C360" s="5"/>
      <c r="D360" s="5"/>
      <c r="E360" s="6"/>
      <c r="F360" s="6" t="b">
        <f t="shared" si="1"/>
        <v>0</v>
      </c>
    </row>
    <row r="361" ht="15.75" customHeight="1">
      <c r="A361" s="3" t="s">
        <v>578</v>
      </c>
      <c r="B361" s="4"/>
      <c r="C361" s="5"/>
      <c r="D361" s="5"/>
      <c r="E361" s="6"/>
      <c r="F361" s="6" t="b">
        <f t="shared" si="1"/>
        <v>0</v>
      </c>
    </row>
    <row r="362" ht="15.75" customHeight="1">
      <c r="A362" s="7" t="s">
        <v>579</v>
      </c>
      <c r="B362" s="4" t="s">
        <v>580</v>
      </c>
      <c r="C362" s="5" t="s">
        <v>6</v>
      </c>
      <c r="D362" s="6" t="s">
        <v>581</v>
      </c>
      <c r="E362" s="6"/>
      <c r="F362" s="6" t="b">
        <f t="shared" si="1"/>
        <v>0</v>
      </c>
    </row>
    <row r="363" ht="15.75" customHeight="1">
      <c r="A363" s="7" t="s">
        <v>582</v>
      </c>
      <c r="B363" s="4" t="s">
        <v>583</v>
      </c>
      <c r="C363" s="5" t="s">
        <v>6</v>
      </c>
      <c r="D363" s="6" t="s">
        <v>584</v>
      </c>
      <c r="E363" s="6"/>
      <c r="F363" s="6" t="b">
        <f t="shared" si="1"/>
        <v>0</v>
      </c>
    </row>
    <row r="364" ht="15.75" customHeight="1">
      <c r="A364" s="7" t="s">
        <v>585</v>
      </c>
      <c r="B364" s="4" t="s">
        <v>586</v>
      </c>
      <c r="C364" s="5" t="s">
        <v>229</v>
      </c>
      <c r="D364" s="6" t="s">
        <v>587</v>
      </c>
      <c r="E364" s="6"/>
      <c r="F364" s="6" t="b">
        <f t="shared" si="1"/>
        <v>0</v>
      </c>
    </row>
    <row r="365" ht="15.75" customHeight="1">
      <c r="A365" s="3" t="s">
        <v>588</v>
      </c>
      <c r="B365" s="4"/>
      <c r="C365" s="5"/>
      <c r="D365" s="5"/>
      <c r="E365" s="6"/>
      <c r="F365" s="6" t="b">
        <f t="shared" si="1"/>
        <v>0</v>
      </c>
    </row>
    <row r="366" ht="15.75" customHeight="1">
      <c r="A366" s="7" t="s">
        <v>589</v>
      </c>
      <c r="B366" s="4" t="s">
        <v>590</v>
      </c>
      <c r="C366" s="5" t="s">
        <v>229</v>
      </c>
      <c r="D366" s="6" t="s">
        <v>230</v>
      </c>
      <c r="E366" s="6"/>
      <c r="F366" s="6" t="b">
        <f t="shared" si="1"/>
        <v>0</v>
      </c>
    </row>
    <row r="367" ht="15.75" customHeight="1">
      <c r="A367" s="3" t="s">
        <v>591</v>
      </c>
      <c r="B367" s="4"/>
      <c r="C367" s="5"/>
      <c r="D367" s="5"/>
      <c r="E367" s="6"/>
      <c r="F367" s="6" t="b">
        <f t="shared" si="1"/>
        <v>0</v>
      </c>
    </row>
    <row r="368" ht="15.75" customHeight="1">
      <c r="A368" s="3" t="s">
        <v>592</v>
      </c>
      <c r="B368" s="4"/>
      <c r="C368" s="5"/>
      <c r="D368" s="5"/>
      <c r="E368" s="6"/>
      <c r="F368" s="6" t="b">
        <f t="shared" si="1"/>
        <v>0</v>
      </c>
    </row>
    <row r="369" ht="15.75" customHeight="1">
      <c r="A369" s="3" t="s">
        <v>593</v>
      </c>
      <c r="B369" s="4"/>
      <c r="C369" s="5"/>
      <c r="D369" s="5"/>
      <c r="E369" s="6"/>
      <c r="F369" s="6" t="b">
        <f t="shared" si="1"/>
        <v>0</v>
      </c>
    </row>
    <row r="370" ht="15.75" customHeight="1">
      <c r="A370" s="3" t="s">
        <v>594</v>
      </c>
      <c r="B370" s="4"/>
      <c r="C370" s="5"/>
      <c r="D370" s="5"/>
      <c r="E370" s="6"/>
      <c r="F370" s="6" t="b">
        <f t="shared" si="1"/>
        <v>0</v>
      </c>
    </row>
    <row r="371" ht="15.75" customHeight="1">
      <c r="A371" s="7" t="s">
        <v>595</v>
      </c>
      <c r="B371" s="4" t="s">
        <v>596</v>
      </c>
      <c r="C371" s="5" t="s">
        <v>6</v>
      </c>
      <c r="D371" s="6" t="s">
        <v>597</v>
      </c>
      <c r="E371" s="6"/>
      <c r="F371" s="6" t="b">
        <f t="shared" si="1"/>
        <v>0</v>
      </c>
    </row>
    <row r="372" ht="15.75" customHeight="1">
      <c r="A372" s="7" t="s">
        <v>598</v>
      </c>
      <c r="B372" s="4" t="s">
        <v>599</v>
      </c>
      <c r="C372" s="5" t="s">
        <v>6</v>
      </c>
      <c r="D372" s="6" t="s">
        <v>597</v>
      </c>
      <c r="E372" s="6"/>
      <c r="F372" s="6" t="b">
        <f t="shared" si="1"/>
        <v>0</v>
      </c>
    </row>
    <row r="373" ht="15.75" customHeight="1">
      <c r="A373" s="7" t="s">
        <v>600</v>
      </c>
      <c r="B373" s="4" t="s">
        <v>601</v>
      </c>
      <c r="C373" s="5" t="s">
        <v>16</v>
      </c>
      <c r="D373" s="6" t="s">
        <v>602</v>
      </c>
      <c r="E373" s="6"/>
      <c r="F373" s="6" t="b">
        <f t="shared" si="1"/>
        <v>0</v>
      </c>
    </row>
    <row r="374" ht="15.75" customHeight="1">
      <c r="A374" s="3" t="s">
        <v>603</v>
      </c>
      <c r="B374" s="4"/>
      <c r="C374" s="5"/>
      <c r="D374" s="5"/>
      <c r="E374" s="6"/>
      <c r="F374" s="6" t="b">
        <f t="shared" si="1"/>
        <v>0</v>
      </c>
    </row>
    <row r="375" ht="15.75" customHeight="1">
      <c r="A375" s="3" t="s">
        <v>604</v>
      </c>
      <c r="B375" s="4"/>
      <c r="C375" s="5"/>
      <c r="D375" s="5"/>
      <c r="E375" s="6"/>
      <c r="F375" s="6" t="b">
        <f t="shared" si="1"/>
        <v>0</v>
      </c>
    </row>
    <row r="376" ht="15.75" customHeight="1">
      <c r="A376" s="7" t="s">
        <v>605</v>
      </c>
      <c r="B376" s="4" t="s">
        <v>606</v>
      </c>
      <c r="C376" s="5" t="s">
        <v>229</v>
      </c>
      <c r="D376" s="6" t="s">
        <v>607</v>
      </c>
      <c r="E376" s="6"/>
      <c r="F376" s="6" t="b">
        <f t="shared" si="1"/>
        <v>0</v>
      </c>
    </row>
    <row r="377" ht="15.75" customHeight="1">
      <c r="A377" s="7" t="s">
        <v>608</v>
      </c>
      <c r="B377" s="4" t="s">
        <v>609</v>
      </c>
      <c r="C377" s="5" t="s">
        <v>6</v>
      </c>
      <c r="D377" s="6" t="s">
        <v>610</v>
      </c>
      <c r="E377" s="6"/>
      <c r="F377" s="6" t="b">
        <f t="shared" si="1"/>
        <v>0</v>
      </c>
    </row>
    <row r="378" ht="15.75" customHeight="1">
      <c r="A378" s="7" t="s">
        <v>611</v>
      </c>
      <c r="B378" s="4" t="s">
        <v>612</v>
      </c>
      <c r="C378" s="5" t="s">
        <v>229</v>
      </c>
      <c r="D378" s="6" t="s">
        <v>613</v>
      </c>
      <c r="E378" s="6"/>
      <c r="F378" s="6" t="b">
        <f t="shared" si="1"/>
        <v>0</v>
      </c>
    </row>
    <row r="379" ht="15.75" customHeight="1">
      <c r="A379" s="7" t="s">
        <v>614</v>
      </c>
      <c r="B379" s="4" t="s">
        <v>615</v>
      </c>
      <c r="C379" s="8"/>
      <c r="D379" s="6" t="s">
        <v>616</v>
      </c>
      <c r="E379" s="6"/>
      <c r="F379" s="6" t="b">
        <f t="shared" si="1"/>
        <v>0</v>
      </c>
    </row>
    <row r="380" ht="15.75" customHeight="1">
      <c r="A380" s="7" t="s">
        <v>617</v>
      </c>
      <c r="B380" s="4" t="s">
        <v>618</v>
      </c>
      <c r="C380" s="6"/>
      <c r="D380" s="6" t="s">
        <v>619</v>
      </c>
      <c r="E380" s="6"/>
      <c r="F380" s="6" t="b">
        <f t="shared" si="1"/>
        <v>0</v>
      </c>
    </row>
    <row r="381" ht="15.75" customHeight="1">
      <c r="A381" s="7" t="s">
        <v>620</v>
      </c>
      <c r="B381" s="4" t="s">
        <v>621</v>
      </c>
      <c r="C381" s="8"/>
      <c r="D381" s="6" t="s">
        <v>36</v>
      </c>
      <c r="E381" s="6"/>
      <c r="F381" s="6" t="b">
        <f t="shared" si="1"/>
        <v>0</v>
      </c>
    </row>
    <row r="382" ht="15.75" customHeight="1">
      <c r="A382" s="7" t="s">
        <v>622</v>
      </c>
      <c r="B382" s="4" t="s">
        <v>623</v>
      </c>
      <c r="C382" s="6"/>
      <c r="D382" s="6" t="s">
        <v>619</v>
      </c>
      <c r="E382" s="6"/>
      <c r="F382" s="6" t="b">
        <f t="shared" si="1"/>
        <v>0</v>
      </c>
    </row>
    <row r="383" ht="15.75" customHeight="1">
      <c r="A383" s="7" t="s">
        <v>624</v>
      </c>
      <c r="B383" s="4" t="s">
        <v>625</v>
      </c>
      <c r="C383" s="6"/>
      <c r="D383" s="6" t="s">
        <v>150</v>
      </c>
      <c r="E383" s="6"/>
      <c r="F383" s="6" t="b">
        <f t="shared" si="1"/>
        <v>0</v>
      </c>
    </row>
    <row r="384" ht="15.75" customHeight="1">
      <c r="A384" s="7" t="s">
        <v>626</v>
      </c>
      <c r="B384" s="4" t="s">
        <v>627</v>
      </c>
      <c r="C384" s="5" t="s">
        <v>16</v>
      </c>
      <c r="D384" s="6" t="s">
        <v>628</v>
      </c>
      <c r="E384" s="6"/>
      <c r="F384" s="6" t="b">
        <f t="shared" si="1"/>
        <v>0</v>
      </c>
    </row>
    <row r="385" ht="15.75" customHeight="1">
      <c r="A385" s="7" t="s">
        <v>629</v>
      </c>
      <c r="B385" s="4" t="s">
        <v>630</v>
      </c>
      <c r="C385" s="5" t="s">
        <v>6</v>
      </c>
      <c r="D385" s="6" t="s">
        <v>631</v>
      </c>
      <c r="E385" s="6"/>
      <c r="F385" s="6" t="b">
        <f t="shared" si="1"/>
        <v>0</v>
      </c>
    </row>
    <row r="386" ht="15.75" customHeight="1">
      <c r="A386" s="7" t="s">
        <v>632</v>
      </c>
      <c r="B386" s="4" t="s">
        <v>633</v>
      </c>
      <c r="C386" s="5" t="s">
        <v>6</v>
      </c>
      <c r="D386" s="6" t="s">
        <v>631</v>
      </c>
      <c r="E386" s="6"/>
      <c r="F386" s="6" t="b">
        <f t="shared" si="1"/>
        <v>0</v>
      </c>
    </row>
    <row r="387" ht="15.75" customHeight="1">
      <c r="A387" s="7" t="s">
        <v>634</v>
      </c>
      <c r="B387" s="4" t="s">
        <v>635</v>
      </c>
      <c r="C387" s="5" t="s">
        <v>6</v>
      </c>
      <c r="D387" s="6" t="s">
        <v>631</v>
      </c>
      <c r="E387" s="6"/>
      <c r="F387" s="6" t="b">
        <f t="shared" si="1"/>
        <v>0</v>
      </c>
    </row>
    <row r="388" ht="15.75" customHeight="1">
      <c r="A388" s="7" t="s">
        <v>636</v>
      </c>
      <c r="B388" s="4" t="s">
        <v>637</v>
      </c>
      <c r="C388" s="5" t="s">
        <v>6</v>
      </c>
      <c r="D388" s="6" t="s">
        <v>631</v>
      </c>
      <c r="E388" s="6"/>
      <c r="F388" s="6" t="b">
        <f t="shared" si="1"/>
        <v>0</v>
      </c>
    </row>
    <row r="389" ht="15.75" customHeight="1">
      <c r="A389" s="3" t="s">
        <v>638</v>
      </c>
      <c r="B389" s="4"/>
      <c r="C389" s="5"/>
      <c r="D389" s="5"/>
      <c r="E389" s="6"/>
      <c r="F389" s="6" t="b">
        <f t="shared" si="1"/>
        <v>0</v>
      </c>
    </row>
    <row r="390" ht="15.75" customHeight="1">
      <c r="A390" s="3" t="s">
        <v>639</v>
      </c>
      <c r="B390" s="4"/>
      <c r="C390" s="5"/>
      <c r="D390" s="5"/>
      <c r="E390" s="6"/>
      <c r="F390" s="6" t="b">
        <f t="shared" si="1"/>
        <v>0</v>
      </c>
    </row>
    <row r="391" ht="15.75" customHeight="1">
      <c r="A391" s="3" t="s">
        <v>640</v>
      </c>
      <c r="B391" s="4"/>
      <c r="C391" s="5"/>
      <c r="D391" s="5"/>
      <c r="E391" s="6"/>
      <c r="F391" s="6" t="b">
        <f t="shared" si="1"/>
        <v>0</v>
      </c>
    </row>
    <row r="392" ht="15.75" customHeight="1">
      <c r="A392" s="3" t="s">
        <v>641</v>
      </c>
      <c r="B392" s="4"/>
      <c r="C392" s="5"/>
      <c r="D392" s="5"/>
      <c r="E392" s="6"/>
      <c r="F392" s="6" t="b">
        <f t="shared" si="1"/>
        <v>0</v>
      </c>
    </row>
    <row r="393" ht="15.75" customHeight="1">
      <c r="A393" s="3" t="s">
        <v>642</v>
      </c>
      <c r="B393" s="4"/>
      <c r="C393" s="5"/>
      <c r="D393" s="5"/>
      <c r="E393" s="6"/>
      <c r="F393" s="6" t="b">
        <f t="shared" si="1"/>
        <v>0</v>
      </c>
    </row>
    <row r="394" ht="15.75" customHeight="1">
      <c r="A394" s="3" t="s">
        <v>643</v>
      </c>
      <c r="B394" s="4"/>
      <c r="C394" s="5"/>
      <c r="D394" s="5"/>
      <c r="E394" s="6"/>
      <c r="F394" s="6" t="b">
        <f t="shared" si="1"/>
        <v>0</v>
      </c>
    </row>
    <row r="395" ht="15.75" customHeight="1">
      <c r="A395" s="3" t="s">
        <v>644</v>
      </c>
      <c r="B395" s="4"/>
      <c r="C395" s="5"/>
      <c r="D395" s="5"/>
      <c r="E395" s="6"/>
      <c r="F395" s="6" t="b">
        <f t="shared" si="1"/>
        <v>0</v>
      </c>
    </row>
    <row r="396" ht="15.75" customHeight="1">
      <c r="A396" s="3" t="s">
        <v>645</v>
      </c>
      <c r="B396" s="4"/>
      <c r="C396" s="5"/>
      <c r="D396" s="5"/>
      <c r="E396" s="6"/>
      <c r="F396" s="6" t="b">
        <f t="shared" si="1"/>
        <v>0</v>
      </c>
    </row>
    <row r="397" ht="15.75" customHeight="1">
      <c r="A397" s="7" t="s">
        <v>646</v>
      </c>
      <c r="B397" s="4" t="s">
        <v>647</v>
      </c>
      <c r="C397" s="5" t="s">
        <v>6</v>
      </c>
      <c r="D397" s="6" t="s">
        <v>401</v>
      </c>
      <c r="E397" s="6"/>
      <c r="F397" s="6" t="b">
        <f t="shared" si="1"/>
        <v>0</v>
      </c>
    </row>
    <row r="398" ht="15.75" customHeight="1">
      <c r="A398" s="7" t="s">
        <v>648</v>
      </c>
      <c r="B398" s="4" t="s">
        <v>649</v>
      </c>
      <c r="C398" s="5" t="s">
        <v>6</v>
      </c>
      <c r="D398" s="6" t="s">
        <v>650</v>
      </c>
      <c r="E398" s="6"/>
      <c r="F398" s="6" t="b">
        <f t="shared" si="1"/>
        <v>0</v>
      </c>
    </row>
    <row r="399" ht="15.75" customHeight="1">
      <c r="A399" s="3" t="s">
        <v>651</v>
      </c>
      <c r="B399" s="4"/>
      <c r="C399" s="5"/>
      <c r="D399" s="5"/>
      <c r="E399" s="6"/>
      <c r="F399" s="6" t="b">
        <f t="shared" si="1"/>
        <v>0</v>
      </c>
    </row>
    <row r="400" ht="15.75" customHeight="1">
      <c r="A400" s="7" t="s">
        <v>652</v>
      </c>
      <c r="B400" s="4" t="s">
        <v>653</v>
      </c>
      <c r="C400" s="5" t="s">
        <v>6</v>
      </c>
      <c r="D400" s="6" t="s">
        <v>654</v>
      </c>
      <c r="E400" s="6"/>
      <c r="F400" s="6" t="b">
        <f t="shared" si="1"/>
        <v>0</v>
      </c>
    </row>
    <row r="401" ht="15.75" customHeight="1">
      <c r="A401" s="7" t="s">
        <v>655</v>
      </c>
      <c r="B401" s="4" t="s">
        <v>656</v>
      </c>
      <c r="C401" s="5" t="s">
        <v>6</v>
      </c>
      <c r="D401" s="6" t="s">
        <v>264</v>
      </c>
      <c r="E401" s="6"/>
      <c r="F401" s="6" t="b">
        <f t="shared" si="1"/>
        <v>0</v>
      </c>
    </row>
    <row r="402" ht="15.75" customHeight="1">
      <c r="A402" s="7" t="s">
        <v>657</v>
      </c>
      <c r="B402" s="4" t="s">
        <v>658</v>
      </c>
      <c r="C402" s="5" t="s">
        <v>6</v>
      </c>
      <c r="D402" s="6" t="s">
        <v>264</v>
      </c>
      <c r="E402" s="6"/>
      <c r="F402" s="6" t="b">
        <f t="shared" si="1"/>
        <v>0</v>
      </c>
    </row>
    <row r="403" ht="15.75" customHeight="1">
      <c r="A403" s="3" t="s">
        <v>659</v>
      </c>
      <c r="B403" s="4"/>
      <c r="C403" s="5"/>
      <c r="D403" s="5"/>
      <c r="E403" s="6"/>
      <c r="F403" s="6" t="b">
        <f t="shared" si="1"/>
        <v>0</v>
      </c>
    </row>
    <row r="404" ht="15.75" customHeight="1">
      <c r="A404" s="3" t="s">
        <v>660</v>
      </c>
      <c r="B404" s="4"/>
      <c r="C404" s="5"/>
      <c r="D404" s="5"/>
      <c r="E404" s="6"/>
      <c r="F404" s="6" t="b">
        <f t="shared" si="1"/>
        <v>0</v>
      </c>
    </row>
    <row r="405" ht="15.75" customHeight="1">
      <c r="A405" s="3" t="s">
        <v>661</v>
      </c>
      <c r="B405" s="4"/>
      <c r="C405" s="5"/>
      <c r="D405" s="5"/>
      <c r="E405" s="6"/>
      <c r="F405" s="6" t="b">
        <f t="shared" si="1"/>
        <v>0</v>
      </c>
    </row>
    <row r="406" ht="15.75" customHeight="1">
      <c r="A406" s="7" t="s">
        <v>662</v>
      </c>
      <c r="B406" s="4" t="s">
        <v>663</v>
      </c>
      <c r="C406" s="5" t="s">
        <v>6</v>
      </c>
      <c r="D406" s="6" t="s">
        <v>294</v>
      </c>
      <c r="E406" s="6"/>
      <c r="F406" s="6" t="b">
        <f t="shared" si="1"/>
        <v>0</v>
      </c>
    </row>
    <row r="407" ht="15.75" customHeight="1">
      <c r="A407" s="7" t="s">
        <v>664</v>
      </c>
      <c r="B407" s="4" t="s">
        <v>665</v>
      </c>
      <c r="C407" s="5" t="s">
        <v>6</v>
      </c>
      <c r="D407" s="6" t="s">
        <v>264</v>
      </c>
      <c r="E407" s="6"/>
      <c r="F407" s="6" t="b">
        <f t="shared" si="1"/>
        <v>0</v>
      </c>
    </row>
    <row r="408" ht="15.75" customHeight="1">
      <c r="A408" s="3" t="s">
        <v>666</v>
      </c>
      <c r="B408" s="4"/>
      <c r="C408" s="5"/>
      <c r="D408" s="5"/>
      <c r="E408" s="6"/>
      <c r="F408" s="6" t="b">
        <f t="shared" si="1"/>
        <v>0</v>
      </c>
    </row>
    <row r="409" ht="15.75" customHeight="1">
      <c r="A409" s="3" t="s">
        <v>667</v>
      </c>
      <c r="B409" s="4"/>
      <c r="C409" s="5"/>
      <c r="D409" s="5"/>
      <c r="E409" s="6"/>
      <c r="F409" s="6" t="b">
        <f t="shared" si="1"/>
        <v>0</v>
      </c>
    </row>
    <row r="410" ht="15.75" customHeight="1">
      <c r="A410" s="7" t="s">
        <v>668</v>
      </c>
      <c r="B410" s="4" t="s">
        <v>669</v>
      </c>
      <c r="C410" s="5" t="s">
        <v>6</v>
      </c>
      <c r="D410" s="6" t="s">
        <v>294</v>
      </c>
      <c r="E410" s="6"/>
      <c r="F410" s="6" t="b">
        <f t="shared" si="1"/>
        <v>0</v>
      </c>
    </row>
    <row r="411" ht="15.75" customHeight="1">
      <c r="A411" s="7" t="s">
        <v>670</v>
      </c>
      <c r="B411" s="4" t="s">
        <v>671</v>
      </c>
      <c r="C411" s="5" t="s">
        <v>6</v>
      </c>
      <c r="D411" s="6" t="s">
        <v>10</v>
      </c>
      <c r="E411" s="6"/>
      <c r="F411" s="6" t="b">
        <f t="shared" si="1"/>
        <v>0</v>
      </c>
    </row>
    <row r="412" ht="15.75" customHeight="1">
      <c r="A412" s="7" t="s">
        <v>672</v>
      </c>
      <c r="B412" s="4" t="s">
        <v>673</v>
      </c>
      <c r="C412" s="5" t="s">
        <v>6</v>
      </c>
      <c r="D412" s="6" t="s">
        <v>281</v>
      </c>
      <c r="E412" s="6"/>
      <c r="F412" s="6" t="b">
        <f t="shared" si="1"/>
        <v>0</v>
      </c>
    </row>
    <row r="413" ht="15.75" customHeight="1">
      <c r="A413" s="7" t="s">
        <v>674</v>
      </c>
      <c r="B413" s="4" t="s">
        <v>675</v>
      </c>
      <c r="C413" s="5" t="s">
        <v>6</v>
      </c>
      <c r="D413" s="6" t="s">
        <v>517</v>
      </c>
      <c r="E413" s="6"/>
      <c r="F413" s="6" t="b">
        <f t="shared" si="1"/>
        <v>0</v>
      </c>
    </row>
    <row r="414" ht="15.75" customHeight="1">
      <c r="A414" s="3" t="s">
        <v>676</v>
      </c>
      <c r="B414" s="4"/>
      <c r="C414" s="5"/>
      <c r="D414" s="5"/>
      <c r="E414" s="6"/>
      <c r="F414" s="6" t="b">
        <f t="shared" si="1"/>
        <v>0</v>
      </c>
    </row>
    <row r="415" ht="15.75" customHeight="1">
      <c r="A415" s="7" t="s">
        <v>677</v>
      </c>
      <c r="B415" s="4" t="s">
        <v>678</v>
      </c>
      <c r="C415" s="5" t="s">
        <v>6</v>
      </c>
      <c r="D415" s="6" t="s">
        <v>517</v>
      </c>
      <c r="E415" s="6"/>
      <c r="F415" s="6" t="b">
        <f t="shared" si="1"/>
        <v>0</v>
      </c>
    </row>
    <row r="416" ht="15.75" customHeight="1">
      <c r="A416" s="7" t="s">
        <v>679</v>
      </c>
      <c r="B416" s="9" t="s">
        <v>680</v>
      </c>
      <c r="C416" s="5" t="s">
        <v>6</v>
      </c>
      <c r="D416" s="6" t="s">
        <v>281</v>
      </c>
      <c r="E416" s="6"/>
      <c r="F416" s="6" t="b">
        <f t="shared" si="1"/>
        <v>0</v>
      </c>
    </row>
    <row r="417" ht="15.75" customHeight="1">
      <c r="A417" s="7" t="s">
        <v>681</v>
      </c>
      <c r="B417" s="11"/>
      <c r="C417" s="5"/>
      <c r="D417" s="5"/>
      <c r="E417" s="6"/>
      <c r="F417" s="6" t="b">
        <f t="shared" si="1"/>
        <v>0</v>
      </c>
    </row>
    <row r="418" ht="15.75" customHeight="1">
      <c r="A418" s="7" t="s">
        <v>682</v>
      </c>
      <c r="B418" s="4" t="s">
        <v>683</v>
      </c>
      <c r="C418" s="5" t="s">
        <v>6</v>
      </c>
      <c r="D418" s="6" t="s">
        <v>517</v>
      </c>
      <c r="E418" s="6"/>
      <c r="F418" s="6" t="b">
        <f t="shared" si="1"/>
        <v>0</v>
      </c>
    </row>
    <row r="419" ht="15.75" customHeight="1">
      <c r="A419" s="7" t="s">
        <v>684</v>
      </c>
      <c r="B419" s="4" t="s">
        <v>685</v>
      </c>
      <c r="C419" s="5" t="s">
        <v>6</v>
      </c>
      <c r="D419" s="6" t="s">
        <v>686</v>
      </c>
      <c r="E419" s="6"/>
      <c r="F419" s="6" t="b">
        <f t="shared" si="1"/>
        <v>0</v>
      </c>
    </row>
    <row r="420" ht="15.75" customHeight="1">
      <c r="A420" s="7" t="s">
        <v>687</v>
      </c>
      <c r="B420" s="4" t="s">
        <v>688</v>
      </c>
      <c r="C420" s="5" t="s">
        <v>6</v>
      </c>
      <c r="D420" s="6" t="s">
        <v>689</v>
      </c>
      <c r="E420" s="6"/>
      <c r="F420" s="6" t="b">
        <f t="shared" si="1"/>
        <v>0</v>
      </c>
    </row>
    <row r="421" ht="15.75" customHeight="1">
      <c r="A421" s="7" t="s">
        <v>690</v>
      </c>
      <c r="B421" s="4" t="s">
        <v>691</v>
      </c>
      <c r="C421" s="6"/>
      <c r="D421" s="6" t="s">
        <v>619</v>
      </c>
      <c r="E421" s="6"/>
      <c r="F421" s="6" t="b">
        <f t="shared" si="1"/>
        <v>0</v>
      </c>
    </row>
    <row r="422" ht="15.75" customHeight="1">
      <c r="A422" s="7" t="s">
        <v>692</v>
      </c>
      <c r="B422" s="4" t="s">
        <v>693</v>
      </c>
      <c r="C422" s="5" t="s">
        <v>16</v>
      </c>
      <c r="D422" s="6" t="s">
        <v>694</v>
      </c>
      <c r="E422" s="6"/>
      <c r="F422" s="6" t="b">
        <f t="shared" si="1"/>
        <v>0</v>
      </c>
    </row>
    <row r="423" ht="15.75" customHeight="1">
      <c r="A423" s="3" t="s">
        <v>695</v>
      </c>
      <c r="B423" s="4"/>
      <c r="C423" s="5"/>
      <c r="D423" s="5"/>
      <c r="E423" s="6"/>
      <c r="F423" s="6" t="b">
        <f t="shared" si="1"/>
        <v>0</v>
      </c>
    </row>
    <row r="424" ht="15.75" customHeight="1">
      <c r="A424" s="3" t="s">
        <v>696</v>
      </c>
      <c r="B424" s="4"/>
      <c r="C424" s="5"/>
      <c r="D424" s="5"/>
      <c r="E424" s="6"/>
      <c r="F424" s="6" t="b">
        <f t="shared" si="1"/>
        <v>0</v>
      </c>
    </row>
    <row r="425" ht="15.75" customHeight="1">
      <c r="A425" s="3" t="s">
        <v>697</v>
      </c>
      <c r="B425" s="4"/>
      <c r="C425" s="5"/>
      <c r="D425" s="5"/>
      <c r="E425" s="6"/>
      <c r="F425" s="6" t="b">
        <f t="shared" si="1"/>
        <v>0</v>
      </c>
    </row>
    <row r="426" ht="15.75" customHeight="1">
      <c r="A426" s="7" t="s">
        <v>698</v>
      </c>
      <c r="B426" s="4" t="s">
        <v>699</v>
      </c>
      <c r="C426" s="5" t="s">
        <v>6</v>
      </c>
      <c r="D426" s="6" t="s">
        <v>517</v>
      </c>
      <c r="E426" s="6"/>
      <c r="F426" s="6" t="b">
        <f t="shared" si="1"/>
        <v>0</v>
      </c>
    </row>
    <row r="427" ht="15.75" customHeight="1">
      <c r="A427" s="7" t="s">
        <v>700</v>
      </c>
      <c r="B427" s="4" t="s">
        <v>701</v>
      </c>
      <c r="C427" s="5" t="s">
        <v>16</v>
      </c>
      <c r="D427" s="6" t="s">
        <v>702</v>
      </c>
      <c r="E427" s="6"/>
      <c r="F427" s="6" t="b">
        <f t="shared" si="1"/>
        <v>0</v>
      </c>
    </row>
    <row r="428" ht="15.75" customHeight="1">
      <c r="A428" s="7" t="s">
        <v>703</v>
      </c>
      <c r="B428" s="4" t="s">
        <v>704</v>
      </c>
      <c r="C428" s="5" t="s">
        <v>6</v>
      </c>
      <c r="D428" s="6" t="s">
        <v>705</v>
      </c>
      <c r="E428" s="6"/>
      <c r="F428" s="6" t="b">
        <f t="shared" si="1"/>
        <v>0</v>
      </c>
    </row>
    <row r="429" ht="15.75" customHeight="1">
      <c r="A429" s="7" t="s">
        <v>706</v>
      </c>
      <c r="B429" s="4" t="s">
        <v>707</v>
      </c>
      <c r="C429" s="5" t="s">
        <v>16</v>
      </c>
      <c r="D429" s="6" t="s">
        <v>708</v>
      </c>
      <c r="E429" s="6"/>
      <c r="F429" s="6" t="b">
        <f t="shared" si="1"/>
        <v>0</v>
      </c>
    </row>
    <row r="430" ht="15.75" customHeight="1">
      <c r="A430" s="7" t="s">
        <v>709</v>
      </c>
      <c r="B430" s="4" t="s">
        <v>710</v>
      </c>
      <c r="C430" s="5" t="s">
        <v>6</v>
      </c>
      <c r="D430" s="6" t="s">
        <v>99</v>
      </c>
      <c r="E430" s="6"/>
      <c r="F430" s="6" t="b">
        <f t="shared" si="1"/>
        <v>0</v>
      </c>
    </row>
    <row r="431" ht="15.75" customHeight="1">
      <c r="A431" s="7" t="s">
        <v>711</v>
      </c>
      <c r="B431" s="4" t="s">
        <v>712</v>
      </c>
      <c r="C431" s="5" t="s">
        <v>6</v>
      </c>
      <c r="D431" s="6" t="s">
        <v>713</v>
      </c>
      <c r="E431" s="6"/>
      <c r="F431" s="6" t="b">
        <f t="shared" si="1"/>
        <v>0</v>
      </c>
    </row>
    <row r="432" ht="15.75" customHeight="1">
      <c r="A432" s="7" t="s">
        <v>714</v>
      </c>
      <c r="B432" s="4" t="s">
        <v>715</v>
      </c>
      <c r="C432" s="6"/>
      <c r="D432" s="6" t="s">
        <v>619</v>
      </c>
      <c r="E432" s="6"/>
      <c r="F432" s="6" t="b">
        <f t="shared" si="1"/>
        <v>0</v>
      </c>
    </row>
    <row r="433" ht="15.75" customHeight="1">
      <c r="A433" s="7" t="s">
        <v>716</v>
      </c>
      <c r="B433" s="4" t="s">
        <v>717</v>
      </c>
      <c r="C433" s="5" t="s">
        <v>6</v>
      </c>
      <c r="D433" s="6" t="s">
        <v>718</v>
      </c>
      <c r="E433" s="6"/>
      <c r="F433" s="6" t="b">
        <f t="shared" si="1"/>
        <v>0</v>
      </c>
    </row>
    <row r="434" ht="15.75" customHeight="1">
      <c r="A434" s="7" t="s">
        <v>719</v>
      </c>
      <c r="B434" s="4" t="s">
        <v>720</v>
      </c>
      <c r="C434" s="5" t="s">
        <v>6</v>
      </c>
      <c r="D434" s="6" t="s">
        <v>713</v>
      </c>
      <c r="E434" s="6"/>
      <c r="F434" s="6" t="b">
        <f t="shared" si="1"/>
        <v>0</v>
      </c>
    </row>
    <row r="435" ht="15.75" customHeight="1">
      <c r="A435" s="7" t="s">
        <v>721</v>
      </c>
      <c r="B435" s="4" t="s">
        <v>722</v>
      </c>
      <c r="C435" s="5" t="s">
        <v>16</v>
      </c>
      <c r="D435" s="6" t="s">
        <v>723</v>
      </c>
      <c r="E435" s="6"/>
      <c r="F435" s="6" t="b">
        <f t="shared" si="1"/>
        <v>0</v>
      </c>
    </row>
    <row r="436" ht="15.75" customHeight="1">
      <c r="A436" s="7" t="s">
        <v>724</v>
      </c>
      <c r="B436" s="4" t="s">
        <v>725</v>
      </c>
      <c r="C436" s="5" t="s">
        <v>6</v>
      </c>
      <c r="D436" s="6" t="s">
        <v>726</v>
      </c>
      <c r="E436" s="6"/>
      <c r="F436" s="6" t="b">
        <f t="shared" si="1"/>
        <v>0</v>
      </c>
    </row>
    <row r="437" ht="15.75" customHeight="1">
      <c r="A437" s="7" t="s">
        <v>727</v>
      </c>
      <c r="B437" s="4" t="s">
        <v>728</v>
      </c>
      <c r="C437" s="6"/>
      <c r="D437" s="6" t="s">
        <v>619</v>
      </c>
      <c r="E437" s="6"/>
      <c r="F437" s="6" t="b">
        <f t="shared" si="1"/>
        <v>0</v>
      </c>
    </row>
    <row r="438" ht="15.75" customHeight="1">
      <c r="A438" s="7" t="s">
        <v>729</v>
      </c>
      <c r="B438" s="4" t="s">
        <v>730</v>
      </c>
      <c r="C438" s="5" t="s">
        <v>6</v>
      </c>
      <c r="D438" s="6" t="s">
        <v>731</v>
      </c>
      <c r="E438" s="6"/>
      <c r="F438" s="6" t="b">
        <f t="shared" si="1"/>
        <v>0</v>
      </c>
    </row>
    <row r="439" ht="15.75" customHeight="1">
      <c r="A439" s="7" t="s">
        <v>732</v>
      </c>
      <c r="B439" s="4" t="s">
        <v>733</v>
      </c>
      <c r="C439" s="5" t="s">
        <v>16</v>
      </c>
      <c r="D439" s="6" t="s">
        <v>734</v>
      </c>
      <c r="E439" s="6"/>
      <c r="F439" s="6" t="b">
        <f t="shared" si="1"/>
        <v>0</v>
      </c>
    </row>
    <row r="440" ht="15.75" customHeight="1">
      <c r="A440" s="7" t="s">
        <v>735</v>
      </c>
      <c r="B440" s="4" t="s">
        <v>736</v>
      </c>
      <c r="C440" s="5" t="s">
        <v>6</v>
      </c>
      <c r="D440" s="6" t="s">
        <v>737</v>
      </c>
      <c r="E440" s="6"/>
      <c r="F440" s="6" t="b">
        <f t="shared" si="1"/>
        <v>0</v>
      </c>
    </row>
    <row r="441" ht="15.75" customHeight="1">
      <c r="A441" s="7" t="s">
        <v>738</v>
      </c>
      <c r="B441" s="4" t="s">
        <v>739</v>
      </c>
      <c r="C441" s="5" t="s">
        <v>16</v>
      </c>
      <c r="D441" s="6" t="s">
        <v>441</v>
      </c>
      <c r="E441" s="6"/>
      <c r="F441" s="6" t="b">
        <f t="shared" si="1"/>
        <v>0</v>
      </c>
    </row>
    <row r="442" ht="15.75" customHeight="1">
      <c r="A442" s="7" t="s">
        <v>740</v>
      </c>
      <c r="B442" s="4" t="s">
        <v>741</v>
      </c>
      <c r="C442" s="5" t="s">
        <v>6</v>
      </c>
      <c r="D442" s="6" t="s">
        <v>742</v>
      </c>
      <c r="E442" s="6"/>
      <c r="F442" s="6" t="b">
        <f t="shared" si="1"/>
        <v>0</v>
      </c>
    </row>
    <row r="443" ht="15.75" customHeight="1">
      <c r="A443" s="3" t="s">
        <v>743</v>
      </c>
      <c r="B443" s="4"/>
      <c r="C443" s="5"/>
      <c r="D443" s="5"/>
      <c r="E443" s="6"/>
      <c r="F443" s="6" t="b">
        <f t="shared" si="1"/>
        <v>0</v>
      </c>
    </row>
    <row r="444" ht="15.75" customHeight="1">
      <c r="A444" s="7" t="s">
        <v>744</v>
      </c>
      <c r="B444" s="4" t="s">
        <v>745</v>
      </c>
      <c r="C444" s="5" t="s">
        <v>16</v>
      </c>
      <c r="D444" s="6" t="s">
        <v>441</v>
      </c>
      <c r="E444" s="6"/>
      <c r="F444" s="6" t="b">
        <f t="shared" si="1"/>
        <v>0</v>
      </c>
    </row>
    <row r="445" ht="15.75" customHeight="1">
      <c r="A445" s="7" t="s">
        <v>746</v>
      </c>
      <c r="B445" s="4" t="s">
        <v>747</v>
      </c>
      <c r="C445" s="5" t="s">
        <v>16</v>
      </c>
      <c r="D445" s="6" t="s">
        <v>748</v>
      </c>
      <c r="E445" s="6"/>
      <c r="F445" s="6" t="b">
        <f t="shared" si="1"/>
        <v>0</v>
      </c>
    </row>
    <row r="446" ht="15.75" customHeight="1">
      <c r="A446" s="7" t="s">
        <v>749</v>
      </c>
      <c r="B446" s="4" t="s">
        <v>750</v>
      </c>
      <c r="C446" s="5" t="s">
        <v>16</v>
      </c>
      <c r="D446" s="6" t="s">
        <v>441</v>
      </c>
      <c r="E446" s="6"/>
      <c r="F446" s="6" t="b">
        <f t="shared" si="1"/>
        <v>0</v>
      </c>
    </row>
    <row r="447" ht="15.75" customHeight="1">
      <c r="A447" s="7" t="s">
        <v>751</v>
      </c>
      <c r="B447" s="4" t="s">
        <v>752</v>
      </c>
      <c r="C447" s="5" t="s">
        <v>6</v>
      </c>
      <c r="D447" s="6" t="s">
        <v>753</v>
      </c>
      <c r="E447" s="6"/>
      <c r="F447" s="6" t="b">
        <f t="shared" si="1"/>
        <v>0</v>
      </c>
    </row>
    <row r="448" ht="15.75" customHeight="1">
      <c r="A448" s="7" t="s">
        <v>754</v>
      </c>
      <c r="B448" s="4" t="s">
        <v>755</v>
      </c>
      <c r="C448" s="5" t="s">
        <v>6</v>
      </c>
      <c r="D448" s="6" t="s">
        <v>99</v>
      </c>
      <c r="E448" s="6"/>
      <c r="F448" s="6" t="b">
        <f t="shared" si="1"/>
        <v>0</v>
      </c>
    </row>
    <row r="449" ht="15.75" customHeight="1">
      <c r="A449" s="7" t="s">
        <v>756</v>
      </c>
      <c r="B449" s="4" t="s">
        <v>757</v>
      </c>
      <c r="C449" s="5" t="s">
        <v>6</v>
      </c>
      <c r="D449" s="6" t="s">
        <v>99</v>
      </c>
      <c r="E449" s="6"/>
      <c r="F449" s="6" t="b">
        <f t="shared" si="1"/>
        <v>0</v>
      </c>
    </row>
    <row r="450" ht="15.75" customHeight="1">
      <c r="A450" s="3" t="s">
        <v>758</v>
      </c>
      <c r="B450" s="4"/>
      <c r="C450" s="5"/>
      <c r="D450" s="5"/>
      <c r="E450" s="6"/>
      <c r="F450" s="6" t="b">
        <f t="shared" si="1"/>
        <v>0</v>
      </c>
    </row>
    <row r="451" ht="15.75" customHeight="1">
      <c r="A451" s="7" t="s">
        <v>759</v>
      </c>
      <c r="B451" s="4" t="s">
        <v>760</v>
      </c>
      <c r="C451" s="5" t="s">
        <v>6</v>
      </c>
      <c r="D451" s="6" t="s">
        <v>761</v>
      </c>
      <c r="E451" s="6"/>
      <c r="F451" s="6" t="b">
        <f t="shared" si="1"/>
        <v>0</v>
      </c>
    </row>
    <row r="452" ht="15.75" customHeight="1">
      <c r="A452" s="7" t="s">
        <v>762</v>
      </c>
      <c r="B452" s="4" t="s">
        <v>763</v>
      </c>
      <c r="C452" s="8"/>
      <c r="D452" s="6" t="s">
        <v>764</v>
      </c>
      <c r="E452" s="6"/>
      <c r="F452" s="6" t="b">
        <f t="shared" si="1"/>
        <v>0</v>
      </c>
    </row>
    <row r="453" ht="15.75" customHeight="1">
      <c r="A453" s="7" t="s">
        <v>765</v>
      </c>
      <c r="B453" s="4" t="s">
        <v>766</v>
      </c>
      <c r="C453" s="5" t="s">
        <v>16</v>
      </c>
      <c r="D453" s="6" t="s">
        <v>441</v>
      </c>
      <c r="E453" s="6"/>
      <c r="F453" s="6" t="b">
        <f t="shared" si="1"/>
        <v>0</v>
      </c>
    </row>
    <row r="454" ht="15.75" customHeight="1">
      <c r="A454" s="7" t="s">
        <v>767</v>
      </c>
      <c r="B454" s="4" t="s">
        <v>768</v>
      </c>
      <c r="C454" s="5" t="s">
        <v>6</v>
      </c>
      <c r="D454" s="6" t="s">
        <v>769</v>
      </c>
      <c r="E454" s="6"/>
      <c r="F454" s="6" t="b">
        <f t="shared" si="1"/>
        <v>0</v>
      </c>
    </row>
    <row r="455" ht="15.75" customHeight="1">
      <c r="A455" s="7" t="s">
        <v>770</v>
      </c>
      <c r="B455" s="4" t="s">
        <v>771</v>
      </c>
      <c r="C455" s="5" t="s">
        <v>6</v>
      </c>
      <c r="D455" s="6" t="s">
        <v>772</v>
      </c>
      <c r="E455" s="6"/>
      <c r="F455" s="6" t="b">
        <f t="shared" si="1"/>
        <v>0</v>
      </c>
    </row>
    <row r="456" ht="15.75" customHeight="1">
      <c r="A456" s="7" t="s">
        <v>773</v>
      </c>
      <c r="B456" s="4" t="s">
        <v>774</v>
      </c>
      <c r="C456" s="5" t="s">
        <v>6</v>
      </c>
      <c r="D456" s="6" t="s">
        <v>772</v>
      </c>
      <c r="E456" s="6"/>
      <c r="F456" s="6" t="b">
        <f t="shared" si="1"/>
        <v>0</v>
      </c>
    </row>
    <row r="457" ht="15.75" customHeight="1">
      <c r="A457" s="7" t="s">
        <v>775</v>
      </c>
      <c r="B457" s="4" t="s">
        <v>776</v>
      </c>
      <c r="C457" s="8"/>
      <c r="D457" s="6" t="s">
        <v>764</v>
      </c>
      <c r="E457" s="6"/>
      <c r="F457" s="6" t="b">
        <f t="shared" si="1"/>
        <v>0</v>
      </c>
    </row>
    <row r="458" ht="15.75" customHeight="1">
      <c r="A458" s="7" t="s">
        <v>777</v>
      </c>
      <c r="B458" s="4" t="s">
        <v>778</v>
      </c>
      <c r="C458" s="5" t="s">
        <v>16</v>
      </c>
      <c r="D458" s="6" t="s">
        <v>779</v>
      </c>
      <c r="E458" s="6"/>
      <c r="F458" s="6" t="b">
        <f t="shared" si="1"/>
        <v>0</v>
      </c>
    </row>
    <row r="459" ht="15.75" customHeight="1">
      <c r="A459" s="7" t="s">
        <v>780</v>
      </c>
      <c r="B459" s="4" t="s">
        <v>781</v>
      </c>
      <c r="C459" s="6"/>
      <c r="D459" s="6" t="s">
        <v>764</v>
      </c>
      <c r="E459" s="6"/>
      <c r="F459" s="6" t="b">
        <f t="shared" si="1"/>
        <v>0</v>
      </c>
    </row>
    <row r="460" ht="15.75" customHeight="1">
      <c r="A460" s="7" t="s">
        <v>782</v>
      </c>
      <c r="B460" s="4" t="s">
        <v>783</v>
      </c>
      <c r="C460" s="5" t="s">
        <v>6</v>
      </c>
      <c r="D460" s="6" t="s">
        <v>784</v>
      </c>
      <c r="E460" s="6"/>
      <c r="F460" s="6" t="b">
        <f t="shared" si="1"/>
        <v>0</v>
      </c>
    </row>
    <row r="461" ht="15.75" customHeight="1">
      <c r="A461" s="7" t="s">
        <v>785</v>
      </c>
      <c r="B461" s="4" t="s">
        <v>786</v>
      </c>
      <c r="C461" s="5" t="s">
        <v>6</v>
      </c>
      <c r="D461" s="6" t="s">
        <v>787</v>
      </c>
      <c r="E461" s="6"/>
      <c r="F461" s="6" t="b">
        <f t="shared" si="1"/>
        <v>0</v>
      </c>
    </row>
    <row r="462" ht="15.75" customHeight="1">
      <c r="A462" s="7" t="s">
        <v>788</v>
      </c>
      <c r="B462" s="4" t="s">
        <v>789</v>
      </c>
      <c r="C462" s="5" t="s">
        <v>6</v>
      </c>
      <c r="D462" s="6" t="s">
        <v>10</v>
      </c>
      <c r="E462" s="6"/>
      <c r="F462" s="6" t="b">
        <f t="shared" si="1"/>
        <v>0</v>
      </c>
    </row>
    <row r="463" ht="15.75" customHeight="1">
      <c r="A463" s="7" t="s">
        <v>790</v>
      </c>
      <c r="B463" s="4" t="s">
        <v>791</v>
      </c>
      <c r="C463" s="5" t="s">
        <v>6</v>
      </c>
      <c r="D463" s="6" t="s">
        <v>753</v>
      </c>
      <c r="E463" s="6"/>
      <c r="F463" s="6" t="b">
        <f t="shared" si="1"/>
        <v>0</v>
      </c>
    </row>
    <row r="464" ht="15.75" customHeight="1">
      <c r="A464" s="7" t="s">
        <v>792</v>
      </c>
      <c r="B464" s="4" t="s">
        <v>793</v>
      </c>
      <c r="C464" s="8"/>
      <c r="D464" s="6" t="s">
        <v>764</v>
      </c>
      <c r="E464" s="6"/>
      <c r="F464" s="6" t="b">
        <f t="shared" si="1"/>
        <v>0</v>
      </c>
    </row>
    <row r="465" ht="15.75" customHeight="1">
      <c r="A465" s="3" t="s">
        <v>794</v>
      </c>
      <c r="B465" s="4"/>
      <c r="C465" s="5"/>
      <c r="D465" s="5"/>
      <c r="E465" s="6"/>
      <c r="F465" s="6" t="b">
        <f t="shared" si="1"/>
        <v>0</v>
      </c>
    </row>
    <row r="466" ht="15.75" customHeight="1">
      <c r="A466" s="3" t="s">
        <v>795</v>
      </c>
      <c r="B466" s="4"/>
      <c r="C466" s="5"/>
      <c r="D466" s="5"/>
      <c r="E466" s="6"/>
      <c r="F466" s="6" t="b">
        <f t="shared" si="1"/>
        <v>0</v>
      </c>
    </row>
    <row r="467" ht="15.75" customHeight="1">
      <c r="A467" s="7" t="s">
        <v>796</v>
      </c>
      <c r="B467" s="4" t="s">
        <v>797</v>
      </c>
      <c r="C467" s="5" t="s">
        <v>6</v>
      </c>
      <c r="D467" s="6" t="s">
        <v>13</v>
      </c>
      <c r="E467" s="6"/>
      <c r="F467" s="6" t="b">
        <f t="shared" si="1"/>
        <v>0</v>
      </c>
    </row>
    <row r="468" ht="15.75" customHeight="1">
      <c r="A468" s="7" t="s">
        <v>798</v>
      </c>
      <c r="B468" s="4" t="s">
        <v>799</v>
      </c>
      <c r="C468" s="5" t="s">
        <v>16</v>
      </c>
      <c r="D468" s="6" t="s">
        <v>800</v>
      </c>
      <c r="E468" s="6"/>
      <c r="F468" s="6" t="b">
        <f t="shared" si="1"/>
        <v>0</v>
      </c>
    </row>
    <row r="469" ht="15.75" customHeight="1">
      <c r="A469" s="7" t="s">
        <v>801</v>
      </c>
      <c r="B469" s="4" t="s">
        <v>802</v>
      </c>
      <c r="C469" s="8"/>
      <c r="D469" s="6" t="s">
        <v>36</v>
      </c>
      <c r="E469" s="6"/>
      <c r="F469" s="6" t="b">
        <f t="shared" si="1"/>
        <v>0</v>
      </c>
    </row>
    <row r="470" ht="15.75" customHeight="1">
      <c r="A470" s="7" t="s">
        <v>803</v>
      </c>
      <c r="B470" s="4" t="s">
        <v>804</v>
      </c>
      <c r="C470" s="8"/>
      <c r="D470" s="6" t="s">
        <v>36</v>
      </c>
      <c r="E470" s="6"/>
      <c r="F470" s="6" t="b">
        <f t="shared" si="1"/>
        <v>0</v>
      </c>
    </row>
    <row r="471" ht="15.75" customHeight="1">
      <c r="A471" s="7" t="s">
        <v>805</v>
      </c>
      <c r="B471" s="4" t="s">
        <v>806</v>
      </c>
      <c r="C471" s="8"/>
      <c r="D471" s="6" t="s">
        <v>36</v>
      </c>
      <c r="E471" s="6"/>
      <c r="F471" s="6" t="b">
        <f t="shared" si="1"/>
        <v>0</v>
      </c>
    </row>
    <row r="472" ht="15.75" customHeight="1">
      <c r="A472" s="7" t="s">
        <v>807</v>
      </c>
      <c r="B472" s="4" t="s">
        <v>808</v>
      </c>
      <c r="C472" s="5" t="s">
        <v>6</v>
      </c>
      <c r="D472" s="6" t="s">
        <v>761</v>
      </c>
      <c r="E472" s="6"/>
      <c r="F472" s="6" t="b">
        <f t="shared" si="1"/>
        <v>0</v>
      </c>
    </row>
    <row r="473" ht="15.75" customHeight="1">
      <c r="A473" s="3" t="s">
        <v>809</v>
      </c>
      <c r="B473" s="4"/>
      <c r="C473" s="5"/>
      <c r="D473" s="5"/>
      <c r="E473" s="6"/>
      <c r="F473" s="6" t="b">
        <f t="shared" si="1"/>
        <v>0</v>
      </c>
    </row>
    <row r="474" ht="15.75" customHeight="1">
      <c r="A474" s="7" t="s">
        <v>810</v>
      </c>
      <c r="B474" s="4" t="s">
        <v>811</v>
      </c>
      <c r="C474" s="5" t="s">
        <v>6</v>
      </c>
      <c r="D474" s="6" t="s">
        <v>10</v>
      </c>
      <c r="E474" s="6"/>
      <c r="F474" s="6" t="b">
        <f t="shared" si="1"/>
        <v>0</v>
      </c>
    </row>
    <row r="475" ht="15.75" customHeight="1">
      <c r="A475" s="7" t="s">
        <v>812</v>
      </c>
      <c r="B475" s="4" t="s">
        <v>813</v>
      </c>
      <c r="C475" s="5" t="s">
        <v>16</v>
      </c>
      <c r="D475" s="6" t="s">
        <v>748</v>
      </c>
      <c r="E475" s="6"/>
      <c r="F475" s="6" t="b">
        <f t="shared" si="1"/>
        <v>0</v>
      </c>
    </row>
    <row r="476" ht="15.75" customHeight="1">
      <c r="A476" s="7" t="s">
        <v>814</v>
      </c>
      <c r="B476" s="4" t="s">
        <v>815</v>
      </c>
      <c r="C476" s="5" t="s">
        <v>6</v>
      </c>
      <c r="D476" s="6" t="s">
        <v>7</v>
      </c>
      <c r="E476" s="6"/>
      <c r="F476" s="6" t="b">
        <f t="shared" si="1"/>
        <v>0</v>
      </c>
    </row>
    <row r="477" ht="15.75" customHeight="1">
      <c r="A477" s="7" t="s">
        <v>816</v>
      </c>
      <c r="B477" s="4" t="s">
        <v>817</v>
      </c>
      <c r="C477" s="8"/>
      <c r="D477" s="6" t="s">
        <v>36</v>
      </c>
      <c r="E477" s="6"/>
      <c r="F477" s="6" t="b">
        <f t="shared" si="1"/>
        <v>0</v>
      </c>
    </row>
    <row r="478" ht="15.75" customHeight="1">
      <c r="A478" s="7" t="s">
        <v>818</v>
      </c>
      <c r="B478" s="4" t="s">
        <v>819</v>
      </c>
      <c r="C478" s="5" t="s">
        <v>6</v>
      </c>
      <c r="D478" s="6" t="s">
        <v>820</v>
      </c>
      <c r="E478" s="6"/>
      <c r="F478" s="6" t="b">
        <f t="shared" si="1"/>
        <v>0</v>
      </c>
    </row>
    <row r="479" ht="15.75" customHeight="1">
      <c r="A479" s="7" t="s">
        <v>821</v>
      </c>
      <c r="B479" s="4" t="s">
        <v>822</v>
      </c>
      <c r="C479" s="5" t="s">
        <v>6</v>
      </c>
      <c r="D479" s="6" t="s">
        <v>823</v>
      </c>
      <c r="E479" s="6"/>
      <c r="F479" s="6" t="b">
        <f t="shared" si="1"/>
        <v>0</v>
      </c>
    </row>
    <row r="480" ht="15.75" customHeight="1">
      <c r="A480" s="7" t="s">
        <v>824</v>
      </c>
      <c r="B480" s="4" t="s">
        <v>825</v>
      </c>
      <c r="C480" s="5" t="s">
        <v>6</v>
      </c>
      <c r="D480" s="6" t="s">
        <v>10</v>
      </c>
      <c r="E480" s="6"/>
      <c r="F480" s="6" t="b">
        <f t="shared" si="1"/>
        <v>0</v>
      </c>
    </row>
    <row r="481" ht="15.75" customHeight="1">
      <c r="A481" s="7" t="s">
        <v>826</v>
      </c>
      <c r="B481" s="4" t="s">
        <v>827</v>
      </c>
      <c r="C481" s="5" t="s">
        <v>6</v>
      </c>
      <c r="D481" s="6" t="s">
        <v>828</v>
      </c>
      <c r="E481" s="6"/>
      <c r="F481" s="6" t="b">
        <f t="shared" si="1"/>
        <v>0</v>
      </c>
    </row>
    <row r="482" ht="15.75" customHeight="1">
      <c r="A482" s="3" t="s">
        <v>829</v>
      </c>
      <c r="B482" s="4"/>
      <c r="C482" s="5"/>
      <c r="D482" s="5"/>
      <c r="E482" s="6"/>
      <c r="F482" s="6" t="b">
        <f t="shared" si="1"/>
        <v>0</v>
      </c>
    </row>
    <row r="483" ht="15.75" customHeight="1">
      <c r="A483" s="7" t="s">
        <v>830</v>
      </c>
      <c r="B483" s="4" t="s">
        <v>831</v>
      </c>
      <c r="C483" s="5" t="s">
        <v>6</v>
      </c>
      <c r="D483" s="6" t="s">
        <v>761</v>
      </c>
      <c r="E483" s="6"/>
      <c r="F483" s="6" t="b">
        <f t="shared" si="1"/>
        <v>0</v>
      </c>
    </row>
    <row r="484" ht="15.75" customHeight="1">
      <c r="A484" s="7" t="s">
        <v>832</v>
      </c>
      <c r="B484" s="4" t="s">
        <v>833</v>
      </c>
      <c r="C484" s="5" t="s">
        <v>6</v>
      </c>
      <c r="D484" s="6" t="s">
        <v>10</v>
      </c>
      <c r="E484" s="6"/>
      <c r="F484" s="6" t="b">
        <f t="shared" si="1"/>
        <v>0</v>
      </c>
    </row>
    <row r="485" ht="15.75" customHeight="1">
      <c r="A485" s="3" t="s">
        <v>834</v>
      </c>
      <c r="B485" s="4"/>
      <c r="C485" s="5"/>
      <c r="D485" s="5"/>
      <c r="E485" s="6"/>
      <c r="F485" s="6" t="b">
        <f t="shared" si="1"/>
        <v>0</v>
      </c>
    </row>
    <row r="486" ht="15.75" customHeight="1">
      <c r="A486" s="7" t="s">
        <v>835</v>
      </c>
      <c r="B486" s="4" t="s">
        <v>836</v>
      </c>
      <c r="C486" s="5" t="s">
        <v>6</v>
      </c>
      <c r="D486" s="6" t="s">
        <v>7</v>
      </c>
      <c r="E486" s="6"/>
      <c r="F486" s="6" t="b">
        <f t="shared" si="1"/>
        <v>0</v>
      </c>
    </row>
    <row r="487" ht="15.75" customHeight="1">
      <c r="A487" s="7" t="s">
        <v>837</v>
      </c>
      <c r="B487" s="4" t="s">
        <v>838</v>
      </c>
      <c r="C487" s="5" t="s">
        <v>6</v>
      </c>
      <c r="D487" s="6" t="s">
        <v>10</v>
      </c>
      <c r="E487" s="6"/>
      <c r="F487" s="6" t="b">
        <f t="shared" si="1"/>
        <v>0</v>
      </c>
    </row>
    <row r="488" ht="15.75" customHeight="1">
      <c r="A488" s="7" t="s">
        <v>839</v>
      </c>
      <c r="B488" s="4" t="s">
        <v>840</v>
      </c>
      <c r="C488" s="5" t="s">
        <v>6</v>
      </c>
      <c r="D488" s="6" t="s">
        <v>841</v>
      </c>
      <c r="E488" s="6"/>
      <c r="F488" s="6" t="b">
        <f t="shared" si="1"/>
        <v>0</v>
      </c>
    </row>
    <row r="489" ht="15.75" customHeight="1">
      <c r="A489" s="3" t="s">
        <v>842</v>
      </c>
      <c r="B489" s="4"/>
      <c r="C489" s="5"/>
      <c r="D489" s="5"/>
      <c r="E489" s="6"/>
      <c r="F489" s="6" t="b">
        <f t="shared" si="1"/>
        <v>0</v>
      </c>
    </row>
    <row r="490" ht="15.75" customHeight="1">
      <c r="A490" s="7" t="s">
        <v>843</v>
      </c>
      <c r="B490" s="4" t="s">
        <v>844</v>
      </c>
      <c r="C490" s="5" t="s">
        <v>6</v>
      </c>
      <c r="D490" s="6" t="s">
        <v>10</v>
      </c>
      <c r="E490" s="6"/>
      <c r="F490" s="6" t="b">
        <f t="shared" si="1"/>
        <v>0</v>
      </c>
    </row>
    <row r="491" ht="15.75" customHeight="1">
      <c r="A491" s="3" t="s">
        <v>845</v>
      </c>
      <c r="B491" s="4"/>
      <c r="C491" s="5"/>
      <c r="D491" s="5"/>
      <c r="E491" s="6"/>
      <c r="F491" s="6" t="b">
        <f t="shared" si="1"/>
        <v>0</v>
      </c>
    </row>
    <row r="492" ht="15.75" customHeight="1">
      <c r="A492" s="7" t="s">
        <v>846</v>
      </c>
      <c r="B492" s="4" t="s">
        <v>847</v>
      </c>
      <c r="C492" s="5" t="s">
        <v>6</v>
      </c>
      <c r="D492" s="6" t="s">
        <v>848</v>
      </c>
      <c r="E492" s="6"/>
      <c r="F492" s="6" t="b">
        <f t="shared" si="1"/>
        <v>0</v>
      </c>
    </row>
    <row r="493" ht="15.75" customHeight="1">
      <c r="A493" s="7" t="s">
        <v>849</v>
      </c>
      <c r="B493" s="4" t="s">
        <v>850</v>
      </c>
      <c r="C493" s="5" t="s">
        <v>6</v>
      </c>
      <c r="D493" s="6" t="s">
        <v>10</v>
      </c>
      <c r="E493" s="6"/>
      <c r="F493" s="6" t="b">
        <f t="shared" si="1"/>
        <v>0</v>
      </c>
    </row>
    <row r="494" ht="15.75" customHeight="1">
      <c r="A494" s="7" t="s">
        <v>851</v>
      </c>
      <c r="B494" s="4" t="s">
        <v>852</v>
      </c>
      <c r="C494" s="5" t="s">
        <v>6</v>
      </c>
      <c r="D494" s="6" t="s">
        <v>853</v>
      </c>
      <c r="E494" s="6"/>
      <c r="F494" s="6" t="b">
        <f t="shared" si="1"/>
        <v>0</v>
      </c>
    </row>
    <row r="495" ht="15.75" customHeight="1">
      <c r="A495" s="7" t="s">
        <v>854</v>
      </c>
      <c r="B495" s="4" t="s">
        <v>855</v>
      </c>
      <c r="C495" s="5" t="s">
        <v>6</v>
      </c>
      <c r="D495" s="6" t="s">
        <v>856</v>
      </c>
      <c r="E495" s="6"/>
      <c r="F495" s="6" t="b">
        <f t="shared" si="1"/>
        <v>0</v>
      </c>
    </row>
    <row r="496" ht="15.75" customHeight="1">
      <c r="A496" s="7" t="s">
        <v>857</v>
      </c>
      <c r="B496" s="4" t="s">
        <v>858</v>
      </c>
      <c r="C496" s="5" t="s">
        <v>16</v>
      </c>
      <c r="D496" s="6" t="s">
        <v>800</v>
      </c>
      <c r="E496" s="6"/>
      <c r="F496" s="6" t="b">
        <f t="shared" si="1"/>
        <v>0</v>
      </c>
    </row>
    <row r="497" ht="15.75" customHeight="1">
      <c r="A497" s="7" t="s">
        <v>859</v>
      </c>
      <c r="B497" s="4" t="s">
        <v>860</v>
      </c>
      <c r="C497" s="8"/>
      <c r="D497" s="6" t="s">
        <v>36</v>
      </c>
      <c r="E497" s="6"/>
      <c r="F497" s="6" t="b">
        <f t="shared" si="1"/>
        <v>0</v>
      </c>
    </row>
    <row r="498" ht="15.75" customHeight="1">
      <c r="A498" s="7" t="s">
        <v>861</v>
      </c>
      <c r="B498" s="4" t="s">
        <v>862</v>
      </c>
      <c r="C498" s="5" t="s">
        <v>6</v>
      </c>
      <c r="D498" s="6" t="s">
        <v>863</v>
      </c>
      <c r="E498" s="6"/>
      <c r="F498" s="6" t="b">
        <f t="shared" si="1"/>
        <v>0</v>
      </c>
    </row>
    <row r="499" ht="15.75" customHeight="1">
      <c r="A499" s="7" t="s">
        <v>864</v>
      </c>
      <c r="B499" s="4" t="s">
        <v>865</v>
      </c>
      <c r="C499" s="8"/>
      <c r="D499" s="6" t="s">
        <v>36</v>
      </c>
      <c r="E499" s="6"/>
      <c r="F499" s="6" t="b">
        <f t="shared" si="1"/>
        <v>0</v>
      </c>
    </row>
    <row r="500" ht="15.75" customHeight="1">
      <c r="A500" s="7" t="s">
        <v>866</v>
      </c>
      <c r="B500" s="4" t="s">
        <v>867</v>
      </c>
      <c r="C500" s="8"/>
      <c r="D500" s="6" t="s">
        <v>36</v>
      </c>
      <c r="E500" s="6"/>
      <c r="F500" s="6" t="b">
        <f t="shared" si="1"/>
        <v>0</v>
      </c>
    </row>
    <row r="501" ht="15.75" customHeight="1">
      <c r="A501" s="7" t="s">
        <v>868</v>
      </c>
      <c r="B501" s="4" t="s">
        <v>869</v>
      </c>
      <c r="C501" s="5" t="s">
        <v>6</v>
      </c>
      <c r="D501" s="6" t="s">
        <v>761</v>
      </c>
      <c r="E501" s="6"/>
      <c r="F501" s="6" t="b">
        <f t="shared" si="1"/>
        <v>0</v>
      </c>
    </row>
    <row r="502" ht="15.75" customHeight="1">
      <c r="A502" s="7" t="s">
        <v>870</v>
      </c>
      <c r="B502" s="4" t="s">
        <v>871</v>
      </c>
      <c r="C502" s="5" t="s">
        <v>6</v>
      </c>
      <c r="D502" s="6" t="s">
        <v>863</v>
      </c>
      <c r="E502" s="6"/>
      <c r="F502" s="6" t="b">
        <f t="shared" si="1"/>
        <v>0</v>
      </c>
    </row>
    <row r="503" ht="15.75" customHeight="1">
      <c r="A503" s="7" t="s">
        <v>872</v>
      </c>
      <c r="B503" s="4" t="s">
        <v>873</v>
      </c>
      <c r="C503" s="5" t="s">
        <v>6</v>
      </c>
      <c r="D503" s="6" t="s">
        <v>874</v>
      </c>
      <c r="E503" s="6"/>
      <c r="F503" s="6" t="b">
        <f t="shared" si="1"/>
        <v>0</v>
      </c>
    </row>
    <row r="504" ht="15.75" customHeight="1">
      <c r="A504" s="7" t="s">
        <v>875</v>
      </c>
      <c r="B504" s="4" t="s">
        <v>876</v>
      </c>
      <c r="C504" s="5" t="s">
        <v>6</v>
      </c>
      <c r="D504" s="6" t="s">
        <v>877</v>
      </c>
      <c r="E504" s="6"/>
      <c r="F504" s="6" t="b">
        <f t="shared" si="1"/>
        <v>0</v>
      </c>
    </row>
    <row r="505" ht="15.75" customHeight="1">
      <c r="A505" s="3" t="s">
        <v>878</v>
      </c>
      <c r="B505" s="4"/>
      <c r="C505" s="5"/>
      <c r="D505" s="5"/>
      <c r="E505" s="6"/>
      <c r="F505" s="6" t="b">
        <f t="shared" si="1"/>
        <v>0</v>
      </c>
    </row>
    <row r="506" ht="15.75" customHeight="1">
      <c r="A506" s="7" t="s">
        <v>879</v>
      </c>
      <c r="B506" s="4" t="s">
        <v>880</v>
      </c>
      <c r="C506" s="5" t="s">
        <v>6</v>
      </c>
      <c r="D506" s="6" t="s">
        <v>881</v>
      </c>
      <c r="E506" s="6"/>
      <c r="F506" s="6" t="b">
        <f t="shared" si="1"/>
        <v>0</v>
      </c>
    </row>
    <row r="507" ht="15.75" customHeight="1">
      <c r="A507" s="7" t="s">
        <v>882</v>
      </c>
      <c r="B507" s="4" t="s">
        <v>883</v>
      </c>
      <c r="C507" s="5" t="s">
        <v>16</v>
      </c>
      <c r="D507" s="6" t="s">
        <v>884</v>
      </c>
      <c r="E507" s="6"/>
      <c r="F507" s="6" t="b">
        <f t="shared" si="1"/>
        <v>0</v>
      </c>
    </row>
    <row r="508" ht="15.75" customHeight="1">
      <c r="A508" s="7" t="s">
        <v>885</v>
      </c>
      <c r="B508" s="4" t="s">
        <v>886</v>
      </c>
      <c r="C508" s="8"/>
      <c r="D508" s="6" t="s">
        <v>36</v>
      </c>
      <c r="E508" s="6"/>
      <c r="F508" s="6" t="b">
        <f t="shared" si="1"/>
        <v>0</v>
      </c>
    </row>
    <row r="509" ht="15.75" customHeight="1">
      <c r="A509" s="7" t="s">
        <v>887</v>
      </c>
      <c r="B509" s="4" t="s">
        <v>888</v>
      </c>
      <c r="C509" s="5" t="s">
        <v>16</v>
      </c>
      <c r="D509" s="6" t="s">
        <v>889</v>
      </c>
      <c r="E509" s="6"/>
      <c r="F509" s="6" t="b">
        <f t="shared" si="1"/>
        <v>0</v>
      </c>
    </row>
    <row r="510" ht="15.75" customHeight="1">
      <c r="A510" s="7" t="s">
        <v>890</v>
      </c>
      <c r="B510" s="4" t="s">
        <v>891</v>
      </c>
      <c r="C510" s="5" t="s">
        <v>16</v>
      </c>
      <c r="D510" s="6" t="s">
        <v>892</v>
      </c>
      <c r="E510" s="6"/>
      <c r="F510" s="6" t="b">
        <f t="shared" si="1"/>
        <v>0</v>
      </c>
    </row>
    <row r="511" ht="15.75" customHeight="1">
      <c r="A511" s="7" t="s">
        <v>893</v>
      </c>
      <c r="B511" s="4" t="s">
        <v>894</v>
      </c>
      <c r="C511" s="5" t="s">
        <v>6</v>
      </c>
      <c r="D511" s="6" t="s">
        <v>895</v>
      </c>
      <c r="E511" s="6"/>
      <c r="F511" s="6" t="b">
        <f t="shared" si="1"/>
        <v>0</v>
      </c>
    </row>
    <row r="512" ht="15.75" customHeight="1">
      <c r="A512" s="7" t="s">
        <v>896</v>
      </c>
      <c r="B512" s="4" t="s">
        <v>897</v>
      </c>
      <c r="C512" s="5" t="s">
        <v>16</v>
      </c>
      <c r="D512" s="6" t="s">
        <v>800</v>
      </c>
      <c r="E512" s="6"/>
      <c r="F512" s="6" t="b">
        <f t="shared" si="1"/>
        <v>0</v>
      </c>
    </row>
    <row r="513" ht="15.75" customHeight="1">
      <c r="A513" s="7" t="s">
        <v>898</v>
      </c>
      <c r="B513" s="4" t="s">
        <v>899</v>
      </c>
      <c r="C513" s="5" t="s">
        <v>6</v>
      </c>
      <c r="D513" s="6" t="s">
        <v>42</v>
      </c>
      <c r="E513" s="6"/>
      <c r="F513" s="6" t="b">
        <f t="shared" si="1"/>
        <v>0</v>
      </c>
    </row>
    <row r="514" ht="15.75" customHeight="1">
      <c r="A514" s="3" t="s">
        <v>900</v>
      </c>
      <c r="B514" s="4"/>
      <c r="C514" s="5"/>
      <c r="D514" s="5"/>
      <c r="E514" s="6"/>
      <c r="F514" s="6" t="b">
        <f t="shared" si="1"/>
        <v>0</v>
      </c>
    </row>
    <row r="515" ht="15.75" customHeight="1">
      <c r="A515" s="7" t="s">
        <v>901</v>
      </c>
      <c r="B515" s="4" t="s">
        <v>902</v>
      </c>
      <c r="C515" s="5" t="s">
        <v>6</v>
      </c>
      <c r="D515" s="6" t="s">
        <v>28</v>
      </c>
      <c r="E515" s="6"/>
      <c r="F515" s="6" t="b">
        <f t="shared" si="1"/>
        <v>0</v>
      </c>
    </row>
    <row r="516" ht="15.75" customHeight="1">
      <c r="A516" s="7" t="s">
        <v>903</v>
      </c>
      <c r="B516" s="4" t="s">
        <v>904</v>
      </c>
      <c r="C516" s="5" t="s">
        <v>6</v>
      </c>
      <c r="D516" s="6" t="s">
        <v>905</v>
      </c>
      <c r="E516" s="6"/>
      <c r="F516" s="6" t="b">
        <f t="shared" si="1"/>
        <v>0</v>
      </c>
    </row>
    <row r="517" ht="15.75" customHeight="1">
      <c r="A517" s="3" t="s">
        <v>906</v>
      </c>
      <c r="B517" s="4"/>
      <c r="C517" s="5"/>
      <c r="D517" s="5"/>
      <c r="E517" s="6"/>
      <c r="F517" s="6" t="b">
        <f t="shared" si="1"/>
        <v>0</v>
      </c>
    </row>
    <row r="518" ht="15.75" customHeight="1">
      <c r="A518" s="7" t="s">
        <v>907</v>
      </c>
      <c r="B518" s="4" t="s">
        <v>908</v>
      </c>
      <c r="C518" s="5" t="s">
        <v>6</v>
      </c>
      <c r="D518" s="6" t="s">
        <v>7</v>
      </c>
      <c r="E518" s="6"/>
      <c r="F518" s="6" t="b">
        <f t="shared" si="1"/>
        <v>0</v>
      </c>
    </row>
    <row r="519" ht="15.75" customHeight="1">
      <c r="A519" s="7" t="s">
        <v>909</v>
      </c>
      <c r="B519" s="4" t="s">
        <v>910</v>
      </c>
      <c r="C519" s="5" t="s">
        <v>16</v>
      </c>
      <c r="D519" s="6" t="s">
        <v>911</v>
      </c>
      <c r="E519" s="6"/>
      <c r="F519" s="6" t="b">
        <f t="shared" si="1"/>
        <v>0</v>
      </c>
    </row>
    <row r="520" ht="15.75" customHeight="1">
      <c r="A520" s="7" t="s">
        <v>912</v>
      </c>
      <c r="B520" s="4" t="s">
        <v>913</v>
      </c>
      <c r="C520" s="5" t="s">
        <v>16</v>
      </c>
      <c r="D520" s="6" t="s">
        <v>914</v>
      </c>
      <c r="E520" s="6"/>
      <c r="F520" s="6" t="b">
        <f t="shared" si="1"/>
        <v>0</v>
      </c>
    </row>
    <row r="521" ht="15.75" customHeight="1">
      <c r="A521" s="7" t="s">
        <v>915</v>
      </c>
      <c r="B521" s="4" t="s">
        <v>916</v>
      </c>
      <c r="C521" s="5" t="s">
        <v>6</v>
      </c>
      <c r="D521" s="6" t="s">
        <v>28</v>
      </c>
      <c r="E521" s="6"/>
      <c r="F521" s="6" t="b">
        <f t="shared" si="1"/>
        <v>0</v>
      </c>
    </row>
    <row r="522" ht="15.75" customHeight="1">
      <c r="A522" s="7" t="s">
        <v>917</v>
      </c>
      <c r="B522" s="4" t="s">
        <v>918</v>
      </c>
      <c r="C522" s="5" t="s">
        <v>6</v>
      </c>
      <c r="D522" s="6" t="s">
        <v>863</v>
      </c>
      <c r="E522" s="6"/>
      <c r="F522" s="6" t="b">
        <f t="shared" si="1"/>
        <v>0</v>
      </c>
    </row>
    <row r="523" ht="15.75" customHeight="1">
      <c r="A523" s="7" t="s">
        <v>919</v>
      </c>
      <c r="B523" s="4" t="s">
        <v>920</v>
      </c>
      <c r="C523" s="8"/>
      <c r="D523" s="6" t="s">
        <v>36</v>
      </c>
      <c r="E523" s="6"/>
      <c r="F523" s="6" t="b">
        <f t="shared" si="1"/>
        <v>0</v>
      </c>
    </row>
    <row r="524" ht="15.75" customHeight="1">
      <c r="A524" s="7" t="s">
        <v>921</v>
      </c>
      <c r="B524" s="4" t="s">
        <v>922</v>
      </c>
      <c r="C524" s="8"/>
      <c r="D524" s="6" t="s">
        <v>36</v>
      </c>
      <c r="E524" s="6"/>
      <c r="F524" s="6" t="b">
        <f t="shared" si="1"/>
        <v>0</v>
      </c>
    </row>
    <row r="525" ht="15.75" customHeight="1">
      <c r="A525" s="7" t="s">
        <v>923</v>
      </c>
      <c r="B525" s="4" t="s">
        <v>924</v>
      </c>
      <c r="C525" s="5" t="s">
        <v>6</v>
      </c>
      <c r="D525" s="6" t="s">
        <v>42</v>
      </c>
      <c r="E525" s="6"/>
      <c r="F525" s="6" t="b">
        <f t="shared" si="1"/>
        <v>0</v>
      </c>
    </row>
    <row r="526" ht="15.75" customHeight="1">
      <c r="A526" s="7" t="s">
        <v>925</v>
      </c>
      <c r="B526" s="4" t="s">
        <v>926</v>
      </c>
      <c r="C526" s="5" t="s">
        <v>16</v>
      </c>
      <c r="D526" s="6" t="s">
        <v>927</v>
      </c>
      <c r="E526" s="6"/>
      <c r="F526" s="6" t="b">
        <f t="shared" si="1"/>
        <v>0</v>
      </c>
    </row>
    <row r="527" ht="15.75" customHeight="1">
      <c r="A527" s="7" t="s">
        <v>928</v>
      </c>
      <c r="B527" s="4" t="s">
        <v>929</v>
      </c>
      <c r="C527" s="5" t="s">
        <v>6</v>
      </c>
      <c r="D527" s="6" t="s">
        <v>42</v>
      </c>
      <c r="E527" s="6"/>
      <c r="F527" s="6" t="b">
        <f t="shared" si="1"/>
        <v>0</v>
      </c>
    </row>
    <row r="528" ht="15.75" customHeight="1">
      <c r="A528" s="7" t="s">
        <v>930</v>
      </c>
      <c r="B528" s="4" t="s">
        <v>931</v>
      </c>
      <c r="C528" s="8"/>
      <c r="D528" s="6" t="s">
        <v>36</v>
      </c>
      <c r="E528" s="6"/>
      <c r="F528" s="6" t="b">
        <f t="shared" si="1"/>
        <v>0</v>
      </c>
    </row>
    <row r="529" ht="15.75" customHeight="1">
      <c r="A529" s="7" t="s">
        <v>932</v>
      </c>
      <c r="B529" s="4" t="s">
        <v>933</v>
      </c>
      <c r="C529" s="5" t="s">
        <v>6</v>
      </c>
      <c r="D529" s="6" t="s">
        <v>42</v>
      </c>
      <c r="E529" s="6"/>
      <c r="F529" s="6" t="b">
        <f t="shared" si="1"/>
        <v>0</v>
      </c>
    </row>
    <row r="530" ht="15.75" customHeight="1">
      <c r="A530" s="7" t="s">
        <v>934</v>
      </c>
      <c r="B530" s="4" t="s">
        <v>935</v>
      </c>
      <c r="C530" s="5" t="s">
        <v>16</v>
      </c>
      <c r="D530" s="6" t="s">
        <v>936</v>
      </c>
      <c r="E530" s="6"/>
      <c r="F530" s="6" t="b">
        <f t="shared" si="1"/>
        <v>0</v>
      </c>
    </row>
    <row r="531" ht="15.75" customHeight="1">
      <c r="A531" s="7" t="s">
        <v>937</v>
      </c>
      <c r="B531" s="4" t="s">
        <v>938</v>
      </c>
      <c r="C531" s="5" t="s">
        <v>16</v>
      </c>
      <c r="D531" s="6" t="s">
        <v>939</v>
      </c>
      <c r="E531" s="6"/>
      <c r="F531" s="6" t="b">
        <f t="shared" si="1"/>
        <v>0</v>
      </c>
    </row>
    <row r="532" ht="15.75" customHeight="1">
      <c r="A532" s="7" t="s">
        <v>940</v>
      </c>
      <c r="B532" s="4" t="s">
        <v>941</v>
      </c>
      <c r="C532" s="5" t="s">
        <v>6</v>
      </c>
      <c r="D532" s="6" t="s">
        <v>42</v>
      </c>
      <c r="E532" s="6"/>
      <c r="F532" s="6" t="b">
        <f t="shared" si="1"/>
        <v>0</v>
      </c>
    </row>
    <row r="533" ht="15.75" customHeight="1">
      <c r="A533" s="7" t="s">
        <v>942</v>
      </c>
      <c r="B533" s="4" t="s">
        <v>943</v>
      </c>
      <c r="C533" s="5" t="s">
        <v>6</v>
      </c>
      <c r="D533" s="6" t="s">
        <v>944</v>
      </c>
      <c r="E533" s="6"/>
      <c r="F533" s="6" t="b">
        <f t="shared" si="1"/>
        <v>0</v>
      </c>
    </row>
    <row r="534" ht="15.75" customHeight="1">
      <c r="A534" s="7" t="s">
        <v>945</v>
      </c>
      <c r="B534" s="4" t="s">
        <v>946</v>
      </c>
      <c r="C534" s="5" t="s">
        <v>6</v>
      </c>
      <c r="D534" s="6" t="s">
        <v>947</v>
      </c>
      <c r="E534" s="6"/>
      <c r="F534" s="6" t="b">
        <f t="shared" si="1"/>
        <v>0</v>
      </c>
    </row>
    <row r="535" ht="15.75" customHeight="1">
      <c r="A535" s="7" t="s">
        <v>948</v>
      </c>
      <c r="B535" s="4" t="s">
        <v>949</v>
      </c>
      <c r="C535" s="8"/>
      <c r="D535" s="6" t="s">
        <v>36</v>
      </c>
      <c r="E535" s="6"/>
      <c r="F535" s="6" t="b">
        <f t="shared" si="1"/>
        <v>0</v>
      </c>
    </row>
    <row r="536" ht="15.75" customHeight="1">
      <c r="A536" s="7" t="s">
        <v>950</v>
      </c>
      <c r="B536" s="4" t="s">
        <v>951</v>
      </c>
      <c r="C536" s="8"/>
      <c r="D536" s="6" t="s">
        <v>36</v>
      </c>
      <c r="E536" s="6"/>
      <c r="F536" s="6" t="b">
        <f t="shared" si="1"/>
        <v>0</v>
      </c>
    </row>
    <row r="537" ht="15.75" customHeight="1">
      <c r="A537" s="7" t="s">
        <v>952</v>
      </c>
      <c r="B537" s="4" t="s">
        <v>953</v>
      </c>
      <c r="C537" s="8"/>
      <c r="D537" s="6" t="s">
        <v>36</v>
      </c>
      <c r="E537" s="6"/>
      <c r="F537" s="6" t="b">
        <f t="shared" si="1"/>
        <v>0</v>
      </c>
    </row>
    <row r="538" ht="15.75" customHeight="1">
      <c r="A538" s="3" t="s">
        <v>954</v>
      </c>
      <c r="B538" s="4"/>
      <c r="C538" s="5"/>
      <c r="D538" s="5"/>
      <c r="E538" s="6"/>
      <c r="F538" s="6" t="b">
        <f t="shared" si="1"/>
        <v>0</v>
      </c>
    </row>
    <row r="539" ht="15.75" customHeight="1">
      <c r="A539" s="7" t="s">
        <v>955</v>
      </c>
      <c r="B539" s="4" t="s">
        <v>956</v>
      </c>
      <c r="C539" s="8"/>
      <c r="D539" s="6" t="s">
        <v>36</v>
      </c>
      <c r="E539" s="6"/>
      <c r="F539" s="6" t="b">
        <f t="shared" si="1"/>
        <v>0</v>
      </c>
    </row>
    <row r="540" ht="15.75" customHeight="1">
      <c r="A540" s="7" t="s">
        <v>957</v>
      </c>
      <c r="B540" s="4" t="s">
        <v>958</v>
      </c>
      <c r="C540" s="8"/>
      <c r="D540" s="6" t="s">
        <v>36</v>
      </c>
      <c r="E540" s="6"/>
      <c r="F540" s="6" t="b">
        <f t="shared" si="1"/>
        <v>0</v>
      </c>
    </row>
    <row r="541" ht="15.75" customHeight="1">
      <c r="A541" s="7" t="s">
        <v>959</v>
      </c>
      <c r="B541" s="4" t="s">
        <v>960</v>
      </c>
      <c r="C541" s="8"/>
      <c r="D541" s="6" t="s">
        <v>36</v>
      </c>
      <c r="E541" s="6"/>
      <c r="F541" s="6" t="b">
        <f t="shared" si="1"/>
        <v>0</v>
      </c>
    </row>
    <row r="542" ht="15.75" customHeight="1">
      <c r="A542" s="3" t="s">
        <v>961</v>
      </c>
      <c r="B542" s="4"/>
      <c r="C542" s="5"/>
      <c r="D542" s="5"/>
      <c r="E542" s="6"/>
      <c r="F542" s="6" t="b">
        <f t="shared" si="1"/>
        <v>0</v>
      </c>
    </row>
    <row r="543" ht="15.75" customHeight="1">
      <c r="A543" s="7" t="s">
        <v>962</v>
      </c>
      <c r="B543" s="4" t="s">
        <v>963</v>
      </c>
      <c r="C543" s="8"/>
      <c r="D543" s="6" t="s">
        <v>36</v>
      </c>
      <c r="E543" s="6"/>
      <c r="F543" s="6" t="b">
        <f t="shared" si="1"/>
        <v>0</v>
      </c>
    </row>
    <row r="544" ht="15.75" customHeight="1">
      <c r="A544" s="7" t="s">
        <v>964</v>
      </c>
      <c r="B544" s="4" t="s">
        <v>965</v>
      </c>
      <c r="C544" s="5" t="s">
        <v>16</v>
      </c>
      <c r="D544" s="6" t="s">
        <v>966</v>
      </c>
      <c r="E544" s="6"/>
      <c r="F544" s="6" t="b">
        <f t="shared" si="1"/>
        <v>0</v>
      </c>
    </row>
    <row r="545" ht="15.75" customHeight="1">
      <c r="A545" s="7" t="s">
        <v>967</v>
      </c>
      <c r="B545" s="4" t="s">
        <v>968</v>
      </c>
      <c r="C545" s="5" t="s">
        <v>6</v>
      </c>
      <c r="D545" s="6" t="s">
        <v>969</v>
      </c>
      <c r="E545" s="6"/>
      <c r="F545" s="6" t="b">
        <f t="shared" si="1"/>
        <v>0</v>
      </c>
    </row>
    <row r="546" ht="15.75" customHeight="1">
      <c r="A546" s="7" t="s">
        <v>970</v>
      </c>
      <c r="B546" s="4" t="s">
        <v>971</v>
      </c>
      <c r="C546" s="8"/>
      <c r="D546" s="6" t="s">
        <v>36</v>
      </c>
      <c r="E546" s="6"/>
      <c r="F546" s="6" t="b">
        <f t="shared" si="1"/>
        <v>0</v>
      </c>
    </row>
    <row r="547" ht="15.75" customHeight="1">
      <c r="A547" s="7" t="s">
        <v>972</v>
      </c>
      <c r="B547" s="4" t="s">
        <v>973</v>
      </c>
      <c r="C547" s="8"/>
      <c r="D547" s="6" t="s">
        <v>36</v>
      </c>
      <c r="E547" s="6"/>
      <c r="F547" s="6" t="b">
        <f t="shared" si="1"/>
        <v>0</v>
      </c>
    </row>
    <row r="548" ht="15.75" customHeight="1">
      <c r="A548" s="7" t="s">
        <v>974</v>
      </c>
      <c r="B548" s="4" t="s">
        <v>975</v>
      </c>
      <c r="C548" s="5" t="s">
        <v>16</v>
      </c>
      <c r="D548" s="6" t="s">
        <v>911</v>
      </c>
      <c r="E548" s="6"/>
      <c r="F548" s="6" t="b">
        <f t="shared" si="1"/>
        <v>0</v>
      </c>
    </row>
    <row r="549" ht="15.75" customHeight="1">
      <c r="A549" s="7" t="s">
        <v>976</v>
      </c>
      <c r="B549" s="4" t="s">
        <v>977</v>
      </c>
      <c r="C549" s="8"/>
      <c r="D549" s="6" t="s">
        <v>36</v>
      </c>
      <c r="E549" s="6"/>
      <c r="F549" s="6" t="b">
        <f t="shared" si="1"/>
        <v>0</v>
      </c>
    </row>
    <row r="550" ht="15.75" customHeight="1">
      <c r="A550" s="7" t="s">
        <v>978</v>
      </c>
      <c r="B550" s="4" t="s">
        <v>979</v>
      </c>
      <c r="C550" s="5" t="s">
        <v>6</v>
      </c>
      <c r="D550" s="6" t="s">
        <v>895</v>
      </c>
      <c r="E550" s="6"/>
      <c r="F550" s="6" t="b">
        <f t="shared" si="1"/>
        <v>0</v>
      </c>
    </row>
    <row r="551" ht="15.75" customHeight="1">
      <c r="A551" s="7" t="s">
        <v>980</v>
      </c>
      <c r="B551" s="4" t="s">
        <v>981</v>
      </c>
      <c r="C551" s="8"/>
      <c r="D551" s="6" t="s">
        <v>55</v>
      </c>
      <c r="E551" s="6"/>
      <c r="F551" s="6" t="b">
        <f t="shared" si="1"/>
        <v>0</v>
      </c>
    </row>
    <row r="552" ht="15.75" customHeight="1">
      <c r="A552" s="7" t="s">
        <v>982</v>
      </c>
      <c r="B552" s="4" t="s">
        <v>983</v>
      </c>
      <c r="C552" s="5" t="s">
        <v>16</v>
      </c>
      <c r="D552" s="6" t="s">
        <v>984</v>
      </c>
      <c r="E552" s="6"/>
      <c r="F552" s="6" t="b">
        <f t="shared" si="1"/>
        <v>0</v>
      </c>
    </row>
    <row r="553" ht="15.75" customHeight="1">
      <c r="A553" s="7" t="s">
        <v>985</v>
      </c>
      <c r="B553" s="4" t="s">
        <v>986</v>
      </c>
      <c r="C553" s="8"/>
      <c r="D553" s="6" t="s">
        <v>36</v>
      </c>
      <c r="E553" s="6"/>
      <c r="F553" s="6" t="b">
        <f t="shared" si="1"/>
        <v>0</v>
      </c>
    </row>
    <row r="554" ht="15.75" customHeight="1">
      <c r="A554" s="7" t="s">
        <v>987</v>
      </c>
      <c r="B554" s="4" t="s">
        <v>988</v>
      </c>
      <c r="C554" s="8"/>
      <c r="D554" s="6" t="s">
        <v>36</v>
      </c>
      <c r="E554" s="6"/>
      <c r="F554" s="6" t="b">
        <f t="shared" si="1"/>
        <v>0</v>
      </c>
    </row>
    <row r="555" ht="15.75" customHeight="1">
      <c r="A555" s="3" t="s">
        <v>989</v>
      </c>
      <c r="B555" s="4"/>
      <c r="C555" s="5"/>
      <c r="D555" s="5"/>
      <c r="E555" s="6"/>
      <c r="F555" s="6" t="b">
        <f t="shared" si="1"/>
        <v>0</v>
      </c>
    </row>
    <row r="556" ht="15.75" customHeight="1">
      <c r="A556" s="7" t="s">
        <v>990</v>
      </c>
      <c r="B556" s="4" t="s">
        <v>991</v>
      </c>
      <c r="C556" s="5" t="s">
        <v>6</v>
      </c>
      <c r="D556" s="6" t="s">
        <v>992</v>
      </c>
      <c r="E556" s="6"/>
      <c r="F556" s="6" t="b">
        <f t="shared" si="1"/>
        <v>0</v>
      </c>
    </row>
    <row r="557" ht="15.75" customHeight="1">
      <c r="A557" s="7" t="s">
        <v>993</v>
      </c>
      <c r="B557" s="4" t="s">
        <v>994</v>
      </c>
      <c r="C557" s="8"/>
      <c r="D557" s="6" t="s">
        <v>36</v>
      </c>
      <c r="E557" s="6"/>
      <c r="F557" s="6" t="b">
        <f t="shared" si="1"/>
        <v>0</v>
      </c>
    </row>
    <row r="558" ht="15.75" customHeight="1">
      <c r="A558" s="7" t="s">
        <v>995</v>
      </c>
      <c r="B558" s="4" t="s">
        <v>996</v>
      </c>
      <c r="C558" s="5" t="s">
        <v>6</v>
      </c>
      <c r="D558" s="6" t="s">
        <v>969</v>
      </c>
      <c r="E558" s="6"/>
      <c r="F558" s="6" t="b">
        <f t="shared" si="1"/>
        <v>0</v>
      </c>
    </row>
    <row r="559" ht="15.75" customHeight="1">
      <c r="A559" s="7" t="s">
        <v>997</v>
      </c>
      <c r="B559" s="4" t="s">
        <v>998</v>
      </c>
      <c r="C559" s="5" t="s">
        <v>16</v>
      </c>
      <c r="D559" s="6" t="s">
        <v>999</v>
      </c>
      <c r="E559" s="6"/>
      <c r="F559" s="6" t="b">
        <f t="shared" si="1"/>
        <v>0</v>
      </c>
    </row>
    <row r="560" ht="15.75" customHeight="1">
      <c r="A560" s="3" t="s">
        <v>1000</v>
      </c>
      <c r="B560" s="4"/>
      <c r="C560" s="5"/>
      <c r="D560" s="5"/>
      <c r="E560" s="6"/>
      <c r="F560" s="6" t="b">
        <f t="shared" si="1"/>
        <v>0</v>
      </c>
    </row>
    <row r="561" ht="15.75" customHeight="1">
      <c r="A561" s="7" t="s">
        <v>1001</v>
      </c>
      <c r="B561" s="4" t="s">
        <v>1002</v>
      </c>
      <c r="C561" s="8"/>
      <c r="D561" s="6" t="s">
        <v>55</v>
      </c>
      <c r="E561" s="6"/>
      <c r="F561" s="6" t="b">
        <f t="shared" si="1"/>
        <v>0</v>
      </c>
    </row>
    <row r="562" ht="15.75" customHeight="1">
      <c r="A562" s="7" t="s">
        <v>1003</v>
      </c>
      <c r="B562" s="4" t="s">
        <v>1004</v>
      </c>
      <c r="C562" s="5" t="s">
        <v>6</v>
      </c>
      <c r="D562" s="6" t="s">
        <v>895</v>
      </c>
      <c r="E562" s="6"/>
      <c r="F562" s="6" t="b">
        <f t="shared" si="1"/>
        <v>0</v>
      </c>
    </row>
    <row r="563" ht="15.75" customHeight="1">
      <c r="A563" s="7" t="s">
        <v>1005</v>
      </c>
      <c r="B563" s="4" t="s">
        <v>1006</v>
      </c>
      <c r="C563" s="5" t="s">
        <v>16</v>
      </c>
      <c r="D563" s="6" t="s">
        <v>884</v>
      </c>
      <c r="E563" s="6"/>
      <c r="F563" s="6" t="b">
        <f t="shared" si="1"/>
        <v>0</v>
      </c>
    </row>
    <row r="564" ht="15.75" customHeight="1">
      <c r="A564" s="7" t="s">
        <v>1007</v>
      </c>
      <c r="B564" s="4" t="s">
        <v>1008</v>
      </c>
      <c r="C564" s="5" t="s">
        <v>6</v>
      </c>
      <c r="D564" s="6" t="s">
        <v>895</v>
      </c>
      <c r="E564" s="6"/>
      <c r="F564" s="6" t="b">
        <f t="shared" si="1"/>
        <v>0</v>
      </c>
    </row>
    <row r="565" ht="15.75" customHeight="1">
      <c r="A565" s="3" t="s">
        <v>1009</v>
      </c>
      <c r="B565" s="4"/>
      <c r="C565" s="5"/>
      <c r="D565" s="5"/>
      <c r="E565" s="6"/>
      <c r="F565" s="6" t="b">
        <f t="shared" si="1"/>
        <v>0</v>
      </c>
    </row>
    <row r="566" ht="15.75" customHeight="1">
      <c r="A566" s="7" t="s">
        <v>1010</v>
      </c>
      <c r="B566" s="4" t="s">
        <v>1011</v>
      </c>
      <c r="C566" s="8"/>
      <c r="D566" s="6" t="s">
        <v>55</v>
      </c>
      <c r="E566" s="6"/>
      <c r="F566" s="6" t="b">
        <f t="shared" si="1"/>
        <v>0</v>
      </c>
    </row>
    <row r="567" ht="15.75" customHeight="1">
      <c r="A567" s="7" t="s">
        <v>1012</v>
      </c>
      <c r="B567" s="4" t="s">
        <v>1013</v>
      </c>
      <c r="C567" s="6"/>
      <c r="D567" s="6" t="s">
        <v>55</v>
      </c>
      <c r="E567" s="6"/>
      <c r="F567" s="6" t="b">
        <f t="shared" si="1"/>
        <v>0</v>
      </c>
    </row>
    <row r="568" ht="15.75" customHeight="1">
      <c r="A568" s="7" t="s">
        <v>1014</v>
      </c>
      <c r="B568" s="4" t="s">
        <v>1015</v>
      </c>
      <c r="C568" s="6"/>
      <c r="D568" s="6" t="s">
        <v>55</v>
      </c>
      <c r="E568" s="6"/>
      <c r="F568" s="6" t="b">
        <f t="shared" si="1"/>
        <v>0</v>
      </c>
    </row>
    <row r="569" ht="15.75" customHeight="1">
      <c r="A569" s="7" t="s">
        <v>1016</v>
      </c>
      <c r="B569" s="4" t="s">
        <v>1017</v>
      </c>
      <c r="C569" s="6"/>
      <c r="D569" s="6" t="s">
        <v>55</v>
      </c>
      <c r="E569" s="6"/>
      <c r="F569" s="6" t="b">
        <f t="shared" si="1"/>
        <v>0</v>
      </c>
    </row>
    <row r="570" ht="15.75" customHeight="1">
      <c r="A570" s="7" t="s">
        <v>1018</v>
      </c>
      <c r="B570" s="4" t="s">
        <v>1019</v>
      </c>
      <c r="C570" s="5" t="s">
        <v>6</v>
      </c>
      <c r="D570" s="6" t="s">
        <v>1020</v>
      </c>
      <c r="E570" s="6"/>
      <c r="F570" s="6" t="b">
        <f t="shared" si="1"/>
        <v>0</v>
      </c>
    </row>
    <row r="571" ht="15.75" customHeight="1">
      <c r="A571" s="7" t="s">
        <v>1021</v>
      </c>
      <c r="B571" s="4" t="s">
        <v>1022</v>
      </c>
      <c r="C571" s="6"/>
      <c r="D571" s="6" t="s">
        <v>55</v>
      </c>
      <c r="E571" s="6"/>
      <c r="F571" s="6" t="b">
        <f t="shared" si="1"/>
        <v>0</v>
      </c>
    </row>
    <row r="572" ht="15.75" customHeight="1">
      <c r="A572" s="7" t="s">
        <v>1023</v>
      </c>
      <c r="B572" s="4" t="s">
        <v>1024</v>
      </c>
      <c r="C572" s="5" t="s">
        <v>6</v>
      </c>
      <c r="D572" s="6" t="s">
        <v>1025</v>
      </c>
      <c r="E572" s="6"/>
      <c r="F572" s="6" t="b">
        <f t="shared" si="1"/>
        <v>0</v>
      </c>
    </row>
    <row r="573" ht="15.75" customHeight="1">
      <c r="A573" s="7" t="s">
        <v>1026</v>
      </c>
      <c r="B573" s="4" t="s">
        <v>1027</v>
      </c>
      <c r="C573" s="6"/>
      <c r="D573" s="6" t="s">
        <v>55</v>
      </c>
      <c r="E573" s="6"/>
      <c r="F573" s="6" t="b">
        <f t="shared" si="1"/>
        <v>0</v>
      </c>
    </row>
    <row r="574" ht="15.75" customHeight="1">
      <c r="A574" s="7" t="s">
        <v>1028</v>
      </c>
      <c r="B574" s="4" t="s">
        <v>1029</v>
      </c>
      <c r="C574" s="6"/>
      <c r="D574" s="6" t="s">
        <v>55</v>
      </c>
      <c r="E574" s="6"/>
      <c r="F574" s="6" t="b">
        <f t="shared" si="1"/>
        <v>0</v>
      </c>
    </row>
    <row r="575" ht="15.75" customHeight="1">
      <c r="A575" s="7" t="s">
        <v>1030</v>
      </c>
      <c r="B575" s="4" t="s">
        <v>1031</v>
      </c>
      <c r="C575" s="5" t="s">
        <v>6</v>
      </c>
      <c r="D575" s="6" t="s">
        <v>42</v>
      </c>
      <c r="E575" s="6"/>
      <c r="F575" s="6" t="b">
        <f t="shared" si="1"/>
        <v>0</v>
      </c>
    </row>
    <row r="576" ht="15.75" customHeight="1">
      <c r="A576" s="7" t="s">
        <v>1032</v>
      </c>
      <c r="B576" s="4" t="s">
        <v>1033</v>
      </c>
      <c r="C576" s="6"/>
      <c r="D576" s="6" t="s">
        <v>55</v>
      </c>
      <c r="E576" s="6"/>
      <c r="F576" s="6" t="b">
        <f t="shared" si="1"/>
        <v>0</v>
      </c>
    </row>
    <row r="577" ht="15.75" customHeight="1">
      <c r="A577" s="7" t="s">
        <v>1034</v>
      </c>
      <c r="B577" s="4" t="s">
        <v>1035</v>
      </c>
      <c r="C577" s="6"/>
      <c r="D577" s="6" t="s">
        <v>55</v>
      </c>
      <c r="E577" s="6"/>
      <c r="F577" s="6" t="b">
        <f t="shared" si="1"/>
        <v>0</v>
      </c>
    </row>
    <row r="578" ht="15.75" customHeight="1">
      <c r="A578" s="7" t="s">
        <v>1036</v>
      </c>
      <c r="B578" s="4" t="s">
        <v>1037</v>
      </c>
      <c r="C578" s="6"/>
      <c r="D578" s="6" t="s">
        <v>55</v>
      </c>
      <c r="E578" s="6"/>
      <c r="F578" s="6" t="b">
        <f t="shared" si="1"/>
        <v>0</v>
      </c>
    </row>
    <row r="579" ht="15.75" customHeight="1">
      <c r="A579" s="7" t="s">
        <v>1038</v>
      </c>
      <c r="B579" s="4" t="s">
        <v>1039</v>
      </c>
      <c r="C579" s="5" t="s">
        <v>6</v>
      </c>
      <c r="D579" s="6" t="s">
        <v>1040</v>
      </c>
      <c r="E579" s="6"/>
      <c r="F579" s="6" t="b">
        <f t="shared" si="1"/>
        <v>0</v>
      </c>
    </row>
    <row r="580" ht="15.75" customHeight="1">
      <c r="A580" s="7" t="s">
        <v>1041</v>
      </c>
      <c r="B580" s="4" t="s">
        <v>1042</v>
      </c>
      <c r="C580" s="6"/>
      <c r="D580" s="6" t="s">
        <v>55</v>
      </c>
      <c r="E580" s="6"/>
      <c r="F580" s="6" t="b">
        <f t="shared" si="1"/>
        <v>0</v>
      </c>
    </row>
    <row r="581" ht="15.75" customHeight="1">
      <c r="A581" s="7" t="s">
        <v>1043</v>
      </c>
      <c r="B581" s="4" t="s">
        <v>1044</v>
      </c>
      <c r="C581" s="5" t="s">
        <v>6</v>
      </c>
      <c r="D581" s="6" t="s">
        <v>1045</v>
      </c>
      <c r="E581" s="6"/>
      <c r="F581" s="6" t="b">
        <f t="shared" si="1"/>
        <v>0</v>
      </c>
    </row>
    <row r="582" ht="15.75" customHeight="1">
      <c r="A582" s="7" t="s">
        <v>1046</v>
      </c>
      <c r="B582" s="4" t="s">
        <v>1047</v>
      </c>
      <c r="C582" s="5" t="s">
        <v>6</v>
      </c>
      <c r="D582" s="6" t="s">
        <v>1048</v>
      </c>
      <c r="E582" s="6"/>
      <c r="F582" s="6" t="b">
        <f t="shared" si="1"/>
        <v>0</v>
      </c>
    </row>
    <row r="583" ht="15.75" customHeight="1">
      <c r="A583" s="3" t="s">
        <v>1049</v>
      </c>
      <c r="B583" s="4"/>
      <c r="C583" s="5"/>
      <c r="D583" s="5"/>
      <c r="E583" s="6"/>
      <c r="F583" s="6" t="b">
        <f t="shared" si="1"/>
        <v>0</v>
      </c>
    </row>
    <row r="584" ht="15.75" customHeight="1">
      <c r="A584" s="7" t="s">
        <v>1050</v>
      </c>
      <c r="B584" s="4" t="s">
        <v>1051</v>
      </c>
      <c r="C584" s="6"/>
      <c r="D584" s="6" t="s">
        <v>55</v>
      </c>
      <c r="E584" s="6"/>
      <c r="F584" s="6" t="b">
        <f t="shared" si="1"/>
        <v>0</v>
      </c>
    </row>
    <row r="585" ht="15.75" customHeight="1">
      <c r="A585" s="7" t="s">
        <v>1052</v>
      </c>
      <c r="B585" s="4" t="s">
        <v>1053</v>
      </c>
      <c r="C585" s="6"/>
      <c r="D585" s="6" t="s">
        <v>55</v>
      </c>
      <c r="E585" s="6"/>
      <c r="F585" s="6" t="b">
        <f t="shared" si="1"/>
        <v>0</v>
      </c>
    </row>
    <row r="586" ht="15.75" customHeight="1">
      <c r="A586" s="7" t="s">
        <v>1054</v>
      </c>
      <c r="B586" s="4" t="s">
        <v>1055</v>
      </c>
      <c r="C586" s="6"/>
      <c r="D586" s="6" t="s">
        <v>55</v>
      </c>
      <c r="E586" s="6"/>
      <c r="F586" s="6" t="b">
        <f t="shared" si="1"/>
        <v>0</v>
      </c>
    </row>
    <row r="587" ht="15.75" customHeight="1">
      <c r="A587" s="7" t="s">
        <v>1056</v>
      </c>
      <c r="B587" s="4" t="s">
        <v>1057</v>
      </c>
      <c r="C587" s="6"/>
      <c r="D587" s="6" t="s">
        <v>55</v>
      </c>
      <c r="E587" s="6"/>
      <c r="F587" s="6" t="b">
        <f t="shared" si="1"/>
        <v>0</v>
      </c>
    </row>
    <row r="588" ht="15.75" customHeight="1">
      <c r="A588" s="7" t="s">
        <v>1058</v>
      </c>
      <c r="B588" s="4" t="s">
        <v>1059</v>
      </c>
      <c r="C588" s="5" t="s">
        <v>6</v>
      </c>
      <c r="D588" s="6" t="s">
        <v>1060</v>
      </c>
      <c r="E588" s="6"/>
      <c r="F588" s="6" t="b">
        <f t="shared" si="1"/>
        <v>0</v>
      </c>
    </row>
    <row r="589" ht="15.75" customHeight="1">
      <c r="A589" s="7" t="s">
        <v>1061</v>
      </c>
      <c r="B589" s="4" t="s">
        <v>1062</v>
      </c>
      <c r="C589" s="6"/>
      <c r="D589" s="6" t="s">
        <v>55</v>
      </c>
      <c r="E589" s="6"/>
      <c r="F589" s="6" t="b">
        <f t="shared" si="1"/>
        <v>0</v>
      </c>
    </row>
    <row r="590" ht="15.75" customHeight="1">
      <c r="A590" s="7" t="s">
        <v>1063</v>
      </c>
      <c r="B590" s="4" t="s">
        <v>1064</v>
      </c>
      <c r="C590" s="6"/>
      <c r="D590" s="6" t="s">
        <v>55</v>
      </c>
      <c r="E590" s="6"/>
      <c r="F590" s="6" t="b">
        <f t="shared" si="1"/>
        <v>0</v>
      </c>
    </row>
    <row r="591" ht="15.75" customHeight="1">
      <c r="A591" s="7" t="s">
        <v>1065</v>
      </c>
      <c r="B591" s="4" t="s">
        <v>1066</v>
      </c>
      <c r="C591" s="5" t="s">
        <v>6</v>
      </c>
      <c r="D591" s="6" t="s">
        <v>1067</v>
      </c>
      <c r="E591" s="6"/>
      <c r="F591" s="6" t="b">
        <f t="shared" si="1"/>
        <v>0</v>
      </c>
    </row>
    <row r="592" ht="15.75" customHeight="1">
      <c r="A592" s="7" t="s">
        <v>1068</v>
      </c>
      <c r="B592" s="4" t="s">
        <v>1069</v>
      </c>
      <c r="C592" s="5" t="s">
        <v>6</v>
      </c>
      <c r="D592" s="6" t="s">
        <v>895</v>
      </c>
      <c r="E592" s="6"/>
      <c r="F592" s="6" t="b">
        <f t="shared" si="1"/>
        <v>0</v>
      </c>
    </row>
    <row r="593" ht="15.75" customHeight="1">
      <c r="A593" s="7" t="s">
        <v>1070</v>
      </c>
      <c r="B593" s="4" t="s">
        <v>1071</v>
      </c>
      <c r="C593" s="6"/>
      <c r="D593" s="6" t="s">
        <v>55</v>
      </c>
      <c r="E593" s="6"/>
      <c r="F593" s="6" t="b">
        <f t="shared" si="1"/>
        <v>0</v>
      </c>
    </row>
    <row r="594" ht="15.75" customHeight="1">
      <c r="A594" s="3" t="s">
        <v>1072</v>
      </c>
      <c r="B594" s="4"/>
      <c r="C594" s="5"/>
      <c r="D594" s="5"/>
      <c r="E594" s="6"/>
      <c r="F594" s="6" t="b">
        <f t="shared" si="1"/>
        <v>0</v>
      </c>
    </row>
    <row r="595" ht="15.75" customHeight="1">
      <c r="A595" s="7" t="s">
        <v>1073</v>
      </c>
      <c r="B595" s="4" t="s">
        <v>1074</v>
      </c>
      <c r="C595" s="5" t="s">
        <v>6</v>
      </c>
      <c r="D595" s="6" t="s">
        <v>42</v>
      </c>
      <c r="E595" s="6"/>
      <c r="F595" s="6" t="b">
        <f t="shared" si="1"/>
        <v>0</v>
      </c>
    </row>
    <row r="596" ht="15.75" customHeight="1">
      <c r="A596" s="7" t="s">
        <v>1075</v>
      </c>
      <c r="B596" s="4" t="s">
        <v>1076</v>
      </c>
      <c r="C596" s="6"/>
      <c r="D596" s="6" t="s">
        <v>55</v>
      </c>
      <c r="E596" s="6"/>
      <c r="F596" s="6" t="b">
        <f t="shared" si="1"/>
        <v>0</v>
      </c>
    </row>
    <row r="597" ht="15.75" customHeight="1">
      <c r="A597" s="7" t="s">
        <v>1077</v>
      </c>
      <c r="B597" s="4" t="s">
        <v>1078</v>
      </c>
      <c r="C597" s="5" t="s">
        <v>6</v>
      </c>
      <c r="D597" s="6" t="s">
        <v>1079</v>
      </c>
      <c r="E597" s="6"/>
      <c r="F597" s="6" t="b">
        <f t="shared" si="1"/>
        <v>0</v>
      </c>
    </row>
    <row r="598" ht="15.75" customHeight="1">
      <c r="A598" s="7" t="s">
        <v>1080</v>
      </c>
      <c r="B598" s="4" t="s">
        <v>1081</v>
      </c>
      <c r="C598" s="5" t="s">
        <v>6</v>
      </c>
      <c r="D598" s="6" t="s">
        <v>1079</v>
      </c>
      <c r="E598" s="6"/>
      <c r="F598" s="6" t="b">
        <f t="shared" si="1"/>
        <v>0</v>
      </c>
    </row>
    <row r="599" ht="15.75" customHeight="1">
      <c r="A599" s="7" t="s">
        <v>1082</v>
      </c>
      <c r="B599" s="4" t="s">
        <v>1083</v>
      </c>
      <c r="C599" s="5" t="s">
        <v>16</v>
      </c>
      <c r="D599" s="6" t="s">
        <v>1084</v>
      </c>
      <c r="E599" s="6"/>
      <c r="F599" s="6" t="b">
        <f t="shared" si="1"/>
        <v>0</v>
      </c>
    </row>
    <row r="600" ht="15.75" customHeight="1">
      <c r="A600" s="7" t="s">
        <v>1085</v>
      </c>
      <c r="B600" s="4" t="s">
        <v>1086</v>
      </c>
      <c r="C600" s="5" t="s">
        <v>16</v>
      </c>
      <c r="D600" s="6" t="s">
        <v>1087</v>
      </c>
      <c r="E600" s="6"/>
      <c r="F600" s="6" t="b">
        <f t="shared" si="1"/>
        <v>0</v>
      </c>
    </row>
    <row r="601" ht="15.75" customHeight="1">
      <c r="A601" s="7" t="s">
        <v>1088</v>
      </c>
      <c r="B601" s="4" t="s">
        <v>1089</v>
      </c>
      <c r="C601" s="5" t="s">
        <v>6</v>
      </c>
      <c r="D601" s="6" t="s">
        <v>1020</v>
      </c>
      <c r="E601" s="6"/>
      <c r="F601" s="6" t="b">
        <f t="shared" si="1"/>
        <v>0</v>
      </c>
    </row>
    <row r="602" ht="15.75" customHeight="1">
      <c r="A602" s="7" t="s">
        <v>1090</v>
      </c>
      <c r="B602" s="4" t="s">
        <v>1091</v>
      </c>
      <c r="C602" s="5" t="s">
        <v>6</v>
      </c>
      <c r="D602" s="6" t="s">
        <v>1020</v>
      </c>
      <c r="E602" s="6"/>
      <c r="F602" s="6" t="b">
        <f t="shared" si="1"/>
        <v>0</v>
      </c>
    </row>
    <row r="603" ht="15.75" customHeight="1">
      <c r="A603" s="7" t="s">
        <v>1092</v>
      </c>
      <c r="B603" s="4" t="s">
        <v>1093</v>
      </c>
      <c r="C603" s="6"/>
      <c r="D603" s="6" t="s">
        <v>55</v>
      </c>
      <c r="E603" s="6"/>
      <c r="F603" s="6" t="b">
        <f t="shared" si="1"/>
        <v>0</v>
      </c>
    </row>
    <row r="604" ht="15.75" customHeight="1">
      <c r="A604" s="7" t="s">
        <v>1094</v>
      </c>
      <c r="B604" s="4" t="s">
        <v>1095</v>
      </c>
      <c r="C604" s="6"/>
      <c r="D604" s="6" t="s">
        <v>55</v>
      </c>
      <c r="E604" s="6"/>
      <c r="F604" s="6" t="b">
        <f t="shared" si="1"/>
        <v>0</v>
      </c>
    </row>
    <row r="605" ht="15.75" customHeight="1">
      <c r="A605" s="7" t="s">
        <v>1096</v>
      </c>
      <c r="B605" s="4" t="s">
        <v>1097</v>
      </c>
      <c r="C605" s="6"/>
      <c r="D605" s="6" t="s">
        <v>55</v>
      </c>
      <c r="E605" s="6"/>
      <c r="F605" s="6" t="b">
        <f t="shared" si="1"/>
        <v>0</v>
      </c>
    </row>
    <row r="606" ht="15.75" customHeight="1">
      <c r="A606" s="7" t="s">
        <v>1098</v>
      </c>
      <c r="B606" s="4" t="s">
        <v>1099</v>
      </c>
      <c r="C606" s="5" t="s">
        <v>6</v>
      </c>
      <c r="D606" s="6" t="s">
        <v>1020</v>
      </c>
      <c r="E606" s="6"/>
      <c r="F606" s="6" t="b">
        <f t="shared" si="1"/>
        <v>0</v>
      </c>
    </row>
    <row r="607" ht="15.75" customHeight="1">
      <c r="A607" s="7" t="s">
        <v>1100</v>
      </c>
      <c r="B607" s="4" t="s">
        <v>1101</v>
      </c>
      <c r="C607" s="5" t="s">
        <v>6</v>
      </c>
      <c r="D607" s="6" t="s">
        <v>1020</v>
      </c>
      <c r="E607" s="6"/>
      <c r="F607" s="6" t="b">
        <f t="shared" si="1"/>
        <v>0</v>
      </c>
    </row>
    <row r="608" ht="15.75" customHeight="1">
      <c r="A608" s="7" t="s">
        <v>1102</v>
      </c>
      <c r="B608" s="4" t="s">
        <v>1103</v>
      </c>
      <c r="C608" s="5" t="s">
        <v>6</v>
      </c>
      <c r="D608" s="6" t="s">
        <v>1104</v>
      </c>
      <c r="E608" s="6"/>
      <c r="F608" s="6" t="b">
        <f t="shared" si="1"/>
        <v>0</v>
      </c>
    </row>
    <row r="609" ht="15.75" customHeight="1">
      <c r="A609" s="10" t="s">
        <v>1105</v>
      </c>
      <c r="B609" s="11"/>
      <c r="C609" s="5"/>
      <c r="D609" s="8"/>
      <c r="E609" s="6"/>
      <c r="F609" s="6" t="b">
        <f t="shared" si="1"/>
        <v>0</v>
      </c>
    </row>
    <row r="610" ht="15.75" customHeight="1">
      <c r="A610" s="7" t="s">
        <v>1106</v>
      </c>
      <c r="B610" s="4" t="s">
        <v>1107</v>
      </c>
      <c r="C610" s="6"/>
      <c r="D610" s="6" t="s">
        <v>55</v>
      </c>
      <c r="E610" s="6"/>
      <c r="F610" s="6" t="b">
        <f t="shared" si="1"/>
        <v>0</v>
      </c>
    </row>
    <row r="611" ht="15.75" customHeight="1">
      <c r="A611" s="7" t="s">
        <v>1108</v>
      </c>
      <c r="B611" s="4" t="s">
        <v>1109</v>
      </c>
      <c r="C611" s="6"/>
      <c r="D611" s="6" t="s">
        <v>55</v>
      </c>
      <c r="E611" s="6"/>
      <c r="F611" s="6" t="b">
        <f t="shared" si="1"/>
        <v>0</v>
      </c>
    </row>
    <row r="612" ht="15.75" customHeight="1">
      <c r="A612" s="7" t="s">
        <v>1110</v>
      </c>
      <c r="B612" s="4" t="s">
        <v>1111</v>
      </c>
      <c r="C612" s="5" t="s">
        <v>6</v>
      </c>
      <c r="D612" s="6" t="s">
        <v>1040</v>
      </c>
      <c r="E612" s="6"/>
      <c r="F612" s="6" t="b">
        <f t="shared" si="1"/>
        <v>0</v>
      </c>
    </row>
    <row r="613" ht="15.75" customHeight="1">
      <c r="A613" s="7" t="s">
        <v>1112</v>
      </c>
      <c r="B613" s="4" t="s">
        <v>1113</v>
      </c>
      <c r="C613" s="8"/>
      <c r="D613" s="6" t="s">
        <v>55</v>
      </c>
      <c r="E613" s="6"/>
      <c r="F613" s="6" t="b">
        <f t="shared" si="1"/>
        <v>0</v>
      </c>
    </row>
    <row r="614" ht="15.75" customHeight="1">
      <c r="A614" s="7" t="s">
        <v>1114</v>
      </c>
      <c r="B614" s="4" t="s">
        <v>1115</v>
      </c>
      <c r="C614" s="8"/>
      <c r="D614" s="6" t="s">
        <v>55</v>
      </c>
      <c r="E614" s="6"/>
      <c r="F614" s="6" t="b">
        <f t="shared" si="1"/>
        <v>0</v>
      </c>
    </row>
    <row r="615" ht="15.75" customHeight="1">
      <c r="A615" s="7" t="s">
        <v>1116</v>
      </c>
      <c r="B615" s="4" t="s">
        <v>1117</v>
      </c>
      <c r="C615" s="5" t="s">
        <v>6</v>
      </c>
      <c r="D615" s="6" t="s">
        <v>1118</v>
      </c>
      <c r="E615" s="6"/>
      <c r="F615" s="6" t="b">
        <f t="shared" si="1"/>
        <v>0</v>
      </c>
    </row>
    <row r="616" ht="15.75" customHeight="1">
      <c r="A616" s="7" t="s">
        <v>1119</v>
      </c>
      <c r="B616" s="4" t="s">
        <v>1120</v>
      </c>
      <c r="C616" s="8"/>
      <c r="D616" s="6" t="s">
        <v>55</v>
      </c>
      <c r="E616" s="6"/>
      <c r="F616" s="6" t="b">
        <f t="shared" si="1"/>
        <v>0</v>
      </c>
    </row>
    <row r="617" ht="15.75" customHeight="1">
      <c r="A617" s="7" t="s">
        <v>1121</v>
      </c>
      <c r="B617" s="4" t="s">
        <v>1122</v>
      </c>
      <c r="C617" s="5" t="s">
        <v>16</v>
      </c>
      <c r="D617" s="6" t="s">
        <v>911</v>
      </c>
      <c r="E617" s="6"/>
      <c r="F617" s="6" t="b">
        <f t="shared" si="1"/>
        <v>0</v>
      </c>
    </row>
    <row r="618" ht="15.75" customHeight="1">
      <c r="A618" s="7" t="s">
        <v>1123</v>
      </c>
      <c r="B618" s="4" t="s">
        <v>1124</v>
      </c>
      <c r="C618" s="5" t="s">
        <v>6</v>
      </c>
      <c r="D618" s="6" t="s">
        <v>42</v>
      </c>
      <c r="E618" s="6"/>
      <c r="F618" s="6" t="b">
        <f t="shared" si="1"/>
        <v>0</v>
      </c>
    </row>
    <row r="619" ht="15.75" customHeight="1">
      <c r="A619" s="7" t="s">
        <v>1125</v>
      </c>
      <c r="B619" s="4" t="s">
        <v>1126</v>
      </c>
      <c r="C619" s="6"/>
      <c r="D619" s="6" t="s">
        <v>55</v>
      </c>
      <c r="E619" s="6"/>
      <c r="F619" s="6" t="b">
        <f t="shared" si="1"/>
        <v>0</v>
      </c>
    </row>
    <row r="620" ht="15.75" customHeight="1">
      <c r="A620" s="7" t="s">
        <v>1127</v>
      </c>
      <c r="B620" s="4" t="s">
        <v>1128</v>
      </c>
      <c r="C620" s="6"/>
      <c r="D620" s="6" t="s">
        <v>55</v>
      </c>
      <c r="E620" s="6"/>
      <c r="F620" s="6" t="b">
        <f t="shared" si="1"/>
        <v>0</v>
      </c>
    </row>
    <row r="621" ht="15.75" customHeight="1">
      <c r="A621" s="7" t="s">
        <v>1129</v>
      </c>
      <c r="B621" s="4" t="s">
        <v>1130</v>
      </c>
      <c r="C621" s="5" t="s">
        <v>6</v>
      </c>
      <c r="D621" s="6" t="s">
        <v>1048</v>
      </c>
      <c r="E621" s="6"/>
      <c r="F621" s="6" t="b">
        <f t="shared" si="1"/>
        <v>0</v>
      </c>
    </row>
    <row r="622" ht="15.75" customHeight="1">
      <c r="A622" s="7" t="s">
        <v>1131</v>
      </c>
      <c r="B622" s="4" t="s">
        <v>1132</v>
      </c>
      <c r="C622" s="6"/>
      <c r="D622" s="6" t="s">
        <v>55</v>
      </c>
      <c r="E622" s="6"/>
      <c r="F622" s="6" t="b">
        <f t="shared" si="1"/>
        <v>0</v>
      </c>
    </row>
    <row r="623" ht="15.75" customHeight="1">
      <c r="A623" s="7" t="s">
        <v>1133</v>
      </c>
      <c r="B623" s="4" t="s">
        <v>1134</v>
      </c>
      <c r="C623" s="5" t="s">
        <v>6</v>
      </c>
      <c r="D623" s="6" t="s">
        <v>1118</v>
      </c>
      <c r="E623" s="6"/>
      <c r="F623" s="6" t="b">
        <f t="shared" si="1"/>
        <v>0</v>
      </c>
    </row>
    <row r="624" ht="15.75" customHeight="1">
      <c r="A624" s="7" t="s">
        <v>1135</v>
      </c>
      <c r="B624" s="4" t="s">
        <v>1136</v>
      </c>
      <c r="C624" s="5" t="s">
        <v>6</v>
      </c>
      <c r="D624" s="6" t="s">
        <v>477</v>
      </c>
      <c r="E624" s="6"/>
      <c r="F624" s="6" t="b">
        <f t="shared" si="1"/>
        <v>0</v>
      </c>
    </row>
    <row r="625" ht="15.75" customHeight="1">
      <c r="A625" s="7" t="s">
        <v>1137</v>
      </c>
      <c r="B625" s="4" t="s">
        <v>1138</v>
      </c>
      <c r="C625" s="5" t="s">
        <v>6</v>
      </c>
      <c r="D625" s="6" t="s">
        <v>1139</v>
      </c>
      <c r="E625" s="6"/>
      <c r="F625" s="6" t="b">
        <f t="shared" si="1"/>
        <v>0</v>
      </c>
    </row>
    <row r="626" ht="15.75" customHeight="1">
      <c r="A626" s="7" t="s">
        <v>1140</v>
      </c>
      <c r="B626" s="4" t="s">
        <v>1141</v>
      </c>
      <c r="C626" s="5" t="s">
        <v>6</v>
      </c>
      <c r="D626" s="6" t="s">
        <v>1142</v>
      </c>
      <c r="E626" s="6"/>
      <c r="F626" s="6" t="b">
        <f t="shared" si="1"/>
        <v>0</v>
      </c>
    </row>
    <row r="627" ht="15.75" customHeight="1">
      <c r="A627" s="7" t="s">
        <v>1143</v>
      </c>
      <c r="B627" s="4" t="s">
        <v>1144</v>
      </c>
      <c r="C627" s="5" t="s">
        <v>16</v>
      </c>
      <c r="D627" s="6" t="s">
        <v>911</v>
      </c>
      <c r="E627" s="6"/>
      <c r="F627" s="6" t="b">
        <f t="shared" si="1"/>
        <v>0</v>
      </c>
    </row>
    <row r="628" ht="15.75" customHeight="1">
      <c r="A628" s="7" t="s">
        <v>1145</v>
      </c>
      <c r="B628" s="4" t="s">
        <v>1146</v>
      </c>
      <c r="C628" s="6"/>
      <c r="D628" s="6" t="s">
        <v>55</v>
      </c>
      <c r="E628" s="6"/>
      <c r="F628" s="6" t="b">
        <f t="shared" si="1"/>
        <v>0</v>
      </c>
    </row>
    <row r="629" ht="15.75" customHeight="1">
      <c r="A629" s="7" t="s">
        <v>1147</v>
      </c>
      <c r="B629" s="4" t="s">
        <v>1148</v>
      </c>
      <c r="C629" s="5" t="s">
        <v>16</v>
      </c>
      <c r="D629" s="6" t="s">
        <v>1149</v>
      </c>
      <c r="E629" s="6"/>
      <c r="F629" s="6" t="b">
        <f t="shared" si="1"/>
        <v>0</v>
      </c>
    </row>
    <row r="630" ht="15.75" customHeight="1">
      <c r="A630" s="7" t="s">
        <v>1150</v>
      </c>
      <c r="B630" s="4" t="s">
        <v>1151</v>
      </c>
      <c r="C630" s="6"/>
      <c r="D630" s="6" t="s">
        <v>55</v>
      </c>
      <c r="E630" s="6"/>
      <c r="F630" s="6" t="b">
        <f t="shared" si="1"/>
        <v>0</v>
      </c>
    </row>
    <row r="631" ht="15.75" customHeight="1">
      <c r="A631" s="7" t="s">
        <v>1152</v>
      </c>
      <c r="B631" s="4" t="s">
        <v>1153</v>
      </c>
      <c r="C631" s="6"/>
      <c r="D631" s="6" t="s">
        <v>55</v>
      </c>
      <c r="E631" s="6"/>
      <c r="F631" s="6" t="b">
        <f t="shared" si="1"/>
        <v>0</v>
      </c>
    </row>
    <row r="632" ht="15.75" customHeight="1">
      <c r="A632" s="7" t="s">
        <v>1154</v>
      </c>
      <c r="B632" s="4" t="s">
        <v>1155</v>
      </c>
      <c r="C632" s="5" t="s">
        <v>6</v>
      </c>
      <c r="D632" s="6" t="s">
        <v>1156</v>
      </c>
      <c r="E632" s="6"/>
      <c r="F632" s="6" t="b">
        <f t="shared" si="1"/>
        <v>0</v>
      </c>
    </row>
    <row r="633" ht="15.75" customHeight="1">
      <c r="A633" s="7" t="s">
        <v>1157</v>
      </c>
      <c r="B633" s="4" t="s">
        <v>1158</v>
      </c>
      <c r="C633" s="6"/>
      <c r="D633" s="6" t="s">
        <v>55</v>
      </c>
      <c r="E633" s="6"/>
      <c r="F633" s="6" t="b">
        <f t="shared" si="1"/>
        <v>0</v>
      </c>
    </row>
    <row r="634" ht="15.75" customHeight="1">
      <c r="A634" s="7" t="s">
        <v>1159</v>
      </c>
      <c r="B634" s="4" t="s">
        <v>1160</v>
      </c>
      <c r="C634" s="6"/>
      <c r="D634" s="6" t="s">
        <v>55</v>
      </c>
      <c r="E634" s="6"/>
      <c r="F634" s="6" t="b">
        <f t="shared" si="1"/>
        <v>0</v>
      </c>
    </row>
    <row r="635" ht="15.75" customHeight="1">
      <c r="A635" s="7" t="s">
        <v>1161</v>
      </c>
      <c r="B635" s="4" t="s">
        <v>1162</v>
      </c>
      <c r="C635" s="6"/>
      <c r="D635" s="6" t="s">
        <v>55</v>
      </c>
      <c r="E635" s="6"/>
      <c r="F635" s="6" t="b">
        <f t="shared" si="1"/>
        <v>0</v>
      </c>
    </row>
    <row r="636" ht="15.75" customHeight="1">
      <c r="A636" s="7" t="s">
        <v>1163</v>
      </c>
      <c r="B636" s="4" t="s">
        <v>1164</v>
      </c>
      <c r="C636" s="6"/>
      <c r="D636" s="6" t="s">
        <v>55</v>
      </c>
      <c r="E636" s="6"/>
      <c r="F636" s="6" t="b">
        <f t="shared" si="1"/>
        <v>0</v>
      </c>
    </row>
    <row r="637" ht="15.75" customHeight="1">
      <c r="A637" s="3" t="s">
        <v>1165</v>
      </c>
      <c r="B637" s="4"/>
      <c r="C637" s="5"/>
      <c r="D637" s="5"/>
      <c r="E637" s="6"/>
      <c r="F637" s="6" t="b">
        <f t="shared" si="1"/>
        <v>0</v>
      </c>
    </row>
    <row r="638" ht="15.75" customHeight="1">
      <c r="A638" s="7" t="s">
        <v>1166</v>
      </c>
      <c r="B638" s="4" t="s">
        <v>1167</v>
      </c>
      <c r="C638" s="6"/>
      <c r="D638" s="6" t="s">
        <v>55</v>
      </c>
      <c r="E638" s="6"/>
      <c r="F638" s="6" t="b">
        <f t="shared" si="1"/>
        <v>0</v>
      </c>
    </row>
    <row r="639" ht="15.75" customHeight="1">
      <c r="A639" s="7" t="s">
        <v>1168</v>
      </c>
      <c r="B639" s="4" t="s">
        <v>1169</v>
      </c>
      <c r="C639" s="6"/>
      <c r="D639" s="6" t="s">
        <v>55</v>
      </c>
      <c r="E639" s="6"/>
      <c r="F639" s="6" t="b">
        <f t="shared" si="1"/>
        <v>0</v>
      </c>
    </row>
    <row r="640" ht="15.75" customHeight="1">
      <c r="A640" s="7" t="s">
        <v>1170</v>
      </c>
      <c r="B640" s="4" t="s">
        <v>1171</v>
      </c>
      <c r="C640" s="5" t="s">
        <v>6</v>
      </c>
      <c r="D640" s="6" t="s">
        <v>1172</v>
      </c>
      <c r="E640" s="6"/>
      <c r="F640" s="6" t="b">
        <f t="shared" si="1"/>
        <v>0</v>
      </c>
    </row>
    <row r="641" ht="15.75" customHeight="1">
      <c r="A641" s="7" t="s">
        <v>1173</v>
      </c>
      <c r="B641" s="4" t="s">
        <v>1174</v>
      </c>
      <c r="C641" s="6"/>
      <c r="D641" s="6" t="s">
        <v>55</v>
      </c>
      <c r="E641" s="6"/>
      <c r="F641" s="6" t="b">
        <f t="shared" si="1"/>
        <v>0</v>
      </c>
    </row>
    <row r="642" ht="15.75" customHeight="1">
      <c r="A642" s="7" t="s">
        <v>1175</v>
      </c>
      <c r="B642" s="4" t="s">
        <v>1176</v>
      </c>
      <c r="C642" s="5" t="s">
        <v>6</v>
      </c>
      <c r="D642" s="6" t="s">
        <v>1040</v>
      </c>
      <c r="E642" s="6"/>
      <c r="F642" s="6" t="b">
        <f t="shared" si="1"/>
        <v>0</v>
      </c>
    </row>
    <row r="643" ht="15.75" customHeight="1">
      <c r="A643" s="7" t="s">
        <v>1177</v>
      </c>
      <c r="B643" s="4" t="s">
        <v>1178</v>
      </c>
      <c r="C643" s="5" t="s">
        <v>6</v>
      </c>
      <c r="D643" s="6" t="s">
        <v>477</v>
      </c>
      <c r="E643" s="6"/>
      <c r="F643" s="6" t="b">
        <f t="shared" si="1"/>
        <v>0</v>
      </c>
    </row>
    <row r="644" ht="15.75" customHeight="1">
      <c r="A644" s="7" t="s">
        <v>1179</v>
      </c>
      <c r="B644" s="4" t="s">
        <v>1180</v>
      </c>
      <c r="C644" s="5" t="s">
        <v>16</v>
      </c>
      <c r="D644" s="6" t="s">
        <v>1181</v>
      </c>
      <c r="E644" s="6"/>
      <c r="F644" s="6" t="b">
        <f t="shared" si="1"/>
        <v>0</v>
      </c>
    </row>
    <row r="645" ht="15.75" customHeight="1">
      <c r="A645" s="7" t="s">
        <v>1182</v>
      </c>
      <c r="B645" s="4" t="s">
        <v>1183</v>
      </c>
      <c r="C645" s="5" t="s">
        <v>6</v>
      </c>
      <c r="D645" s="6" t="s">
        <v>1040</v>
      </c>
      <c r="E645" s="6"/>
      <c r="F645" s="6" t="b">
        <f t="shared" si="1"/>
        <v>0</v>
      </c>
    </row>
    <row r="646" ht="15.75" customHeight="1">
      <c r="A646" s="7" t="s">
        <v>1184</v>
      </c>
      <c r="B646" s="4" t="s">
        <v>1185</v>
      </c>
      <c r="C646" s="6"/>
      <c r="D646" s="6" t="s">
        <v>55</v>
      </c>
      <c r="E646" s="6"/>
      <c r="F646" s="6" t="b">
        <f t="shared" si="1"/>
        <v>0</v>
      </c>
    </row>
    <row r="647" ht="15.75" customHeight="1">
      <c r="A647" s="7" t="s">
        <v>1186</v>
      </c>
      <c r="B647" s="4" t="s">
        <v>1187</v>
      </c>
      <c r="C647" s="5" t="s">
        <v>6</v>
      </c>
      <c r="D647" s="6" t="s">
        <v>1040</v>
      </c>
      <c r="E647" s="6"/>
      <c r="F647" s="6" t="b">
        <f t="shared" si="1"/>
        <v>0</v>
      </c>
    </row>
    <row r="648" ht="15.75" customHeight="1">
      <c r="A648" s="7" t="s">
        <v>1188</v>
      </c>
      <c r="B648" s="4" t="s">
        <v>1189</v>
      </c>
      <c r="C648" s="5" t="s">
        <v>6</v>
      </c>
      <c r="D648" s="6" t="s">
        <v>1190</v>
      </c>
      <c r="E648" s="6"/>
      <c r="F648" s="6" t="b">
        <f t="shared" si="1"/>
        <v>0</v>
      </c>
    </row>
    <row r="649" ht="15.75" customHeight="1">
      <c r="A649" s="3" t="s">
        <v>1191</v>
      </c>
      <c r="B649" s="4"/>
      <c r="C649" s="5"/>
      <c r="D649" s="5"/>
      <c r="E649" s="6"/>
      <c r="F649" s="6" t="b">
        <f t="shared" si="1"/>
        <v>0</v>
      </c>
    </row>
    <row r="650" ht="15.75" customHeight="1">
      <c r="A650" s="7" t="s">
        <v>1192</v>
      </c>
      <c r="B650" s="4" t="s">
        <v>1193</v>
      </c>
      <c r="C650" s="5" t="s">
        <v>6</v>
      </c>
      <c r="D650" s="6" t="s">
        <v>1194</v>
      </c>
      <c r="E650" s="6"/>
      <c r="F650" s="6" t="b">
        <f t="shared" si="1"/>
        <v>0</v>
      </c>
    </row>
    <row r="651" ht="15.75" customHeight="1">
      <c r="A651" s="7" t="s">
        <v>1195</v>
      </c>
      <c r="B651" s="4" t="s">
        <v>1196</v>
      </c>
      <c r="C651" s="5" t="s">
        <v>6</v>
      </c>
      <c r="D651" s="6" t="s">
        <v>1048</v>
      </c>
      <c r="E651" s="6"/>
      <c r="F651" s="6" t="b">
        <f t="shared" si="1"/>
        <v>0</v>
      </c>
    </row>
    <row r="652" ht="15.75" customHeight="1">
      <c r="A652" s="7" t="s">
        <v>1197</v>
      </c>
      <c r="B652" s="4" t="s">
        <v>1198</v>
      </c>
      <c r="C652" s="5" t="s">
        <v>16</v>
      </c>
      <c r="D652" s="6" t="s">
        <v>1199</v>
      </c>
      <c r="E652" s="6"/>
      <c r="F652" s="6" t="b">
        <f t="shared" si="1"/>
        <v>0</v>
      </c>
    </row>
    <row r="653" ht="15.75" customHeight="1">
      <c r="A653" s="7" t="s">
        <v>1200</v>
      </c>
      <c r="B653" s="4" t="s">
        <v>1201</v>
      </c>
      <c r="C653" s="5" t="s">
        <v>6</v>
      </c>
      <c r="D653" s="6" t="s">
        <v>1048</v>
      </c>
      <c r="E653" s="6"/>
      <c r="F653" s="6" t="b">
        <f t="shared" si="1"/>
        <v>0</v>
      </c>
    </row>
    <row r="654" ht="15.75" customHeight="1">
      <c r="A654" s="7" t="s">
        <v>1202</v>
      </c>
      <c r="B654" s="4" t="s">
        <v>1203</v>
      </c>
      <c r="C654" s="6"/>
      <c r="D654" s="6" t="s">
        <v>55</v>
      </c>
      <c r="E654" s="6"/>
      <c r="F654" s="6" t="b">
        <f t="shared" si="1"/>
        <v>0</v>
      </c>
    </row>
    <row r="655" ht="15.75" customHeight="1">
      <c r="A655" s="7" t="s">
        <v>1204</v>
      </c>
      <c r="B655" s="4" t="s">
        <v>1205</v>
      </c>
      <c r="C655" s="6"/>
      <c r="D655" s="6" t="s">
        <v>55</v>
      </c>
      <c r="E655" s="6"/>
      <c r="F655" s="6" t="b">
        <f t="shared" si="1"/>
        <v>0</v>
      </c>
    </row>
    <row r="656" ht="15.75" customHeight="1">
      <c r="A656" s="7" t="s">
        <v>1206</v>
      </c>
      <c r="B656" s="4" t="s">
        <v>1207</v>
      </c>
      <c r="C656" s="5" t="s">
        <v>6</v>
      </c>
      <c r="D656" s="6" t="s">
        <v>1040</v>
      </c>
      <c r="E656" s="6"/>
      <c r="F656" s="6" t="b">
        <f t="shared" si="1"/>
        <v>0</v>
      </c>
    </row>
    <row r="657" ht="15.75" customHeight="1">
      <c r="A657" s="3" t="s">
        <v>1208</v>
      </c>
      <c r="B657" s="4"/>
      <c r="C657" s="5"/>
      <c r="D657" s="5"/>
      <c r="E657" s="6"/>
      <c r="F657" s="6" t="b">
        <f t="shared" si="1"/>
        <v>0</v>
      </c>
    </row>
    <row r="658" ht="15.75" customHeight="1">
      <c r="A658" s="7" t="s">
        <v>1209</v>
      </c>
      <c r="B658" s="4" t="s">
        <v>1210</v>
      </c>
      <c r="C658" s="5" t="s">
        <v>6</v>
      </c>
      <c r="D658" s="6" t="s">
        <v>1118</v>
      </c>
      <c r="E658" s="6"/>
      <c r="F658" s="6" t="b">
        <f t="shared" si="1"/>
        <v>0</v>
      </c>
    </row>
    <row r="659" ht="15.75" customHeight="1">
      <c r="A659" s="7" t="s">
        <v>1211</v>
      </c>
      <c r="B659" s="4" t="s">
        <v>1212</v>
      </c>
      <c r="C659" s="6"/>
      <c r="D659" s="6" t="s">
        <v>55</v>
      </c>
      <c r="E659" s="6"/>
      <c r="F659" s="6" t="b">
        <f t="shared" si="1"/>
        <v>0</v>
      </c>
    </row>
    <row r="660" ht="15.75" customHeight="1">
      <c r="A660" s="7" t="s">
        <v>1213</v>
      </c>
      <c r="B660" s="4" t="s">
        <v>1214</v>
      </c>
      <c r="C660" s="5" t="s">
        <v>16</v>
      </c>
      <c r="D660" s="6" t="s">
        <v>884</v>
      </c>
      <c r="E660" s="6"/>
      <c r="F660" s="6" t="b">
        <f t="shared" si="1"/>
        <v>0</v>
      </c>
    </row>
    <row r="661" ht="15.75" customHeight="1">
      <c r="A661" s="7" t="s">
        <v>1215</v>
      </c>
      <c r="B661" s="4" t="s">
        <v>1216</v>
      </c>
      <c r="C661" s="6"/>
      <c r="D661" s="6" t="s">
        <v>55</v>
      </c>
      <c r="E661" s="6"/>
      <c r="F661" s="6" t="b">
        <f t="shared" si="1"/>
        <v>0</v>
      </c>
    </row>
    <row r="662" ht="15.75" customHeight="1">
      <c r="A662" s="7" t="s">
        <v>1217</v>
      </c>
      <c r="B662" s="4" t="s">
        <v>1218</v>
      </c>
      <c r="C662" s="6"/>
      <c r="D662" s="6" t="s">
        <v>55</v>
      </c>
      <c r="E662" s="6"/>
      <c r="F662" s="6" t="b">
        <f t="shared" si="1"/>
        <v>0</v>
      </c>
    </row>
    <row r="663" ht="15.75" customHeight="1">
      <c r="A663" s="7" t="s">
        <v>1219</v>
      </c>
      <c r="B663" s="4" t="s">
        <v>1220</v>
      </c>
      <c r="C663" s="6"/>
      <c r="D663" s="6" t="s">
        <v>55</v>
      </c>
      <c r="E663" s="6"/>
      <c r="F663" s="6" t="b">
        <f t="shared" si="1"/>
        <v>0</v>
      </c>
    </row>
    <row r="664" ht="15.75" customHeight="1">
      <c r="A664" s="7" t="s">
        <v>1221</v>
      </c>
      <c r="B664" s="4" t="s">
        <v>1222</v>
      </c>
      <c r="C664" s="5" t="s">
        <v>6</v>
      </c>
      <c r="D664" s="6" t="s">
        <v>1040</v>
      </c>
      <c r="E664" s="6"/>
      <c r="F664" s="6" t="b">
        <f t="shared" si="1"/>
        <v>0</v>
      </c>
    </row>
    <row r="665" ht="15.75" customHeight="1">
      <c r="A665" s="7" t="s">
        <v>1223</v>
      </c>
      <c r="B665" s="4" t="s">
        <v>1224</v>
      </c>
      <c r="C665" s="6"/>
      <c r="D665" s="6" t="s">
        <v>55</v>
      </c>
      <c r="E665" s="6"/>
      <c r="F665" s="6" t="b">
        <f t="shared" si="1"/>
        <v>0</v>
      </c>
    </row>
    <row r="666" ht="15.75" customHeight="1">
      <c r="A666" s="7" t="s">
        <v>1225</v>
      </c>
      <c r="B666" s="4" t="s">
        <v>1226</v>
      </c>
      <c r="C666" s="5" t="s">
        <v>6</v>
      </c>
      <c r="D666" s="6" t="s">
        <v>1190</v>
      </c>
      <c r="E666" s="6"/>
      <c r="F666" s="6" t="b">
        <f t="shared" si="1"/>
        <v>0</v>
      </c>
    </row>
    <row r="667" ht="15.75" customHeight="1">
      <c r="A667" s="7" t="s">
        <v>1227</v>
      </c>
      <c r="B667" s="4" t="s">
        <v>1228</v>
      </c>
      <c r="C667" s="6"/>
      <c r="D667" s="6" t="s">
        <v>55</v>
      </c>
      <c r="E667" s="6"/>
      <c r="F667" s="6" t="b">
        <f t="shared" si="1"/>
        <v>0</v>
      </c>
    </row>
    <row r="668" ht="15.75" customHeight="1">
      <c r="A668" s="7" t="s">
        <v>1229</v>
      </c>
      <c r="B668" s="4" t="s">
        <v>1230</v>
      </c>
      <c r="C668" s="6"/>
      <c r="D668" s="6" t="s">
        <v>55</v>
      </c>
      <c r="E668" s="6"/>
      <c r="F668" s="6" t="b">
        <f t="shared" si="1"/>
        <v>0</v>
      </c>
    </row>
    <row r="669" ht="15.75" customHeight="1">
      <c r="A669" s="7" t="s">
        <v>1231</v>
      </c>
      <c r="B669" s="4" t="s">
        <v>1232</v>
      </c>
      <c r="C669" s="5" t="s">
        <v>16</v>
      </c>
      <c r="D669" s="6" t="s">
        <v>1233</v>
      </c>
      <c r="E669" s="6"/>
      <c r="F669" s="6" t="b">
        <f t="shared" si="1"/>
        <v>0</v>
      </c>
    </row>
    <row r="670" ht="15.75" customHeight="1">
      <c r="A670" s="7" t="s">
        <v>1234</v>
      </c>
      <c r="B670" s="4" t="s">
        <v>1235</v>
      </c>
      <c r="C670" s="6"/>
      <c r="D670" s="6" t="s">
        <v>55</v>
      </c>
      <c r="E670" s="6"/>
      <c r="F670" s="6" t="b">
        <f t="shared" si="1"/>
        <v>0</v>
      </c>
    </row>
    <row r="671" ht="15.75" customHeight="1">
      <c r="A671" s="7" t="s">
        <v>1236</v>
      </c>
      <c r="B671" s="4" t="s">
        <v>1237</v>
      </c>
      <c r="C671" s="6"/>
      <c r="D671" s="6" t="s">
        <v>55</v>
      </c>
      <c r="E671" s="6"/>
      <c r="F671" s="6" t="b">
        <f t="shared" si="1"/>
        <v>0</v>
      </c>
    </row>
    <row r="672" ht="15.75" customHeight="1">
      <c r="A672" s="7" t="s">
        <v>1238</v>
      </c>
      <c r="B672" s="4" t="s">
        <v>1239</v>
      </c>
      <c r="C672" s="6"/>
      <c r="D672" s="6" t="s">
        <v>55</v>
      </c>
      <c r="E672" s="6"/>
      <c r="F672" s="6" t="b">
        <f t="shared" si="1"/>
        <v>0</v>
      </c>
    </row>
    <row r="673" ht="15.75" customHeight="1">
      <c r="A673" s="7" t="s">
        <v>1240</v>
      </c>
      <c r="B673" s="4" t="s">
        <v>1241</v>
      </c>
      <c r="C673" s="5" t="s">
        <v>6</v>
      </c>
      <c r="D673" s="6" t="s">
        <v>969</v>
      </c>
      <c r="E673" s="6"/>
      <c r="F673" s="6" t="b">
        <f t="shared" si="1"/>
        <v>0</v>
      </c>
    </row>
    <row r="674" ht="15.75" customHeight="1">
      <c r="A674" s="7" t="s">
        <v>1242</v>
      </c>
      <c r="B674" s="4" t="s">
        <v>1243</v>
      </c>
      <c r="C674" s="6"/>
      <c r="D674" s="6" t="s">
        <v>55</v>
      </c>
      <c r="E674" s="6"/>
      <c r="F674" s="6" t="b">
        <f t="shared" si="1"/>
        <v>0</v>
      </c>
    </row>
    <row r="675" ht="15.75" customHeight="1">
      <c r="A675" s="7" t="s">
        <v>1244</v>
      </c>
      <c r="B675" s="4" t="s">
        <v>1245</v>
      </c>
      <c r="C675" s="5" t="s">
        <v>6</v>
      </c>
      <c r="D675" s="6" t="s">
        <v>1246</v>
      </c>
      <c r="E675" s="6"/>
      <c r="F675" s="6" t="b">
        <f t="shared" si="1"/>
        <v>0</v>
      </c>
    </row>
    <row r="676" ht="15.75" customHeight="1">
      <c r="A676" s="7" t="s">
        <v>1247</v>
      </c>
      <c r="B676" s="4" t="s">
        <v>1248</v>
      </c>
      <c r="C676" s="5" t="s">
        <v>16</v>
      </c>
      <c r="D676" s="6" t="s">
        <v>1249</v>
      </c>
      <c r="E676" s="6"/>
      <c r="F676" s="6" t="b">
        <f t="shared" si="1"/>
        <v>0</v>
      </c>
    </row>
    <row r="677" ht="15.75" customHeight="1">
      <c r="A677" s="7" t="s">
        <v>1250</v>
      </c>
      <c r="B677" s="4" t="s">
        <v>1251</v>
      </c>
      <c r="C677" s="6"/>
      <c r="D677" s="6" t="s">
        <v>55</v>
      </c>
      <c r="E677" s="6"/>
      <c r="F677" s="6" t="b">
        <f t="shared" si="1"/>
        <v>0</v>
      </c>
    </row>
    <row r="678" ht="15.75" customHeight="1">
      <c r="A678" s="7" t="s">
        <v>1252</v>
      </c>
      <c r="B678" s="4" t="s">
        <v>1253</v>
      </c>
      <c r="C678" s="6"/>
      <c r="D678" s="6" t="s">
        <v>55</v>
      </c>
      <c r="E678" s="6"/>
      <c r="F678" s="6" t="b">
        <f t="shared" si="1"/>
        <v>0</v>
      </c>
    </row>
    <row r="679" ht="15.75" customHeight="1">
      <c r="A679" s="7" t="s">
        <v>1254</v>
      </c>
      <c r="B679" s="4" t="s">
        <v>1255</v>
      </c>
      <c r="C679" s="6"/>
      <c r="D679" s="6" t="s">
        <v>55</v>
      </c>
      <c r="E679" s="6"/>
      <c r="F679" s="6" t="b">
        <f t="shared" si="1"/>
        <v>0</v>
      </c>
    </row>
    <row r="680" ht="15.75" customHeight="1">
      <c r="A680" s="7" t="s">
        <v>1256</v>
      </c>
      <c r="B680" s="4" t="s">
        <v>1257</v>
      </c>
      <c r="C680" s="6"/>
      <c r="D680" s="6" t="s">
        <v>55</v>
      </c>
      <c r="E680" s="6"/>
      <c r="F680" s="6" t="b">
        <f t="shared" si="1"/>
        <v>0</v>
      </c>
    </row>
    <row r="681" ht="15.75" customHeight="1">
      <c r="A681" s="7" t="s">
        <v>1258</v>
      </c>
      <c r="B681" s="4" t="s">
        <v>1259</v>
      </c>
      <c r="C681" s="5" t="s">
        <v>6</v>
      </c>
      <c r="D681" s="6" t="s">
        <v>547</v>
      </c>
      <c r="E681" s="6"/>
      <c r="F681" s="6" t="b">
        <f t="shared" si="1"/>
        <v>0</v>
      </c>
    </row>
    <row r="682" ht="15.75" customHeight="1">
      <c r="A682" s="7" t="s">
        <v>1260</v>
      </c>
      <c r="B682" s="4" t="s">
        <v>1261</v>
      </c>
      <c r="C682" s="5" t="s">
        <v>6</v>
      </c>
      <c r="D682" s="6" t="s">
        <v>477</v>
      </c>
      <c r="E682" s="6"/>
      <c r="F682" s="6" t="b">
        <f t="shared" si="1"/>
        <v>0</v>
      </c>
    </row>
    <row r="683" ht="15.75" customHeight="1">
      <c r="A683" s="7" t="s">
        <v>1262</v>
      </c>
      <c r="B683" s="4" t="s">
        <v>1263</v>
      </c>
      <c r="C683" s="5" t="s">
        <v>6</v>
      </c>
      <c r="D683" s="6" t="s">
        <v>477</v>
      </c>
      <c r="E683" s="6"/>
      <c r="F683" s="6" t="b">
        <f t="shared" si="1"/>
        <v>0</v>
      </c>
    </row>
    <row r="684" ht="15.75" customHeight="1">
      <c r="A684" s="7" t="s">
        <v>1264</v>
      </c>
      <c r="B684" s="4" t="s">
        <v>1265</v>
      </c>
      <c r="C684" s="6"/>
      <c r="D684" s="6" t="s">
        <v>55</v>
      </c>
      <c r="E684" s="6"/>
      <c r="F684" s="6" t="b">
        <f t="shared" si="1"/>
        <v>0</v>
      </c>
    </row>
    <row r="685" ht="15.75" customHeight="1">
      <c r="A685" s="7" t="s">
        <v>1266</v>
      </c>
      <c r="B685" s="4" t="s">
        <v>1267</v>
      </c>
      <c r="C685" s="5" t="s">
        <v>6</v>
      </c>
      <c r="D685" s="6" t="s">
        <v>547</v>
      </c>
      <c r="E685" s="6"/>
      <c r="F685" s="6" t="b">
        <f t="shared" si="1"/>
        <v>0</v>
      </c>
    </row>
    <row r="686" ht="15.75" customHeight="1">
      <c r="A686" s="7" t="s">
        <v>1268</v>
      </c>
      <c r="B686" s="4" t="s">
        <v>1269</v>
      </c>
      <c r="C686" s="6"/>
      <c r="D686" s="6" t="s">
        <v>55</v>
      </c>
      <c r="E686" s="6"/>
      <c r="F686" s="6" t="b">
        <f t="shared" si="1"/>
        <v>0</v>
      </c>
    </row>
    <row r="687" ht="15.75" customHeight="1">
      <c r="A687" s="7" t="s">
        <v>1270</v>
      </c>
      <c r="B687" s="4" t="s">
        <v>1271</v>
      </c>
      <c r="C687" s="5" t="s">
        <v>6</v>
      </c>
      <c r="D687" s="6" t="s">
        <v>86</v>
      </c>
      <c r="E687" s="6"/>
      <c r="F687" s="6" t="b">
        <f t="shared" si="1"/>
        <v>0</v>
      </c>
    </row>
    <row r="688" ht="15.75" customHeight="1">
      <c r="A688" s="7" t="s">
        <v>1272</v>
      </c>
      <c r="B688" s="4" t="s">
        <v>1273</v>
      </c>
      <c r="C688" s="6"/>
      <c r="D688" s="6" t="s">
        <v>55</v>
      </c>
      <c r="E688" s="6"/>
      <c r="F688" s="6" t="b">
        <f t="shared" si="1"/>
        <v>0</v>
      </c>
    </row>
    <row r="689" ht="15.75" customHeight="1">
      <c r="A689" s="7" t="s">
        <v>1274</v>
      </c>
      <c r="B689" s="4" t="s">
        <v>1275</v>
      </c>
      <c r="C689" s="5" t="s">
        <v>16</v>
      </c>
      <c r="D689" s="6" t="s">
        <v>1276</v>
      </c>
      <c r="E689" s="6"/>
      <c r="F689" s="6" t="b">
        <f t="shared" si="1"/>
        <v>0</v>
      </c>
    </row>
    <row r="690" ht="15.75" customHeight="1">
      <c r="A690" s="7" t="s">
        <v>1277</v>
      </c>
      <c r="B690" s="4" t="s">
        <v>1278</v>
      </c>
      <c r="C690" s="5" t="s">
        <v>6</v>
      </c>
      <c r="D690" s="6" t="s">
        <v>1279</v>
      </c>
      <c r="E690" s="6"/>
      <c r="F690" s="6" t="b">
        <f t="shared" si="1"/>
        <v>0</v>
      </c>
    </row>
    <row r="691" ht="15.75" customHeight="1">
      <c r="A691" s="3" t="s">
        <v>1280</v>
      </c>
      <c r="B691" s="4"/>
      <c r="C691" s="5"/>
      <c r="D691" s="5"/>
      <c r="E691" s="6"/>
      <c r="F691" s="6" t="b">
        <f t="shared" si="1"/>
        <v>0</v>
      </c>
    </row>
    <row r="692" ht="15.75" customHeight="1">
      <c r="A692" s="7" t="s">
        <v>1281</v>
      </c>
      <c r="B692" s="4" t="s">
        <v>1282</v>
      </c>
      <c r="C692" s="6"/>
      <c r="D692" s="6" t="s">
        <v>55</v>
      </c>
      <c r="E692" s="6"/>
      <c r="F692" s="6" t="b">
        <f t="shared" si="1"/>
        <v>0</v>
      </c>
    </row>
    <row r="693" ht="15.75" customHeight="1">
      <c r="A693" s="7" t="s">
        <v>1283</v>
      </c>
      <c r="B693" s="4" t="s">
        <v>1284</v>
      </c>
      <c r="C693" s="6"/>
      <c r="D693" s="6" t="s">
        <v>150</v>
      </c>
      <c r="E693" s="6"/>
      <c r="F693" s="6" t="b">
        <f t="shared" si="1"/>
        <v>0</v>
      </c>
    </row>
    <row r="694" ht="15.75" customHeight="1">
      <c r="A694" s="7" t="s">
        <v>1285</v>
      </c>
      <c r="B694" s="4" t="s">
        <v>1286</v>
      </c>
      <c r="C694" s="5" t="s">
        <v>6</v>
      </c>
      <c r="D694" s="6" t="s">
        <v>1287</v>
      </c>
      <c r="E694" s="6"/>
      <c r="F694" s="6" t="b">
        <f t="shared" si="1"/>
        <v>0</v>
      </c>
    </row>
    <row r="695" ht="15.75" customHeight="1">
      <c r="A695" s="7" t="s">
        <v>1288</v>
      </c>
      <c r="B695" s="4" t="s">
        <v>1289</v>
      </c>
      <c r="C695" s="6"/>
      <c r="D695" s="6" t="s">
        <v>150</v>
      </c>
      <c r="E695" s="6"/>
      <c r="F695" s="6" t="b">
        <f t="shared" si="1"/>
        <v>0</v>
      </c>
    </row>
    <row r="696" ht="15.75" customHeight="1">
      <c r="A696" s="7" t="s">
        <v>1290</v>
      </c>
      <c r="B696" s="4" t="s">
        <v>1291</v>
      </c>
      <c r="C696" s="5" t="s">
        <v>6</v>
      </c>
      <c r="D696" s="6" t="s">
        <v>1292</v>
      </c>
      <c r="E696" s="6"/>
      <c r="F696" s="6" t="b">
        <f t="shared" si="1"/>
        <v>0</v>
      </c>
    </row>
    <row r="697" ht="15.75" customHeight="1">
      <c r="A697" s="7" t="s">
        <v>1293</v>
      </c>
      <c r="B697" s="4" t="s">
        <v>1294</v>
      </c>
      <c r="C697" s="8"/>
      <c r="D697" s="6" t="s">
        <v>150</v>
      </c>
      <c r="E697" s="6"/>
      <c r="F697" s="6" t="b">
        <f t="shared" si="1"/>
        <v>0</v>
      </c>
    </row>
    <row r="698" ht="15.75" customHeight="1">
      <c r="A698" s="7" t="s">
        <v>1295</v>
      </c>
      <c r="B698" s="4" t="s">
        <v>1296</v>
      </c>
      <c r="C698" s="5" t="s">
        <v>6</v>
      </c>
      <c r="D698" s="6" t="s">
        <v>1297</v>
      </c>
      <c r="E698" s="6"/>
      <c r="F698" s="6" t="b">
        <f t="shared" si="1"/>
        <v>0</v>
      </c>
    </row>
    <row r="699" ht="15.75" customHeight="1">
      <c r="A699" s="7" t="s">
        <v>1298</v>
      </c>
      <c r="B699" s="4" t="s">
        <v>1299</v>
      </c>
      <c r="C699" s="6"/>
      <c r="D699" s="6" t="s">
        <v>150</v>
      </c>
      <c r="E699" s="6"/>
      <c r="F699" s="6" t="b">
        <f t="shared" si="1"/>
        <v>0</v>
      </c>
    </row>
    <row r="700" ht="15.75" customHeight="1">
      <c r="A700" s="3" t="s">
        <v>1300</v>
      </c>
      <c r="B700" s="4"/>
      <c r="C700" s="5"/>
      <c r="D700" s="5"/>
      <c r="E700" s="6"/>
      <c r="F700" s="6" t="b">
        <f t="shared" si="1"/>
        <v>0</v>
      </c>
    </row>
    <row r="701" ht="15.75" customHeight="1">
      <c r="A701" s="7" t="s">
        <v>1301</v>
      </c>
      <c r="B701" s="4" t="s">
        <v>1302</v>
      </c>
      <c r="C701" s="5" t="s">
        <v>6</v>
      </c>
      <c r="D701" s="6" t="s">
        <v>1279</v>
      </c>
      <c r="E701" s="6"/>
      <c r="F701" s="6" t="b">
        <f t="shared" si="1"/>
        <v>0</v>
      </c>
    </row>
    <row r="702" ht="15.75" customHeight="1">
      <c r="A702" s="7" t="s">
        <v>1303</v>
      </c>
      <c r="B702" s="4" t="s">
        <v>1304</v>
      </c>
      <c r="C702" s="6"/>
      <c r="D702" s="6" t="s">
        <v>150</v>
      </c>
      <c r="E702" s="6"/>
      <c r="F702" s="6" t="b">
        <f t="shared" si="1"/>
        <v>0</v>
      </c>
    </row>
    <row r="703" ht="15.75" customHeight="1">
      <c r="A703" s="7" t="s">
        <v>1305</v>
      </c>
      <c r="B703" s="4" t="s">
        <v>1306</v>
      </c>
      <c r="C703" s="8"/>
      <c r="D703" s="6" t="s">
        <v>150</v>
      </c>
      <c r="E703" s="6"/>
      <c r="F703" s="6" t="b">
        <f t="shared" si="1"/>
        <v>0</v>
      </c>
    </row>
    <row r="704" ht="15.75" customHeight="1">
      <c r="A704" s="7" t="s">
        <v>1307</v>
      </c>
      <c r="B704" s="4" t="s">
        <v>1308</v>
      </c>
      <c r="C704" s="8"/>
      <c r="D704" s="6" t="s">
        <v>150</v>
      </c>
      <c r="E704" s="6"/>
      <c r="F704" s="6" t="b">
        <f t="shared" si="1"/>
        <v>0</v>
      </c>
    </row>
    <row r="705" ht="15.75" customHeight="1">
      <c r="A705" s="7" t="s">
        <v>1309</v>
      </c>
      <c r="B705" s="4" t="s">
        <v>1310</v>
      </c>
      <c r="C705" s="6"/>
      <c r="D705" s="6" t="s">
        <v>150</v>
      </c>
      <c r="E705" s="6"/>
      <c r="F705" s="6" t="b">
        <f t="shared" si="1"/>
        <v>0</v>
      </c>
    </row>
    <row r="706" ht="15.75" customHeight="1">
      <c r="A706" s="7" t="s">
        <v>1311</v>
      </c>
      <c r="B706" s="4" t="s">
        <v>1312</v>
      </c>
      <c r="C706" s="5" t="s">
        <v>6</v>
      </c>
      <c r="D706" s="6" t="s">
        <v>1313</v>
      </c>
      <c r="E706" s="6"/>
      <c r="F706" s="6" t="b">
        <f t="shared" si="1"/>
        <v>0</v>
      </c>
    </row>
    <row r="707" ht="15.75" customHeight="1">
      <c r="A707" s="7" t="s">
        <v>1314</v>
      </c>
      <c r="B707" s="4" t="s">
        <v>1315</v>
      </c>
      <c r="C707" s="5" t="s">
        <v>6</v>
      </c>
      <c r="D707" s="6" t="s">
        <v>1313</v>
      </c>
      <c r="E707" s="6"/>
      <c r="F707" s="6" t="b">
        <f t="shared" si="1"/>
        <v>0</v>
      </c>
    </row>
    <row r="708" ht="15.75" customHeight="1">
      <c r="A708" s="7" t="s">
        <v>1316</v>
      </c>
      <c r="B708" s="4" t="s">
        <v>1317</v>
      </c>
      <c r="C708" s="5" t="s">
        <v>6</v>
      </c>
      <c r="D708" s="6" t="s">
        <v>1318</v>
      </c>
      <c r="E708" s="6"/>
      <c r="F708" s="6" t="b">
        <f t="shared" si="1"/>
        <v>0</v>
      </c>
    </row>
    <row r="709" ht="15.75" customHeight="1">
      <c r="A709" s="7" t="s">
        <v>1319</v>
      </c>
      <c r="B709" s="4" t="s">
        <v>1320</v>
      </c>
      <c r="C709" s="6"/>
      <c r="D709" s="6" t="s">
        <v>150</v>
      </c>
      <c r="E709" s="6"/>
      <c r="F709" s="6" t="b">
        <f t="shared" si="1"/>
        <v>0</v>
      </c>
    </row>
    <row r="710" ht="15.75" customHeight="1">
      <c r="A710" s="7" t="s">
        <v>1321</v>
      </c>
      <c r="B710" s="4" t="s">
        <v>1322</v>
      </c>
      <c r="C710" s="6"/>
      <c r="D710" s="6" t="s">
        <v>150</v>
      </c>
      <c r="E710" s="6"/>
      <c r="F710" s="6" t="b">
        <f t="shared" si="1"/>
        <v>0</v>
      </c>
    </row>
    <row r="711" ht="15.75" customHeight="1">
      <c r="A711" s="7" t="s">
        <v>1323</v>
      </c>
      <c r="B711" s="4" t="s">
        <v>1324</v>
      </c>
      <c r="C711" s="8"/>
      <c r="D711" s="6" t="s">
        <v>150</v>
      </c>
      <c r="E711" s="6"/>
      <c r="F711" s="6" t="b">
        <f t="shared" si="1"/>
        <v>0</v>
      </c>
    </row>
    <row r="712" ht="15.75" customHeight="1">
      <c r="A712" s="7" t="s">
        <v>1325</v>
      </c>
      <c r="B712" s="4" t="s">
        <v>1326</v>
      </c>
      <c r="C712" s="6"/>
      <c r="D712" s="6" t="s">
        <v>150</v>
      </c>
      <c r="E712" s="6"/>
      <c r="F712" s="6" t="b">
        <f t="shared" si="1"/>
        <v>0</v>
      </c>
    </row>
    <row r="713" ht="15.75" customHeight="1">
      <c r="A713" s="7" t="s">
        <v>1327</v>
      </c>
      <c r="B713" s="4" t="s">
        <v>1328</v>
      </c>
      <c r="C713" s="5" t="s">
        <v>6</v>
      </c>
      <c r="D713" s="6" t="s">
        <v>1329</v>
      </c>
      <c r="E713" s="6"/>
      <c r="F713" s="6" t="b">
        <f t="shared" si="1"/>
        <v>0</v>
      </c>
    </row>
    <row r="714" ht="15.75" customHeight="1">
      <c r="A714" s="7" t="s">
        <v>1330</v>
      </c>
      <c r="B714" s="4" t="s">
        <v>1331</v>
      </c>
      <c r="C714" s="6"/>
      <c r="D714" s="6" t="s">
        <v>150</v>
      </c>
      <c r="E714" s="6"/>
      <c r="F714" s="6" t="b">
        <f t="shared" si="1"/>
        <v>0</v>
      </c>
    </row>
    <row r="715" ht="15.75" customHeight="1">
      <c r="A715" s="7" t="s">
        <v>1332</v>
      </c>
      <c r="B715" s="4" t="s">
        <v>1333</v>
      </c>
      <c r="C715" s="6"/>
      <c r="D715" s="6" t="s">
        <v>150</v>
      </c>
      <c r="E715" s="6"/>
      <c r="F715" s="6" t="b">
        <f t="shared" si="1"/>
        <v>0</v>
      </c>
    </row>
    <row r="716" ht="15.75" customHeight="1">
      <c r="A716" s="7" t="s">
        <v>1334</v>
      </c>
      <c r="B716" s="4" t="s">
        <v>1335</v>
      </c>
      <c r="C716" s="6"/>
      <c r="D716" s="6" t="s">
        <v>150</v>
      </c>
      <c r="E716" s="6"/>
      <c r="F716" s="6" t="b">
        <f t="shared" si="1"/>
        <v>0</v>
      </c>
    </row>
    <row r="717" ht="15.75" customHeight="1">
      <c r="A717" s="7" t="s">
        <v>1336</v>
      </c>
      <c r="B717" s="4" t="s">
        <v>1337</v>
      </c>
      <c r="C717" s="6"/>
      <c r="D717" s="6" t="s">
        <v>150</v>
      </c>
      <c r="E717" s="6"/>
      <c r="F717" s="6" t="b">
        <f t="shared" si="1"/>
        <v>0</v>
      </c>
    </row>
    <row r="718" ht="15.75" customHeight="1">
      <c r="A718" s="7" t="s">
        <v>1338</v>
      </c>
      <c r="B718" s="4" t="s">
        <v>1339</v>
      </c>
      <c r="C718" s="6"/>
      <c r="D718" s="6" t="s">
        <v>150</v>
      </c>
      <c r="E718" s="6"/>
      <c r="F718" s="6" t="b">
        <f t="shared" si="1"/>
        <v>0</v>
      </c>
    </row>
    <row r="719" ht="15.75" customHeight="1">
      <c r="A719" s="7" t="s">
        <v>1340</v>
      </c>
      <c r="B719" s="4" t="s">
        <v>1341</v>
      </c>
      <c r="C719" s="5" t="s">
        <v>6</v>
      </c>
      <c r="D719" s="6" t="s">
        <v>477</v>
      </c>
      <c r="E719" s="6"/>
      <c r="F719" s="6" t="b">
        <f t="shared" si="1"/>
        <v>0</v>
      </c>
    </row>
    <row r="720" ht="15.75" customHeight="1">
      <c r="A720" s="7" t="s">
        <v>1342</v>
      </c>
      <c r="B720" s="4" t="s">
        <v>1343</v>
      </c>
      <c r="C720" s="6"/>
      <c r="D720" s="6" t="s">
        <v>150</v>
      </c>
      <c r="E720" s="6"/>
      <c r="F720" s="6" t="b">
        <f t="shared" si="1"/>
        <v>0</v>
      </c>
    </row>
    <row r="721" ht="15.75" customHeight="1">
      <c r="A721" s="7" t="s">
        <v>1344</v>
      </c>
      <c r="B721" s="4" t="s">
        <v>1345</v>
      </c>
      <c r="C721" s="5" t="s">
        <v>6</v>
      </c>
      <c r="D721" s="6" t="s">
        <v>547</v>
      </c>
      <c r="E721" s="6"/>
      <c r="F721" s="6" t="b">
        <f t="shared" si="1"/>
        <v>0</v>
      </c>
    </row>
    <row r="722" ht="15.75" customHeight="1">
      <c r="A722" s="7" t="s">
        <v>1346</v>
      </c>
      <c r="B722" s="4" t="s">
        <v>1347</v>
      </c>
      <c r="C722" s="6"/>
      <c r="D722" s="6" t="s">
        <v>150</v>
      </c>
      <c r="E722" s="6"/>
      <c r="F722" s="6" t="b">
        <f t="shared" si="1"/>
        <v>0</v>
      </c>
    </row>
    <row r="723" ht="15.75" customHeight="1">
      <c r="A723" s="7" t="s">
        <v>1348</v>
      </c>
      <c r="B723" s="4" t="s">
        <v>1349</v>
      </c>
      <c r="C723" s="6"/>
      <c r="D723" s="6" t="s">
        <v>150</v>
      </c>
      <c r="E723" s="6"/>
      <c r="F723" s="6" t="b">
        <f t="shared" si="1"/>
        <v>0</v>
      </c>
    </row>
    <row r="724" ht="15.75" customHeight="1">
      <c r="A724" s="7" t="s">
        <v>1350</v>
      </c>
      <c r="B724" s="4" t="s">
        <v>1351</v>
      </c>
      <c r="C724" s="5" t="s">
        <v>6</v>
      </c>
      <c r="D724" s="6" t="s">
        <v>1279</v>
      </c>
      <c r="E724" s="6"/>
      <c r="F724" s="6" t="b">
        <f t="shared" si="1"/>
        <v>0</v>
      </c>
    </row>
    <row r="725" ht="15.75" customHeight="1">
      <c r="A725" s="7" t="s">
        <v>1352</v>
      </c>
      <c r="B725" s="4" t="s">
        <v>1353</v>
      </c>
      <c r="C725" s="6"/>
      <c r="D725" s="6" t="s">
        <v>150</v>
      </c>
      <c r="E725" s="6"/>
      <c r="F725" s="6" t="b">
        <f t="shared" si="1"/>
        <v>0</v>
      </c>
    </row>
    <row r="726" ht="15.75" customHeight="1">
      <c r="A726" s="7" t="s">
        <v>1354</v>
      </c>
      <c r="B726" s="4" t="s">
        <v>1355</v>
      </c>
      <c r="C726" s="5" t="s">
        <v>6</v>
      </c>
      <c r="D726" s="6" t="s">
        <v>477</v>
      </c>
      <c r="E726" s="6"/>
      <c r="F726" s="6" t="b">
        <f t="shared" si="1"/>
        <v>0</v>
      </c>
    </row>
    <row r="727" ht="15.75" customHeight="1">
      <c r="A727" s="7" t="s">
        <v>1356</v>
      </c>
      <c r="B727" s="4" t="s">
        <v>1357</v>
      </c>
      <c r="C727" s="5" t="s">
        <v>6</v>
      </c>
      <c r="D727" s="6" t="s">
        <v>547</v>
      </c>
      <c r="E727" s="6"/>
      <c r="F727" s="6" t="b">
        <f t="shared" si="1"/>
        <v>0</v>
      </c>
    </row>
    <row r="728" ht="15.75" customHeight="1">
      <c r="A728" s="7" t="s">
        <v>1358</v>
      </c>
      <c r="B728" s="4" t="s">
        <v>1359</v>
      </c>
      <c r="C728" s="6"/>
      <c r="D728" s="6" t="s">
        <v>150</v>
      </c>
      <c r="E728" s="6"/>
      <c r="F728" s="6" t="b">
        <f t="shared" si="1"/>
        <v>0</v>
      </c>
    </row>
    <row r="729" ht="15.75" customHeight="1">
      <c r="A729" s="7" t="s">
        <v>1360</v>
      </c>
      <c r="B729" s="4" t="s">
        <v>1361</v>
      </c>
      <c r="C729" s="6"/>
      <c r="D729" s="6" t="s">
        <v>150</v>
      </c>
      <c r="E729" s="6"/>
      <c r="F729" s="6" t="b">
        <f t="shared" si="1"/>
        <v>0</v>
      </c>
    </row>
    <row r="730" ht="15.75" customHeight="1">
      <c r="A730" s="7" t="s">
        <v>1362</v>
      </c>
      <c r="B730" s="4" t="s">
        <v>1363</v>
      </c>
      <c r="C730" s="5" t="s">
        <v>6</v>
      </c>
      <c r="D730" s="6" t="s">
        <v>1364</v>
      </c>
      <c r="E730" s="6"/>
      <c r="F730" s="6" t="b">
        <f t="shared" si="1"/>
        <v>0</v>
      </c>
    </row>
    <row r="731" ht="15.75" customHeight="1">
      <c r="A731" s="7" t="s">
        <v>1365</v>
      </c>
      <c r="B731" s="4" t="s">
        <v>1366</v>
      </c>
      <c r="C731" s="5" t="s">
        <v>16</v>
      </c>
      <c r="D731" s="6" t="s">
        <v>1367</v>
      </c>
      <c r="E731" s="6"/>
      <c r="F731" s="6" t="b">
        <f t="shared" si="1"/>
        <v>0</v>
      </c>
    </row>
    <row r="732" ht="15.75" customHeight="1">
      <c r="A732" s="7" t="s">
        <v>1368</v>
      </c>
      <c r="B732" s="4" t="s">
        <v>1369</v>
      </c>
      <c r="C732" s="8"/>
      <c r="D732" s="6" t="s">
        <v>150</v>
      </c>
      <c r="E732" s="6"/>
      <c r="F732" s="6" t="b">
        <f t="shared" si="1"/>
        <v>0</v>
      </c>
    </row>
    <row r="733" ht="15.75" customHeight="1">
      <c r="A733" s="7" t="s">
        <v>1370</v>
      </c>
      <c r="B733" s="4" t="s">
        <v>1371</v>
      </c>
      <c r="C733" s="5" t="s">
        <v>6</v>
      </c>
      <c r="D733" s="6" t="s">
        <v>1372</v>
      </c>
      <c r="E733" s="6"/>
      <c r="F733" s="6" t="b">
        <f t="shared" si="1"/>
        <v>0</v>
      </c>
    </row>
    <row r="734" ht="15.75" customHeight="1">
      <c r="A734" s="7" t="s">
        <v>1373</v>
      </c>
      <c r="B734" s="4" t="s">
        <v>1374</v>
      </c>
      <c r="C734" s="5" t="s">
        <v>6</v>
      </c>
      <c r="D734" s="6" t="s">
        <v>477</v>
      </c>
      <c r="E734" s="6"/>
      <c r="F734" s="6" t="b">
        <f t="shared" si="1"/>
        <v>0</v>
      </c>
    </row>
    <row r="735" ht="15.75" customHeight="1">
      <c r="A735" s="7" t="s">
        <v>1375</v>
      </c>
      <c r="B735" s="4" t="s">
        <v>1376</v>
      </c>
      <c r="C735" s="5" t="s">
        <v>6</v>
      </c>
      <c r="D735" s="6" t="s">
        <v>1313</v>
      </c>
      <c r="E735" s="6"/>
      <c r="F735" s="6" t="b">
        <f t="shared" si="1"/>
        <v>0</v>
      </c>
    </row>
    <row r="736" ht="15.75" customHeight="1">
      <c r="A736" s="7" t="s">
        <v>1377</v>
      </c>
      <c r="B736" s="4" t="s">
        <v>1378</v>
      </c>
      <c r="C736" s="5" t="s">
        <v>6</v>
      </c>
      <c r="D736" s="6" t="s">
        <v>1379</v>
      </c>
      <c r="E736" s="6"/>
      <c r="F736" s="6" t="b">
        <f t="shared" si="1"/>
        <v>0</v>
      </c>
    </row>
    <row r="737" ht="15.75" customHeight="1">
      <c r="A737" s="7" t="s">
        <v>1380</v>
      </c>
      <c r="B737" s="4" t="s">
        <v>1381</v>
      </c>
      <c r="C737" s="6"/>
      <c r="D737" s="6" t="s">
        <v>150</v>
      </c>
      <c r="E737" s="6"/>
      <c r="F737" s="6" t="b">
        <f t="shared" si="1"/>
        <v>0</v>
      </c>
    </row>
    <row r="738" ht="15.75" customHeight="1">
      <c r="A738" s="7" t="s">
        <v>1382</v>
      </c>
      <c r="B738" s="4" t="s">
        <v>1383</v>
      </c>
      <c r="C738" s="5" t="s">
        <v>6</v>
      </c>
      <c r="D738" s="6" t="s">
        <v>547</v>
      </c>
      <c r="E738" s="6"/>
      <c r="F738" s="6" t="b">
        <f t="shared" si="1"/>
        <v>0</v>
      </c>
    </row>
    <row r="739" ht="15.75" customHeight="1">
      <c r="A739" s="7" t="s">
        <v>1384</v>
      </c>
      <c r="B739" s="4" t="s">
        <v>1385</v>
      </c>
      <c r="C739" s="6"/>
      <c r="D739" s="6" t="s">
        <v>150</v>
      </c>
      <c r="E739" s="6"/>
      <c r="F739" s="6" t="b">
        <f t="shared" si="1"/>
        <v>0</v>
      </c>
    </row>
    <row r="740" ht="15.75" customHeight="1">
      <c r="A740" s="7" t="s">
        <v>1386</v>
      </c>
      <c r="B740" s="4" t="s">
        <v>1387</v>
      </c>
      <c r="C740" s="8"/>
      <c r="D740" s="6" t="s">
        <v>150</v>
      </c>
      <c r="E740" s="6"/>
      <c r="F740" s="6" t="b">
        <f t="shared" si="1"/>
        <v>0</v>
      </c>
    </row>
    <row r="741" ht="15.75" customHeight="1">
      <c r="A741" s="7" t="s">
        <v>1388</v>
      </c>
      <c r="B741" s="4" t="s">
        <v>1389</v>
      </c>
      <c r="C741" s="6"/>
      <c r="D741" s="6" t="s">
        <v>150</v>
      </c>
      <c r="E741" s="6"/>
      <c r="F741" s="6" t="b">
        <f t="shared" si="1"/>
        <v>0</v>
      </c>
    </row>
    <row r="742" ht="15.75" customHeight="1">
      <c r="A742" s="7" t="s">
        <v>1390</v>
      </c>
      <c r="B742" s="4" t="s">
        <v>1391</v>
      </c>
      <c r="C742" s="5" t="s">
        <v>6</v>
      </c>
      <c r="D742" s="6" t="s">
        <v>1118</v>
      </c>
      <c r="E742" s="6"/>
      <c r="F742" s="6" t="b">
        <f t="shared" si="1"/>
        <v>0</v>
      </c>
    </row>
    <row r="743" ht="15.75" customHeight="1">
      <c r="A743" s="7" t="s">
        <v>1392</v>
      </c>
      <c r="B743" s="4" t="s">
        <v>1393</v>
      </c>
      <c r="C743" s="5" t="s">
        <v>6</v>
      </c>
      <c r="D743" s="6" t="s">
        <v>547</v>
      </c>
      <c r="E743" s="6"/>
      <c r="F743" s="6" t="b">
        <f t="shared" si="1"/>
        <v>0</v>
      </c>
    </row>
    <row r="744" ht="15.75" customHeight="1">
      <c r="A744" s="7" t="s">
        <v>1394</v>
      </c>
      <c r="B744" s="4" t="s">
        <v>1395</v>
      </c>
      <c r="C744" s="6"/>
      <c r="D744" s="6" t="s">
        <v>150</v>
      </c>
      <c r="E744" s="6"/>
      <c r="F744" s="6" t="b">
        <f t="shared" si="1"/>
        <v>0</v>
      </c>
    </row>
    <row r="745" ht="15.75" customHeight="1">
      <c r="A745" s="7" t="s">
        <v>1396</v>
      </c>
      <c r="B745" s="4" t="s">
        <v>1397</v>
      </c>
      <c r="C745" s="6"/>
      <c r="D745" s="6" t="s">
        <v>150</v>
      </c>
      <c r="E745" s="6"/>
      <c r="F745" s="6" t="b">
        <f t="shared" si="1"/>
        <v>0</v>
      </c>
    </row>
    <row r="746" ht="15.75" customHeight="1">
      <c r="A746" s="7" t="s">
        <v>1398</v>
      </c>
      <c r="B746" s="4" t="s">
        <v>1399</v>
      </c>
      <c r="C746" s="5" t="s">
        <v>16</v>
      </c>
      <c r="D746" s="6" t="s">
        <v>1400</v>
      </c>
      <c r="E746" s="6"/>
      <c r="F746" s="6" t="b">
        <f t="shared" si="1"/>
        <v>0</v>
      </c>
    </row>
    <row r="747" ht="15.75" customHeight="1">
      <c r="A747" s="7" t="s">
        <v>1401</v>
      </c>
      <c r="B747" s="4" t="s">
        <v>1402</v>
      </c>
      <c r="C747" s="5" t="s">
        <v>6</v>
      </c>
      <c r="D747" s="6" t="s">
        <v>547</v>
      </c>
      <c r="E747" s="6"/>
      <c r="F747" s="6" t="b">
        <f t="shared" si="1"/>
        <v>0</v>
      </c>
    </row>
    <row r="748" ht="15.75" customHeight="1">
      <c r="A748" s="7" t="s">
        <v>1403</v>
      </c>
      <c r="B748" s="4" t="s">
        <v>1404</v>
      </c>
      <c r="C748" s="5" t="s">
        <v>6</v>
      </c>
      <c r="D748" s="6" t="s">
        <v>547</v>
      </c>
      <c r="E748" s="6"/>
      <c r="F748" s="6" t="b">
        <f t="shared" si="1"/>
        <v>0</v>
      </c>
    </row>
    <row r="749" ht="15.75" customHeight="1">
      <c r="A749" s="7" t="s">
        <v>1405</v>
      </c>
      <c r="B749" s="4" t="s">
        <v>1406</v>
      </c>
      <c r="C749" s="5" t="s">
        <v>6</v>
      </c>
      <c r="D749" s="6" t="s">
        <v>547</v>
      </c>
      <c r="E749" s="6"/>
      <c r="F749" s="6" t="b">
        <f t="shared" si="1"/>
        <v>0</v>
      </c>
    </row>
    <row r="750" ht="15.75" customHeight="1">
      <c r="A750" s="7" t="s">
        <v>1407</v>
      </c>
      <c r="B750" s="4" t="s">
        <v>1408</v>
      </c>
      <c r="C750" s="5" t="s">
        <v>6</v>
      </c>
      <c r="D750" s="6" t="s">
        <v>547</v>
      </c>
      <c r="E750" s="6"/>
      <c r="F750" s="6" t="b">
        <f t="shared" si="1"/>
        <v>0</v>
      </c>
    </row>
    <row r="751" ht="15.75" customHeight="1">
      <c r="A751" s="7" t="s">
        <v>1409</v>
      </c>
      <c r="B751" s="4" t="s">
        <v>1410</v>
      </c>
      <c r="C751" s="8"/>
      <c r="D751" s="6" t="s">
        <v>150</v>
      </c>
      <c r="E751" s="6"/>
      <c r="F751" s="6" t="b">
        <f t="shared" si="1"/>
        <v>0</v>
      </c>
    </row>
    <row r="752" ht="15.75" customHeight="1">
      <c r="A752" s="7" t="s">
        <v>1411</v>
      </c>
      <c r="B752" s="4" t="s">
        <v>1412</v>
      </c>
      <c r="C752" s="5" t="s">
        <v>6</v>
      </c>
      <c r="D752" s="6" t="s">
        <v>1413</v>
      </c>
      <c r="E752" s="6"/>
      <c r="F752" s="6" t="b">
        <f t="shared" si="1"/>
        <v>0</v>
      </c>
    </row>
    <row r="753" ht="15.75" customHeight="1">
      <c r="A753" s="7" t="s">
        <v>1414</v>
      </c>
      <c r="B753" s="4" t="s">
        <v>1415</v>
      </c>
      <c r="C753" s="5" t="s">
        <v>6</v>
      </c>
      <c r="D753" s="6" t="s">
        <v>547</v>
      </c>
      <c r="E753" s="6"/>
      <c r="F753" s="6" t="b">
        <f t="shared" si="1"/>
        <v>0</v>
      </c>
    </row>
    <row r="754" ht="15.75" customHeight="1">
      <c r="A754" s="7" t="s">
        <v>1416</v>
      </c>
      <c r="B754" s="4" t="s">
        <v>1417</v>
      </c>
      <c r="C754" s="5" t="s">
        <v>6</v>
      </c>
      <c r="D754" s="6" t="s">
        <v>547</v>
      </c>
      <c r="E754" s="6"/>
      <c r="F754" s="6" t="b">
        <f t="shared" si="1"/>
        <v>0</v>
      </c>
    </row>
    <row r="755" ht="15.75" customHeight="1">
      <c r="A755" s="7" t="s">
        <v>1418</v>
      </c>
      <c r="B755" s="4" t="s">
        <v>1419</v>
      </c>
      <c r="C755" s="6"/>
      <c r="D755" s="6" t="s">
        <v>150</v>
      </c>
      <c r="E755" s="6"/>
      <c r="F755" s="6" t="b">
        <f t="shared" si="1"/>
        <v>0</v>
      </c>
    </row>
    <row r="756" ht="15.75" customHeight="1">
      <c r="A756" s="7" t="s">
        <v>1420</v>
      </c>
      <c r="B756" s="4" t="s">
        <v>1421</v>
      </c>
      <c r="C756" s="5" t="s">
        <v>6</v>
      </c>
      <c r="D756" s="6" t="s">
        <v>1422</v>
      </c>
      <c r="E756" s="6"/>
      <c r="F756" s="6" t="b">
        <f t="shared" si="1"/>
        <v>0</v>
      </c>
    </row>
    <row r="757" ht="15.75" customHeight="1">
      <c r="A757" s="7" t="s">
        <v>1423</v>
      </c>
      <c r="B757" s="4" t="s">
        <v>1424</v>
      </c>
      <c r="C757" s="6"/>
      <c r="D757" s="6" t="s">
        <v>150</v>
      </c>
      <c r="E757" s="6"/>
      <c r="F757" s="6" t="b">
        <f t="shared" si="1"/>
        <v>0</v>
      </c>
    </row>
    <row r="758" ht="15.75" customHeight="1">
      <c r="A758" s="7" t="s">
        <v>1425</v>
      </c>
      <c r="B758" s="4" t="s">
        <v>1426</v>
      </c>
      <c r="C758" s="6"/>
      <c r="D758" s="6" t="s">
        <v>150</v>
      </c>
      <c r="E758" s="6"/>
      <c r="F758" s="6" t="b">
        <f t="shared" si="1"/>
        <v>0</v>
      </c>
    </row>
    <row r="759" ht="15.75" customHeight="1">
      <c r="A759" s="7" t="s">
        <v>1427</v>
      </c>
      <c r="B759" s="4" t="s">
        <v>1428</v>
      </c>
      <c r="C759" s="5" t="s">
        <v>16</v>
      </c>
      <c r="D759" s="6" t="s">
        <v>1429</v>
      </c>
      <c r="E759" s="6"/>
      <c r="F759" s="6" t="b">
        <f t="shared" si="1"/>
        <v>0</v>
      </c>
    </row>
    <row r="760" ht="15.75" customHeight="1">
      <c r="A760" s="7" t="s">
        <v>1430</v>
      </c>
      <c r="B760" s="4" t="s">
        <v>1431</v>
      </c>
      <c r="C760" s="6"/>
      <c r="D760" s="6" t="s">
        <v>150</v>
      </c>
      <c r="E760" s="6"/>
      <c r="F760" s="6" t="b">
        <f t="shared" si="1"/>
        <v>0</v>
      </c>
    </row>
    <row r="761" ht="15.75" customHeight="1">
      <c r="A761" s="7" t="s">
        <v>1432</v>
      </c>
      <c r="B761" s="4" t="s">
        <v>1433</v>
      </c>
      <c r="C761" s="5" t="s">
        <v>16</v>
      </c>
      <c r="D761" s="6" t="s">
        <v>1434</v>
      </c>
      <c r="E761" s="6"/>
      <c r="F761" s="6" t="b">
        <f t="shared" si="1"/>
        <v>0</v>
      </c>
    </row>
    <row r="762" ht="15.75" customHeight="1">
      <c r="A762" s="7" t="s">
        <v>1435</v>
      </c>
      <c r="B762" s="4" t="s">
        <v>1436</v>
      </c>
      <c r="C762" s="6"/>
      <c r="D762" s="6" t="s">
        <v>150</v>
      </c>
      <c r="E762" s="6"/>
      <c r="F762" s="6" t="b">
        <f t="shared" si="1"/>
        <v>0</v>
      </c>
    </row>
    <row r="763" ht="15.75" customHeight="1">
      <c r="A763" s="7" t="s">
        <v>1437</v>
      </c>
      <c r="B763" s="4" t="s">
        <v>1438</v>
      </c>
      <c r="C763" s="5" t="s">
        <v>6</v>
      </c>
      <c r="D763" s="6" t="s">
        <v>1422</v>
      </c>
      <c r="E763" s="6"/>
      <c r="F763" s="6" t="b">
        <f t="shared" si="1"/>
        <v>0</v>
      </c>
    </row>
    <row r="764" ht="15.75" customHeight="1">
      <c r="A764" s="7" t="s">
        <v>1439</v>
      </c>
      <c r="B764" s="4" t="s">
        <v>1440</v>
      </c>
      <c r="C764" s="5" t="s">
        <v>6</v>
      </c>
      <c r="D764" s="6" t="s">
        <v>547</v>
      </c>
      <c r="E764" s="6"/>
      <c r="F764" s="6" t="b">
        <f t="shared" si="1"/>
        <v>0</v>
      </c>
    </row>
    <row r="765" ht="15.75" customHeight="1">
      <c r="A765" s="7" t="s">
        <v>1441</v>
      </c>
      <c r="B765" s="4" t="s">
        <v>1442</v>
      </c>
      <c r="C765" s="5" t="s">
        <v>6</v>
      </c>
      <c r="D765" s="6" t="s">
        <v>1422</v>
      </c>
      <c r="E765" s="6"/>
      <c r="F765" s="6" t="b">
        <f t="shared" si="1"/>
        <v>0</v>
      </c>
    </row>
    <row r="766" ht="15.75" customHeight="1">
      <c r="A766" s="7" t="s">
        <v>1443</v>
      </c>
      <c r="B766" s="4" t="s">
        <v>1444</v>
      </c>
      <c r="C766" s="6"/>
      <c r="D766" s="6" t="s">
        <v>150</v>
      </c>
      <c r="E766" s="6"/>
      <c r="F766" s="6" t="b">
        <f t="shared" si="1"/>
        <v>0</v>
      </c>
    </row>
    <row r="767" ht="15.75" customHeight="1">
      <c r="A767" s="7" t="s">
        <v>1445</v>
      </c>
      <c r="B767" s="4" t="s">
        <v>1446</v>
      </c>
      <c r="C767" s="6"/>
      <c r="D767" s="6" t="s">
        <v>150</v>
      </c>
      <c r="E767" s="6"/>
      <c r="F767" s="6" t="b">
        <f t="shared" si="1"/>
        <v>0</v>
      </c>
    </row>
    <row r="768" ht="15.75" customHeight="1">
      <c r="A768" s="7" t="s">
        <v>1447</v>
      </c>
      <c r="B768" s="4" t="s">
        <v>1448</v>
      </c>
      <c r="C768" s="6"/>
      <c r="D768" s="6" t="s">
        <v>150</v>
      </c>
      <c r="E768" s="6"/>
      <c r="F768" s="6" t="b">
        <f t="shared" si="1"/>
        <v>0</v>
      </c>
    </row>
    <row r="769" ht="15.75" customHeight="1">
      <c r="A769" s="7" t="s">
        <v>1449</v>
      </c>
      <c r="B769" s="4" t="s">
        <v>1450</v>
      </c>
      <c r="C769" s="5" t="s">
        <v>6</v>
      </c>
      <c r="D769" s="6" t="s">
        <v>547</v>
      </c>
      <c r="E769" s="6"/>
      <c r="F769" s="6" t="b">
        <f t="shared" si="1"/>
        <v>0</v>
      </c>
    </row>
    <row r="770" ht="15.75" customHeight="1">
      <c r="A770" s="7" t="s">
        <v>1451</v>
      </c>
      <c r="B770" s="4" t="s">
        <v>1452</v>
      </c>
      <c r="C770" s="6"/>
      <c r="D770" s="6" t="s">
        <v>150</v>
      </c>
      <c r="E770" s="6"/>
      <c r="F770" s="6" t="b">
        <f t="shared" si="1"/>
        <v>0</v>
      </c>
    </row>
    <row r="771" ht="15.75" customHeight="1">
      <c r="A771" s="7" t="s">
        <v>1453</v>
      </c>
      <c r="B771" s="4" t="s">
        <v>1454</v>
      </c>
      <c r="C771" s="5" t="s">
        <v>6</v>
      </c>
      <c r="D771" s="6" t="s">
        <v>1422</v>
      </c>
      <c r="E771" s="6"/>
      <c r="F771" s="6" t="b">
        <f t="shared" si="1"/>
        <v>0</v>
      </c>
    </row>
    <row r="772" ht="15.75" customHeight="1">
      <c r="A772" s="7" t="s">
        <v>1455</v>
      </c>
      <c r="B772" s="4" t="s">
        <v>1456</v>
      </c>
      <c r="C772" s="6"/>
      <c r="D772" s="6" t="s">
        <v>150</v>
      </c>
      <c r="E772" s="6"/>
      <c r="F772" s="6" t="b">
        <f t="shared" si="1"/>
        <v>0</v>
      </c>
    </row>
    <row r="773" ht="15.75" customHeight="1">
      <c r="A773" s="7" t="s">
        <v>1457</v>
      </c>
      <c r="B773" s="4" t="s">
        <v>1458</v>
      </c>
      <c r="C773" s="5" t="s">
        <v>6</v>
      </c>
      <c r="D773" s="6" t="s">
        <v>1422</v>
      </c>
      <c r="E773" s="6"/>
      <c r="F773" s="6" t="b">
        <f t="shared" si="1"/>
        <v>0</v>
      </c>
    </row>
    <row r="774" ht="15.75" customHeight="1">
      <c r="A774" s="7" t="s">
        <v>1459</v>
      </c>
      <c r="B774" s="4" t="s">
        <v>1460</v>
      </c>
      <c r="C774" s="6"/>
      <c r="D774" s="6" t="s">
        <v>150</v>
      </c>
      <c r="E774" s="6"/>
      <c r="F774" s="6" t="b">
        <f t="shared" si="1"/>
        <v>0</v>
      </c>
    </row>
    <row r="775" ht="15.75" customHeight="1">
      <c r="A775" s="7" t="s">
        <v>1461</v>
      </c>
      <c r="B775" s="4" t="s">
        <v>1462</v>
      </c>
      <c r="C775" s="6"/>
      <c r="D775" s="6" t="s">
        <v>150</v>
      </c>
      <c r="E775" s="6"/>
      <c r="F775" s="6" t="b">
        <f t="shared" si="1"/>
        <v>0</v>
      </c>
    </row>
    <row r="776" ht="15.75" customHeight="1">
      <c r="A776" s="7" t="s">
        <v>1463</v>
      </c>
      <c r="B776" s="4" t="s">
        <v>1464</v>
      </c>
      <c r="C776" s="5" t="s">
        <v>6</v>
      </c>
      <c r="D776" s="6" t="s">
        <v>1465</v>
      </c>
      <c r="E776" s="6"/>
      <c r="F776" s="6" t="b">
        <f t="shared" si="1"/>
        <v>0</v>
      </c>
    </row>
    <row r="777" ht="15.75" customHeight="1">
      <c r="A777" s="7" t="s">
        <v>1466</v>
      </c>
      <c r="B777" s="4" t="s">
        <v>1467</v>
      </c>
      <c r="C777" s="6"/>
      <c r="D777" s="6" t="s">
        <v>150</v>
      </c>
      <c r="E777" s="6"/>
      <c r="F777" s="6" t="b">
        <f t="shared" si="1"/>
        <v>0</v>
      </c>
    </row>
    <row r="778" ht="15.75" customHeight="1">
      <c r="A778" s="7" t="s">
        <v>1468</v>
      </c>
      <c r="B778" s="4" t="s">
        <v>1469</v>
      </c>
      <c r="C778" s="6"/>
      <c r="D778" s="6" t="s">
        <v>150</v>
      </c>
      <c r="E778" s="6"/>
      <c r="F778" s="6" t="b">
        <f t="shared" si="1"/>
        <v>0</v>
      </c>
    </row>
    <row r="779" ht="15.75" customHeight="1">
      <c r="A779" s="7" t="s">
        <v>1470</v>
      </c>
      <c r="B779" s="4" t="s">
        <v>1471</v>
      </c>
      <c r="C779" s="6"/>
      <c r="D779" s="6" t="s">
        <v>150</v>
      </c>
      <c r="E779" s="6"/>
      <c r="F779" s="6" t="b">
        <f t="shared" si="1"/>
        <v>0</v>
      </c>
    </row>
    <row r="780" ht="15.75" customHeight="1">
      <c r="A780" s="7" t="s">
        <v>1472</v>
      </c>
      <c r="B780" s="4" t="s">
        <v>1473</v>
      </c>
      <c r="C780" s="6"/>
      <c r="D780" s="6" t="s">
        <v>150</v>
      </c>
      <c r="E780" s="6"/>
      <c r="F780" s="6" t="b">
        <f t="shared" si="1"/>
        <v>0</v>
      </c>
    </row>
    <row r="781" ht="15.75" customHeight="1">
      <c r="A781" s="7" t="s">
        <v>1474</v>
      </c>
      <c r="B781" s="4" t="s">
        <v>1475</v>
      </c>
      <c r="C781" s="6"/>
      <c r="D781" s="6" t="s">
        <v>150</v>
      </c>
      <c r="E781" s="6"/>
      <c r="F781" s="6" t="b">
        <f t="shared" si="1"/>
        <v>0</v>
      </c>
    </row>
    <row r="782" ht="15.75" customHeight="1">
      <c r="A782" s="7" t="s">
        <v>1476</v>
      </c>
      <c r="B782" s="4" t="s">
        <v>1477</v>
      </c>
      <c r="C782" s="5" t="s">
        <v>6</v>
      </c>
      <c r="D782" s="6" t="s">
        <v>547</v>
      </c>
      <c r="E782" s="6"/>
      <c r="F782" s="6" t="b">
        <f t="shared" si="1"/>
        <v>0</v>
      </c>
    </row>
    <row r="783" ht="15.75" customHeight="1">
      <c r="A783" s="7" t="s">
        <v>1478</v>
      </c>
      <c r="B783" s="4" t="s">
        <v>1479</v>
      </c>
      <c r="C783" s="6"/>
      <c r="D783" s="6" t="s">
        <v>150</v>
      </c>
      <c r="E783" s="6"/>
      <c r="F783" s="6" t="b">
        <f t="shared" si="1"/>
        <v>0</v>
      </c>
    </row>
    <row r="784" ht="15.75" customHeight="1">
      <c r="A784" s="7" t="s">
        <v>1480</v>
      </c>
      <c r="B784" s="4" t="s">
        <v>1481</v>
      </c>
      <c r="C784" s="5" t="s">
        <v>6</v>
      </c>
      <c r="D784" s="6" t="s">
        <v>547</v>
      </c>
      <c r="E784" s="6"/>
      <c r="F784" s="6" t="b">
        <f t="shared" si="1"/>
        <v>0</v>
      </c>
    </row>
    <row r="785" ht="15.75" customHeight="1">
      <c r="A785" s="7" t="s">
        <v>1482</v>
      </c>
      <c r="B785" s="4" t="s">
        <v>1483</v>
      </c>
      <c r="C785" s="6"/>
      <c r="D785" s="6" t="s">
        <v>150</v>
      </c>
      <c r="E785" s="6"/>
      <c r="F785" s="6" t="b">
        <f t="shared" si="1"/>
        <v>0</v>
      </c>
    </row>
    <row r="786" ht="15.75" customHeight="1">
      <c r="A786" s="7" t="s">
        <v>1484</v>
      </c>
      <c r="B786" s="4" t="s">
        <v>1485</v>
      </c>
      <c r="C786" s="5" t="s">
        <v>16</v>
      </c>
      <c r="D786" s="6" t="s">
        <v>1429</v>
      </c>
      <c r="E786" s="6"/>
      <c r="F786" s="6" t="b">
        <f t="shared" si="1"/>
        <v>0</v>
      </c>
    </row>
    <row r="787" ht="15.75" customHeight="1">
      <c r="A787" s="7" t="s">
        <v>1486</v>
      </c>
      <c r="B787" s="4" t="s">
        <v>1487</v>
      </c>
      <c r="C787" s="5" t="s">
        <v>16</v>
      </c>
      <c r="D787" s="6" t="s">
        <v>1488</v>
      </c>
      <c r="E787" s="6"/>
      <c r="F787" s="6" t="b">
        <f t="shared" si="1"/>
        <v>0</v>
      </c>
    </row>
    <row r="788" ht="15.75" customHeight="1">
      <c r="A788" s="7" t="s">
        <v>1489</v>
      </c>
      <c r="B788" s="4" t="s">
        <v>1490</v>
      </c>
      <c r="C788" s="5" t="s">
        <v>6</v>
      </c>
      <c r="D788" s="6" t="s">
        <v>547</v>
      </c>
      <c r="E788" s="6"/>
      <c r="F788" s="6" t="b">
        <f t="shared" si="1"/>
        <v>0</v>
      </c>
    </row>
    <row r="789" ht="15.75" customHeight="1">
      <c r="A789" s="7" t="s">
        <v>1491</v>
      </c>
      <c r="B789" s="4" t="s">
        <v>1492</v>
      </c>
      <c r="C789" s="5" t="s">
        <v>6</v>
      </c>
      <c r="D789" s="6" t="s">
        <v>81</v>
      </c>
      <c r="E789" s="6"/>
      <c r="F789" s="6" t="b">
        <f t="shared" si="1"/>
        <v>0</v>
      </c>
    </row>
    <row r="790" ht="15.75" customHeight="1">
      <c r="A790" s="7" t="s">
        <v>1493</v>
      </c>
      <c r="B790" s="4" t="s">
        <v>1494</v>
      </c>
      <c r="C790" s="6"/>
      <c r="D790" s="6" t="s">
        <v>150</v>
      </c>
      <c r="E790" s="6"/>
      <c r="F790" s="6" t="b">
        <f t="shared" si="1"/>
        <v>0</v>
      </c>
    </row>
    <row r="791" ht="15.75" customHeight="1">
      <c r="A791" s="7" t="s">
        <v>1495</v>
      </c>
      <c r="B791" s="4" t="s">
        <v>1496</v>
      </c>
      <c r="C791" s="5" t="s">
        <v>6</v>
      </c>
      <c r="D791" s="6" t="s">
        <v>1422</v>
      </c>
      <c r="E791" s="6"/>
      <c r="F791" s="6" t="b">
        <f t="shared" si="1"/>
        <v>0</v>
      </c>
    </row>
    <row r="792" ht="15.75" customHeight="1">
      <c r="A792" s="7" t="s">
        <v>1497</v>
      </c>
      <c r="B792" s="4" t="s">
        <v>1498</v>
      </c>
      <c r="C792" s="5" t="s">
        <v>6</v>
      </c>
      <c r="D792" s="6" t="s">
        <v>1499</v>
      </c>
      <c r="E792" s="6"/>
      <c r="F792" s="6" t="b">
        <f t="shared" si="1"/>
        <v>0</v>
      </c>
    </row>
    <row r="793" ht="15.75" customHeight="1">
      <c r="A793" s="7" t="s">
        <v>1500</v>
      </c>
      <c r="B793" s="4" t="s">
        <v>1501</v>
      </c>
      <c r="C793" s="6"/>
      <c r="D793" s="6" t="s">
        <v>150</v>
      </c>
      <c r="E793" s="6"/>
      <c r="F793" s="6" t="b">
        <f t="shared" si="1"/>
        <v>0</v>
      </c>
    </row>
    <row r="794" ht="15.75" customHeight="1">
      <c r="A794" s="7" t="s">
        <v>1502</v>
      </c>
      <c r="B794" s="4" t="s">
        <v>1503</v>
      </c>
      <c r="C794" s="6"/>
      <c r="D794" s="6" t="s">
        <v>150</v>
      </c>
      <c r="E794" s="6"/>
      <c r="F794" s="6" t="b">
        <f t="shared" si="1"/>
        <v>0</v>
      </c>
    </row>
    <row r="795" ht="15.75" customHeight="1">
      <c r="A795" s="7" t="s">
        <v>1504</v>
      </c>
      <c r="B795" s="4" t="s">
        <v>1505</v>
      </c>
      <c r="C795" s="6"/>
      <c r="D795" s="6" t="s">
        <v>150</v>
      </c>
      <c r="E795" s="6"/>
      <c r="F795" s="6" t="b">
        <f t="shared" si="1"/>
        <v>0</v>
      </c>
    </row>
    <row r="796" ht="15.75" customHeight="1">
      <c r="A796" s="7" t="s">
        <v>1506</v>
      </c>
      <c r="B796" s="4" t="s">
        <v>1507</v>
      </c>
      <c r="C796" s="6"/>
      <c r="D796" s="6" t="s">
        <v>150</v>
      </c>
      <c r="E796" s="6"/>
      <c r="F796" s="6" t="b">
        <f t="shared" si="1"/>
        <v>0</v>
      </c>
    </row>
    <row r="797" ht="15.75" customHeight="1">
      <c r="A797" s="7" t="s">
        <v>1508</v>
      </c>
      <c r="B797" s="4" t="s">
        <v>1509</v>
      </c>
      <c r="C797" s="5" t="s">
        <v>6</v>
      </c>
      <c r="D797" s="6" t="s">
        <v>547</v>
      </c>
      <c r="E797" s="6"/>
      <c r="F797" s="6" t="b">
        <f t="shared" si="1"/>
        <v>0</v>
      </c>
    </row>
    <row r="798" ht="15.75" customHeight="1">
      <c r="A798" s="3" t="s">
        <v>1510</v>
      </c>
      <c r="B798" s="4"/>
      <c r="C798" s="5"/>
      <c r="D798" s="5"/>
      <c r="E798" s="6"/>
      <c r="F798" s="6" t="b">
        <f t="shared" si="1"/>
        <v>0</v>
      </c>
    </row>
    <row r="799" ht="15.75" customHeight="1">
      <c r="A799" s="7" t="s">
        <v>1511</v>
      </c>
      <c r="B799" s="4" t="s">
        <v>1512</v>
      </c>
      <c r="C799" s="5" t="s">
        <v>6</v>
      </c>
      <c r="D799" s="6" t="s">
        <v>1513</v>
      </c>
      <c r="E799" s="6"/>
      <c r="F799" s="6" t="b">
        <f t="shared" si="1"/>
        <v>0</v>
      </c>
    </row>
    <row r="800" ht="15.75" customHeight="1">
      <c r="A800" s="7" t="s">
        <v>1514</v>
      </c>
      <c r="B800" s="4" t="s">
        <v>1515</v>
      </c>
      <c r="C800" s="5" t="s">
        <v>16</v>
      </c>
      <c r="D800" s="6" t="s">
        <v>1429</v>
      </c>
      <c r="E800" s="6"/>
      <c r="F800" s="6" t="b">
        <f t="shared" si="1"/>
        <v>0</v>
      </c>
    </row>
    <row r="801" ht="15.75" customHeight="1">
      <c r="A801" s="7" t="s">
        <v>1516</v>
      </c>
      <c r="B801" s="4" t="s">
        <v>1517</v>
      </c>
      <c r="C801" s="5" t="s">
        <v>6</v>
      </c>
      <c r="D801" s="6" t="s">
        <v>1518</v>
      </c>
      <c r="E801" s="6"/>
      <c r="F801" s="6" t="b">
        <f t="shared" si="1"/>
        <v>0</v>
      </c>
    </row>
    <row r="802" ht="15.75" customHeight="1">
      <c r="A802" s="7" t="s">
        <v>1519</v>
      </c>
      <c r="B802" s="4" t="s">
        <v>1520</v>
      </c>
      <c r="C802" s="6"/>
      <c r="D802" s="6" t="s">
        <v>150</v>
      </c>
      <c r="E802" s="6"/>
      <c r="F802" s="6" t="b">
        <f t="shared" si="1"/>
        <v>0</v>
      </c>
    </row>
    <row r="803" ht="15.75" customHeight="1">
      <c r="A803" s="7" t="s">
        <v>1521</v>
      </c>
      <c r="B803" s="4" t="s">
        <v>1522</v>
      </c>
      <c r="C803" s="5" t="s">
        <v>6</v>
      </c>
      <c r="D803" s="6" t="s">
        <v>477</v>
      </c>
      <c r="E803" s="6"/>
      <c r="F803" s="6" t="b">
        <f t="shared" si="1"/>
        <v>0</v>
      </c>
    </row>
    <row r="804" ht="15.75" customHeight="1">
      <c r="A804" s="7" t="s">
        <v>1523</v>
      </c>
      <c r="B804" s="4" t="s">
        <v>1524</v>
      </c>
      <c r="C804" s="6"/>
      <c r="D804" s="6" t="s">
        <v>150</v>
      </c>
      <c r="E804" s="6"/>
      <c r="F804" s="6" t="b">
        <f t="shared" si="1"/>
        <v>0</v>
      </c>
    </row>
    <row r="805" ht="15.75" customHeight="1">
      <c r="A805" s="7" t="s">
        <v>1525</v>
      </c>
      <c r="B805" s="4" t="s">
        <v>1526</v>
      </c>
      <c r="C805" s="6"/>
      <c r="D805" s="6" t="s">
        <v>150</v>
      </c>
      <c r="E805" s="6"/>
      <c r="F805" s="6" t="b">
        <f t="shared" si="1"/>
        <v>0</v>
      </c>
    </row>
    <row r="806" ht="15.75" customHeight="1">
      <c r="A806" s="7" t="s">
        <v>1527</v>
      </c>
      <c r="B806" s="4" t="s">
        <v>1528</v>
      </c>
      <c r="C806" s="6"/>
      <c r="D806" s="6" t="s">
        <v>150</v>
      </c>
      <c r="E806" s="6"/>
      <c r="F806" s="6" t="b">
        <f t="shared" si="1"/>
        <v>0</v>
      </c>
    </row>
    <row r="807" ht="15.75" customHeight="1">
      <c r="A807" s="7" t="s">
        <v>1529</v>
      </c>
      <c r="B807" s="4" t="s">
        <v>1530</v>
      </c>
      <c r="C807" s="5" t="s">
        <v>16</v>
      </c>
      <c r="D807" s="6" t="s">
        <v>1531</v>
      </c>
      <c r="E807" s="6"/>
      <c r="F807" s="6" t="b">
        <f t="shared" si="1"/>
        <v>0</v>
      </c>
    </row>
    <row r="808" ht="15.75" customHeight="1">
      <c r="A808" s="7" t="s">
        <v>1532</v>
      </c>
      <c r="B808" s="4" t="s">
        <v>1533</v>
      </c>
      <c r="C808" s="5" t="s">
        <v>6</v>
      </c>
      <c r="D808" s="6" t="s">
        <v>1413</v>
      </c>
      <c r="E808" s="6"/>
      <c r="F808" s="6" t="b">
        <f t="shared" si="1"/>
        <v>0</v>
      </c>
    </row>
    <row r="809" ht="15.75" customHeight="1">
      <c r="A809" s="7" t="s">
        <v>1534</v>
      </c>
      <c r="B809" s="4" t="s">
        <v>1535</v>
      </c>
      <c r="C809" s="5" t="s">
        <v>6</v>
      </c>
      <c r="D809" s="6" t="s">
        <v>477</v>
      </c>
      <c r="E809" s="6"/>
      <c r="F809" s="6" t="b">
        <f t="shared" si="1"/>
        <v>0</v>
      </c>
    </row>
    <row r="810" ht="15.75" customHeight="1">
      <c r="A810" s="7" t="s">
        <v>1536</v>
      </c>
      <c r="B810" s="4" t="s">
        <v>1537</v>
      </c>
      <c r="C810" s="6"/>
      <c r="D810" s="6" t="s">
        <v>150</v>
      </c>
      <c r="E810" s="6"/>
      <c r="F810" s="6" t="b">
        <f t="shared" si="1"/>
        <v>0</v>
      </c>
    </row>
    <row r="811" ht="15.75" customHeight="1">
      <c r="A811" s="7" t="s">
        <v>1538</v>
      </c>
      <c r="B811" s="4" t="s">
        <v>1539</v>
      </c>
      <c r="C811" s="5" t="s">
        <v>6</v>
      </c>
      <c r="D811" s="6" t="s">
        <v>1540</v>
      </c>
      <c r="E811" s="6"/>
      <c r="F811" s="6" t="b">
        <f t="shared" si="1"/>
        <v>0</v>
      </c>
    </row>
    <row r="812" ht="15.75" customHeight="1">
      <c r="A812" s="7" t="s">
        <v>1541</v>
      </c>
      <c r="B812" s="4" t="s">
        <v>1542</v>
      </c>
      <c r="C812" s="5" t="s">
        <v>6</v>
      </c>
      <c r="D812" s="6" t="s">
        <v>1540</v>
      </c>
      <c r="E812" s="6"/>
      <c r="F812" s="6" t="b">
        <f t="shared" si="1"/>
        <v>0</v>
      </c>
    </row>
    <row r="813" ht="15.75" customHeight="1">
      <c r="A813" s="7" t="s">
        <v>1543</v>
      </c>
      <c r="B813" s="4" t="s">
        <v>1544</v>
      </c>
      <c r="C813" s="5" t="s">
        <v>6</v>
      </c>
      <c r="D813" s="6" t="s">
        <v>477</v>
      </c>
      <c r="E813" s="6"/>
      <c r="F813" s="6" t="b">
        <f t="shared" si="1"/>
        <v>0</v>
      </c>
    </row>
    <row r="814" ht="15.75" customHeight="1">
      <c r="A814" s="7" t="s">
        <v>1545</v>
      </c>
      <c r="B814" s="4" t="s">
        <v>1546</v>
      </c>
      <c r="C814" s="5" t="s">
        <v>6</v>
      </c>
      <c r="D814" s="6" t="s">
        <v>477</v>
      </c>
      <c r="E814" s="6"/>
      <c r="F814" s="6" t="b">
        <f t="shared" si="1"/>
        <v>0</v>
      </c>
    </row>
    <row r="815" ht="15.75" customHeight="1">
      <c r="A815" s="7" t="s">
        <v>1547</v>
      </c>
      <c r="B815" s="4" t="s">
        <v>1548</v>
      </c>
      <c r="C815" s="5" t="s">
        <v>6</v>
      </c>
      <c r="D815" s="6" t="s">
        <v>477</v>
      </c>
      <c r="E815" s="6"/>
      <c r="F815" s="6" t="b">
        <f t="shared" si="1"/>
        <v>0</v>
      </c>
    </row>
    <row r="816" ht="15.75" customHeight="1">
      <c r="A816" s="7" t="s">
        <v>1549</v>
      </c>
      <c r="B816" s="4" t="s">
        <v>1550</v>
      </c>
      <c r="C816" s="5" t="s">
        <v>6</v>
      </c>
      <c r="D816" s="6" t="s">
        <v>477</v>
      </c>
      <c r="E816" s="6"/>
      <c r="F816" s="6" t="b">
        <f t="shared" si="1"/>
        <v>0</v>
      </c>
    </row>
    <row r="817" ht="15.75" customHeight="1">
      <c r="A817" s="7" t="s">
        <v>1551</v>
      </c>
      <c r="B817" s="4" t="s">
        <v>1552</v>
      </c>
      <c r="C817" s="5" t="s">
        <v>6</v>
      </c>
      <c r="D817" s="6" t="s">
        <v>477</v>
      </c>
      <c r="E817" s="6"/>
      <c r="F817" s="6" t="b">
        <f t="shared" si="1"/>
        <v>0</v>
      </c>
    </row>
    <row r="818" ht="15.75" customHeight="1">
      <c r="A818" s="7" t="s">
        <v>1553</v>
      </c>
      <c r="B818" s="4" t="s">
        <v>1554</v>
      </c>
      <c r="C818" s="5" t="s">
        <v>6</v>
      </c>
      <c r="D818" s="6" t="s">
        <v>477</v>
      </c>
      <c r="E818" s="6"/>
      <c r="F818" s="6" t="b">
        <f t="shared" si="1"/>
        <v>0</v>
      </c>
    </row>
    <row r="819" ht="15.75" customHeight="1">
      <c r="A819" s="7" t="s">
        <v>1555</v>
      </c>
      <c r="B819" s="4" t="s">
        <v>1556</v>
      </c>
      <c r="C819" s="5" t="s">
        <v>6</v>
      </c>
      <c r="D819" s="6" t="s">
        <v>1557</v>
      </c>
      <c r="E819" s="6"/>
      <c r="F819" s="6" t="b">
        <f t="shared" si="1"/>
        <v>0</v>
      </c>
    </row>
    <row r="820" ht="15.75" customHeight="1">
      <c r="A820" s="7" t="s">
        <v>1558</v>
      </c>
      <c r="B820" s="4" t="s">
        <v>1559</v>
      </c>
      <c r="C820" s="5" t="s">
        <v>6</v>
      </c>
      <c r="D820" s="6" t="s">
        <v>1560</v>
      </c>
      <c r="E820" s="6"/>
      <c r="F820" s="6" t="b">
        <f t="shared" si="1"/>
        <v>0</v>
      </c>
    </row>
    <row r="821" ht="15.75" customHeight="1">
      <c r="A821" s="7" t="s">
        <v>1561</v>
      </c>
      <c r="B821" s="4" t="s">
        <v>1562</v>
      </c>
      <c r="C821" s="5" t="s">
        <v>6</v>
      </c>
      <c r="D821" s="6" t="s">
        <v>477</v>
      </c>
      <c r="E821" s="6"/>
      <c r="F821" s="6" t="b">
        <f t="shared" si="1"/>
        <v>0</v>
      </c>
    </row>
    <row r="822" ht="15.75" customHeight="1">
      <c r="A822" s="7" t="s">
        <v>1563</v>
      </c>
      <c r="B822" s="4" t="s">
        <v>1564</v>
      </c>
      <c r="C822" s="5" t="s">
        <v>6</v>
      </c>
      <c r="D822" s="6" t="s">
        <v>477</v>
      </c>
      <c r="E822" s="6"/>
      <c r="F822" s="6" t="b">
        <f t="shared" si="1"/>
        <v>0</v>
      </c>
    </row>
    <row r="823" ht="15.75" customHeight="1">
      <c r="A823" s="7" t="s">
        <v>1565</v>
      </c>
      <c r="B823" s="4" t="s">
        <v>1566</v>
      </c>
      <c r="C823" s="6"/>
      <c r="D823" s="6" t="s">
        <v>150</v>
      </c>
      <c r="E823" s="6"/>
      <c r="F823" s="6" t="b">
        <f t="shared" si="1"/>
        <v>0</v>
      </c>
    </row>
    <row r="824" ht="15.75" customHeight="1">
      <c r="A824" s="7" t="s">
        <v>1567</v>
      </c>
      <c r="B824" s="4" t="s">
        <v>1568</v>
      </c>
      <c r="C824" s="6"/>
      <c r="D824" s="6" t="s">
        <v>150</v>
      </c>
      <c r="E824" s="6"/>
      <c r="F824" s="6" t="b">
        <f t="shared" si="1"/>
        <v>0</v>
      </c>
    </row>
    <row r="825" ht="15.75" customHeight="1">
      <c r="A825" s="7" t="s">
        <v>1569</v>
      </c>
      <c r="B825" s="4" t="s">
        <v>1570</v>
      </c>
      <c r="C825" s="6"/>
      <c r="D825" s="6" t="s">
        <v>150</v>
      </c>
      <c r="E825" s="6"/>
      <c r="F825" s="6" t="b">
        <f t="shared" si="1"/>
        <v>0</v>
      </c>
    </row>
    <row r="826" ht="15.75" customHeight="1">
      <c r="A826" s="7" t="s">
        <v>1571</v>
      </c>
      <c r="B826" s="4" t="s">
        <v>1572</v>
      </c>
      <c r="C826" s="5" t="s">
        <v>6</v>
      </c>
      <c r="D826" s="6" t="s">
        <v>477</v>
      </c>
      <c r="E826" s="6"/>
      <c r="F826" s="6" t="b">
        <f t="shared" si="1"/>
        <v>0</v>
      </c>
    </row>
    <row r="827" ht="15.75" customHeight="1">
      <c r="A827" s="7" t="s">
        <v>1573</v>
      </c>
      <c r="B827" s="4" t="s">
        <v>1574</v>
      </c>
      <c r="C827" s="5" t="s">
        <v>6</v>
      </c>
      <c r="D827" s="6" t="s">
        <v>1575</v>
      </c>
      <c r="E827" s="6"/>
      <c r="F827" s="6" t="b">
        <f t="shared" si="1"/>
        <v>0</v>
      </c>
    </row>
    <row r="828" ht="15.75" customHeight="1">
      <c r="A828" s="7" t="s">
        <v>1576</v>
      </c>
      <c r="B828" s="4" t="s">
        <v>1577</v>
      </c>
      <c r="C828" s="5" t="s">
        <v>6</v>
      </c>
      <c r="D828" s="6" t="s">
        <v>81</v>
      </c>
      <c r="E828" s="6"/>
      <c r="F828" s="6" t="b">
        <f t="shared" si="1"/>
        <v>0</v>
      </c>
    </row>
    <row r="829" ht="15.75" customHeight="1">
      <c r="A829" s="7" t="s">
        <v>1578</v>
      </c>
      <c r="B829" s="4" t="s">
        <v>1579</v>
      </c>
      <c r="C829" s="6"/>
      <c r="D829" s="6" t="s">
        <v>150</v>
      </c>
      <c r="E829" s="6"/>
      <c r="F829" s="6" t="b">
        <f t="shared" si="1"/>
        <v>0</v>
      </c>
    </row>
    <row r="830" ht="15.75" customHeight="1">
      <c r="A830" s="7" t="s">
        <v>1580</v>
      </c>
      <c r="B830" s="4" t="s">
        <v>1581</v>
      </c>
      <c r="C830" s="6"/>
      <c r="D830" s="6" t="s">
        <v>150</v>
      </c>
      <c r="E830" s="6"/>
      <c r="F830" s="6" t="b">
        <f t="shared" si="1"/>
        <v>0</v>
      </c>
    </row>
    <row r="831" ht="15.75" customHeight="1">
      <c r="A831" s="7" t="s">
        <v>1582</v>
      </c>
      <c r="B831" s="4" t="s">
        <v>1583</v>
      </c>
      <c r="C831" s="6"/>
      <c r="D831" s="6" t="s">
        <v>150</v>
      </c>
      <c r="E831" s="6"/>
      <c r="F831" s="6" t="b">
        <f t="shared" si="1"/>
        <v>0</v>
      </c>
    </row>
    <row r="832" ht="15.75" customHeight="1">
      <c r="A832" s="7" t="s">
        <v>1584</v>
      </c>
      <c r="B832" s="4" t="s">
        <v>1585</v>
      </c>
      <c r="C832" s="6"/>
      <c r="D832" s="6" t="s">
        <v>150</v>
      </c>
      <c r="E832" s="6"/>
      <c r="F832" s="6" t="b">
        <f t="shared" si="1"/>
        <v>0</v>
      </c>
    </row>
    <row r="833" ht="15.75" customHeight="1">
      <c r="A833" s="7" t="s">
        <v>1586</v>
      </c>
      <c r="B833" s="4" t="s">
        <v>1587</v>
      </c>
      <c r="C833" s="6"/>
      <c r="D833" s="6" t="s">
        <v>150</v>
      </c>
      <c r="E833" s="6"/>
      <c r="F833" s="6" t="b">
        <f t="shared" si="1"/>
        <v>0</v>
      </c>
    </row>
    <row r="834" ht="15.75" customHeight="1">
      <c r="A834" s="7" t="s">
        <v>1588</v>
      </c>
      <c r="B834" s="4" t="s">
        <v>1589</v>
      </c>
      <c r="C834" s="6"/>
      <c r="D834" s="6" t="s">
        <v>150</v>
      </c>
      <c r="E834" s="6"/>
      <c r="F834" s="6" t="b">
        <f t="shared" si="1"/>
        <v>0</v>
      </c>
    </row>
    <row r="835" ht="15.75" customHeight="1">
      <c r="A835" s="7" t="s">
        <v>1590</v>
      </c>
      <c r="B835" s="4" t="s">
        <v>1591</v>
      </c>
      <c r="C835" s="5" t="s">
        <v>6</v>
      </c>
      <c r="D835" s="6" t="s">
        <v>1413</v>
      </c>
      <c r="E835" s="6"/>
      <c r="F835" s="6" t="b">
        <f t="shared" si="1"/>
        <v>0</v>
      </c>
    </row>
    <row r="836" ht="15.75" customHeight="1">
      <c r="A836" s="7" t="s">
        <v>1592</v>
      </c>
      <c r="B836" s="4" t="s">
        <v>1593</v>
      </c>
      <c r="C836" s="6"/>
      <c r="D836" s="6" t="s">
        <v>150</v>
      </c>
      <c r="E836" s="6"/>
      <c r="F836" s="6" t="b">
        <f t="shared" si="1"/>
        <v>0</v>
      </c>
    </row>
    <row r="837" ht="15.75" customHeight="1">
      <c r="A837" s="7" t="s">
        <v>1594</v>
      </c>
      <c r="B837" s="4" t="s">
        <v>1595</v>
      </c>
      <c r="C837" s="6"/>
      <c r="D837" s="6" t="s">
        <v>150</v>
      </c>
      <c r="E837" s="6"/>
      <c r="F837" s="6" t="b">
        <f t="shared" si="1"/>
        <v>0</v>
      </c>
    </row>
    <row r="838" ht="15.75" customHeight="1">
      <c r="A838" s="7" t="s">
        <v>1596</v>
      </c>
      <c r="B838" s="4" t="s">
        <v>1597</v>
      </c>
      <c r="C838" s="6"/>
      <c r="D838" s="6" t="s">
        <v>150</v>
      </c>
      <c r="E838" s="6"/>
      <c r="F838" s="6" t="b">
        <f t="shared" si="1"/>
        <v>0</v>
      </c>
    </row>
    <row r="839" ht="15.75" customHeight="1">
      <c r="A839" s="7" t="s">
        <v>1598</v>
      </c>
      <c r="B839" s="4" t="s">
        <v>1599</v>
      </c>
      <c r="C839" s="6"/>
      <c r="D839" s="6" t="s">
        <v>150</v>
      </c>
      <c r="E839" s="6"/>
      <c r="F839" s="6" t="b">
        <f t="shared" si="1"/>
        <v>0</v>
      </c>
    </row>
    <row r="840" ht="15.75" customHeight="1">
      <c r="A840" s="7" t="s">
        <v>1600</v>
      </c>
      <c r="B840" s="4" t="s">
        <v>1601</v>
      </c>
      <c r="C840" s="5" t="s">
        <v>6</v>
      </c>
      <c r="D840" s="6" t="s">
        <v>1602</v>
      </c>
      <c r="E840" s="6"/>
      <c r="F840" s="6" t="b">
        <f t="shared" si="1"/>
        <v>0</v>
      </c>
    </row>
    <row r="841" ht="15.75" customHeight="1">
      <c r="A841" s="7" t="s">
        <v>1603</v>
      </c>
      <c r="B841" s="4" t="s">
        <v>1604</v>
      </c>
      <c r="C841" s="5" t="s">
        <v>6</v>
      </c>
      <c r="D841" s="6" t="s">
        <v>1413</v>
      </c>
      <c r="E841" s="6"/>
      <c r="F841" s="6" t="b">
        <f t="shared" si="1"/>
        <v>0</v>
      </c>
    </row>
    <row r="842" ht="15.75" customHeight="1">
      <c r="A842" s="7" t="s">
        <v>1605</v>
      </c>
      <c r="B842" s="4" t="s">
        <v>1606</v>
      </c>
      <c r="C842" s="5" t="s">
        <v>6</v>
      </c>
      <c r="D842" s="6" t="s">
        <v>477</v>
      </c>
      <c r="E842" s="6"/>
      <c r="F842" s="6" t="b">
        <f t="shared" si="1"/>
        <v>0</v>
      </c>
    </row>
    <row r="843" ht="15.75" customHeight="1">
      <c r="A843" s="7" t="s">
        <v>1607</v>
      </c>
      <c r="B843" s="4" t="s">
        <v>1608</v>
      </c>
      <c r="C843" s="6"/>
      <c r="D843" s="6" t="s">
        <v>150</v>
      </c>
      <c r="E843" s="6"/>
      <c r="F843" s="6" t="b">
        <f t="shared" si="1"/>
        <v>0</v>
      </c>
    </row>
    <row r="844" ht="15.75" customHeight="1">
      <c r="A844" s="7" t="s">
        <v>1609</v>
      </c>
      <c r="B844" s="4" t="s">
        <v>1610</v>
      </c>
      <c r="C844" s="6"/>
      <c r="D844" s="6" t="s">
        <v>150</v>
      </c>
      <c r="E844" s="6"/>
      <c r="F844" s="6" t="b">
        <f t="shared" si="1"/>
        <v>0</v>
      </c>
    </row>
    <row r="845" ht="15.75" customHeight="1">
      <c r="A845" s="7" t="s">
        <v>1611</v>
      </c>
      <c r="B845" s="4" t="s">
        <v>1612</v>
      </c>
      <c r="C845" s="6"/>
      <c r="D845" s="6" t="s">
        <v>150</v>
      </c>
      <c r="E845" s="6"/>
      <c r="F845" s="6" t="b">
        <f t="shared" si="1"/>
        <v>0</v>
      </c>
    </row>
    <row r="846" ht="15.75" customHeight="1">
      <c r="A846" s="7" t="s">
        <v>1613</v>
      </c>
      <c r="B846" s="4" t="s">
        <v>1614</v>
      </c>
      <c r="C846" s="5" t="s">
        <v>6</v>
      </c>
      <c r="D846" s="6" t="s">
        <v>1615</v>
      </c>
      <c r="E846" s="6"/>
      <c r="F846" s="6" t="b">
        <f t="shared" si="1"/>
        <v>0</v>
      </c>
    </row>
    <row r="847" ht="15.75" customHeight="1">
      <c r="A847" s="7" t="s">
        <v>1616</v>
      </c>
      <c r="B847" s="4" t="s">
        <v>1617</v>
      </c>
      <c r="C847" s="6"/>
      <c r="D847" s="6" t="s">
        <v>150</v>
      </c>
      <c r="E847" s="6"/>
      <c r="F847" s="6" t="b">
        <f t="shared" si="1"/>
        <v>0</v>
      </c>
    </row>
    <row r="848" ht="15.75" customHeight="1">
      <c r="A848" s="7" t="s">
        <v>1618</v>
      </c>
      <c r="B848" s="4" t="s">
        <v>1619</v>
      </c>
      <c r="C848" s="6"/>
      <c r="D848" s="6" t="s">
        <v>150</v>
      </c>
      <c r="E848" s="6"/>
      <c r="F848" s="6" t="b">
        <f t="shared" si="1"/>
        <v>0</v>
      </c>
    </row>
    <row r="849" ht="15.75" customHeight="1">
      <c r="A849" s="7" t="s">
        <v>1620</v>
      </c>
      <c r="B849" s="4" t="s">
        <v>1621</v>
      </c>
      <c r="C849" s="5" t="s">
        <v>6</v>
      </c>
      <c r="D849" s="6" t="s">
        <v>1622</v>
      </c>
      <c r="E849" s="6"/>
      <c r="F849" s="6" t="b">
        <f t="shared" si="1"/>
        <v>0</v>
      </c>
    </row>
    <row r="850" ht="15.75" customHeight="1">
      <c r="A850" s="7" t="s">
        <v>1623</v>
      </c>
      <c r="B850" s="4" t="s">
        <v>1624</v>
      </c>
      <c r="C850" s="6"/>
      <c r="D850" s="6" t="s">
        <v>150</v>
      </c>
      <c r="E850" s="6"/>
      <c r="F850" s="6" t="b">
        <f t="shared" si="1"/>
        <v>0</v>
      </c>
    </row>
    <row r="851" ht="15.75" customHeight="1">
      <c r="A851" s="7" t="s">
        <v>1625</v>
      </c>
      <c r="B851" s="4" t="s">
        <v>1626</v>
      </c>
      <c r="C851" s="5" t="s">
        <v>6</v>
      </c>
      <c r="D851" s="6" t="s">
        <v>1118</v>
      </c>
      <c r="E851" s="6"/>
      <c r="F851" s="6" t="b">
        <f t="shared" si="1"/>
        <v>0</v>
      </c>
    </row>
    <row r="852" ht="15.75" customHeight="1">
      <c r="A852" s="7" t="s">
        <v>1627</v>
      </c>
      <c r="B852" s="4" t="s">
        <v>1628</v>
      </c>
      <c r="C852" s="5" t="s">
        <v>6</v>
      </c>
      <c r="D852" s="6" t="s">
        <v>477</v>
      </c>
      <c r="E852" s="6"/>
      <c r="F852" s="6" t="b">
        <f t="shared" si="1"/>
        <v>0</v>
      </c>
    </row>
    <row r="853" ht="15.75" customHeight="1">
      <c r="A853" s="7" t="s">
        <v>1629</v>
      </c>
      <c r="B853" s="4" t="s">
        <v>1630</v>
      </c>
      <c r="C853" s="5" t="s">
        <v>6</v>
      </c>
      <c r="D853" s="6" t="s">
        <v>1413</v>
      </c>
      <c r="E853" s="6"/>
      <c r="F853" s="6" t="b">
        <f t="shared" si="1"/>
        <v>0</v>
      </c>
    </row>
    <row r="854" ht="15.75" customHeight="1">
      <c r="A854" s="7" t="s">
        <v>1631</v>
      </c>
      <c r="B854" s="4" t="s">
        <v>1632</v>
      </c>
      <c r="C854" s="5" t="s">
        <v>6</v>
      </c>
      <c r="D854" s="6" t="s">
        <v>1633</v>
      </c>
      <c r="E854" s="6"/>
      <c r="F854" s="6" t="b">
        <f t="shared" si="1"/>
        <v>0</v>
      </c>
    </row>
    <row r="855" ht="15.75" customHeight="1">
      <c r="A855" s="7" t="s">
        <v>1634</v>
      </c>
      <c r="B855" s="4" t="s">
        <v>1635</v>
      </c>
      <c r="C855" s="6"/>
      <c r="D855" s="6" t="s">
        <v>150</v>
      </c>
      <c r="E855" s="6"/>
      <c r="F855" s="6" t="b">
        <f t="shared" si="1"/>
        <v>0</v>
      </c>
    </row>
    <row r="856" ht="15.75" customHeight="1">
      <c r="A856" s="7" t="s">
        <v>1636</v>
      </c>
      <c r="B856" s="4" t="s">
        <v>1637</v>
      </c>
      <c r="C856" s="6"/>
      <c r="D856" s="6" t="s">
        <v>150</v>
      </c>
      <c r="E856" s="6"/>
      <c r="F856" s="6" t="b">
        <f t="shared" si="1"/>
        <v>0</v>
      </c>
    </row>
    <row r="857" ht="15.75" customHeight="1">
      <c r="A857" s="7" t="s">
        <v>1638</v>
      </c>
      <c r="B857" s="4" t="s">
        <v>1639</v>
      </c>
      <c r="C857" s="5" t="s">
        <v>6</v>
      </c>
      <c r="D857" s="6" t="s">
        <v>1118</v>
      </c>
      <c r="E857" s="6"/>
      <c r="F857" s="6" t="b">
        <f t="shared" si="1"/>
        <v>0</v>
      </c>
    </row>
    <row r="858" ht="15.75" customHeight="1">
      <c r="A858" s="7" t="s">
        <v>1640</v>
      </c>
      <c r="B858" s="4" t="s">
        <v>1641</v>
      </c>
      <c r="C858" s="6"/>
      <c r="D858" s="6" t="s">
        <v>150</v>
      </c>
      <c r="E858" s="6"/>
      <c r="F858" s="6" t="b">
        <f t="shared" si="1"/>
        <v>0</v>
      </c>
    </row>
    <row r="859" ht="15.75" customHeight="1">
      <c r="A859" s="7" t="s">
        <v>1642</v>
      </c>
      <c r="B859" s="4" t="s">
        <v>1643</v>
      </c>
      <c r="C859" s="5" t="s">
        <v>6</v>
      </c>
      <c r="D859" s="6" t="s">
        <v>1644</v>
      </c>
      <c r="E859" s="6"/>
      <c r="F859" s="6" t="b">
        <f t="shared" si="1"/>
        <v>0</v>
      </c>
    </row>
    <row r="860" ht="15.75" customHeight="1">
      <c r="A860" s="7" t="s">
        <v>1645</v>
      </c>
      <c r="B860" s="4" t="s">
        <v>1646</v>
      </c>
      <c r="C860" s="5" t="s">
        <v>6</v>
      </c>
      <c r="D860" s="6" t="s">
        <v>1372</v>
      </c>
      <c r="E860" s="6"/>
      <c r="F860" s="6" t="b">
        <f t="shared" si="1"/>
        <v>0</v>
      </c>
    </row>
    <row r="861" ht="15.75" customHeight="1">
      <c r="A861" s="3" t="s">
        <v>1647</v>
      </c>
      <c r="B861" s="4"/>
      <c r="C861" s="5"/>
      <c r="D861" s="5"/>
      <c r="E861" s="6"/>
      <c r="F861" s="6" t="b">
        <f t="shared" si="1"/>
        <v>0</v>
      </c>
    </row>
    <row r="862" ht="15.75" customHeight="1">
      <c r="A862" s="7" t="s">
        <v>1648</v>
      </c>
      <c r="B862" s="4" t="s">
        <v>1649</v>
      </c>
      <c r="C862" s="5" t="s">
        <v>6</v>
      </c>
      <c r="D862" s="6" t="s">
        <v>1372</v>
      </c>
      <c r="E862" s="6"/>
      <c r="F862" s="6" t="b">
        <f t="shared" si="1"/>
        <v>0</v>
      </c>
    </row>
    <row r="863" ht="15.75" customHeight="1">
      <c r="A863" s="7" t="s">
        <v>1650</v>
      </c>
      <c r="B863" s="4" t="s">
        <v>1651</v>
      </c>
      <c r="C863" s="8"/>
      <c r="D863" s="6" t="s">
        <v>150</v>
      </c>
      <c r="E863" s="6"/>
      <c r="F863" s="6" t="b">
        <f t="shared" si="1"/>
        <v>0</v>
      </c>
    </row>
    <row r="864" ht="15.75" customHeight="1">
      <c r="A864" s="7" t="s">
        <v>1652</v>
      </c>
      <c r="B864" s="4" t="s">
        <v>1653</v>
      </c>
      <c r="C864" s="6"/>
      <c r="D864" s="6" t="s">
        <v>150</v>
      </c>
      <c r="E864" s="6"/>
      <c r="F864" s="6" t="b">
        <f t="shared" si="1"/>
        <v>0</v>
      </c>
    </row>
    <row r="865" ht="15.75" customHeight="1">
      <c r="A865" s="7" t="s">
        <v>1654</v>
      </c>
      <c r="B865" s="4" t="s">
        <v>1655</v>
      </c>
      <c r="C865" s="5" t="s">
        <v>6</v>
      </c>
      <c r="D865" s="6" t="s">
        <v>1656</v>
      </c>
      <c r="E865" s="6"/>
      <c r="F865" s="6" t="b">
        <f t="shared" si="1"/>
        <v>0</v>
      </c>
    </row>
    <row r="866" ht="15.75" customHeight="1">
      <c r="A866" s="7" t="s">
        <v>1657</v>
      </c>
      <c r="B866" s="4" t="s">
        <v>1658</v>
      </c>
      <c r="C866" s="6"/>
      <c r="D866" s="6" t="s">
        <v>150</v>
      </c>
      <c r="E866" s="6"/>
      <c r="F866" s="6" t="b">
        <f t="shared" si="1"/>
        <v>0</v>
      </c>
    </row>
    <row r="867" ht="15.75" customHeight="1">
      <c r="A867" s="7" t="s">
        <v>1659</v>
      </c>
      <c r="B867" s="4" t="s">
        <v>1660</v>
      </c>
      <c r="C867" s="6"/>
      <c r="D867" s="6" t="s">
        <v>150</v>
      </c>
      <c r="E867" s="6"/>
      <c r="F867" s="6" t="b">
        <f t="shared" si="1"/>
        <v>0</v>
      </c>
    </row>
    <row r="868" ht="15.75" customHeight="1">
      <c r="A868" s="7" t="s">
        <v>1661</v>
      </c>
      <c r="B868" s="4" t="s">
        <v>1662</v>
      </c>
      <c r="C868" s="6"/>
      <c r="D868" s="6" t="s">
        <v>150</v>
      </c>
      <c r="E868" s="6"/>
      <c r="F868" s="6" t="b">
        <f t="shared" si="1"/>
        <v>0</v>
      </c>
    </row>
    <row r="869" ht="15.75" customHeight="1">
      <c r="A869" s="7" t="s">
        <v>1663</v>
      </c>
      <c r="B869" s="4" t="s">
        <v>1664</v>
      </c>
      <c r="C869" s="6"/>
      <c r="D869" s="6" t="s">
        <v>150</v>
      </c>
      <c r="E869" s="6"/>
      <c r="F869" s="6" t="b">
        <f t="shared" si="1"/>
        <v>0</v>
      </c>
    </row>
    <row r="870" ht="15.75" customHeight="1">
      <c r="A870" s="7" t="s">
        <v>1665</v>
      </c>
      <c r="B870" s="4" t="s">
        <v>1666</v>
      </c>
      <c r="C870" s="5" t="s">
        <v>16</v>
      </c>
      <c r="D870" s="6" t="s">
        <v>1667</v>
      </c>
      <c r="E870" s="6"/>
      <c r="F870" s="6" t="b">
        <f t="shared" si="1"/>
        <v>0</v>
      </c>
    </row>
    <row r="871" ht="15.75" customHeight="1">
      <c r="A871" s="7" t="s">
        <v>1668</v>
      </c>
      <c r="B871" s="4" t="s">
        <v>1669</v>
      </c>
      <c r="C871" s="6"/>
      <c r="D871" s="6" t="s">
        <v>150</v>
      </c>
      <c r="E871" s="6"/>
      <c r="F871" s="6" t="b">
        <f t="shared" si="1"/>
        <v>0</v>
      </c>
    </row>
    <row r="872" ht="15.75" customHeight="1">
      <c r="A872" s="7" t="s">
        <v>1670</v>
      </c>
      <c r="B872" s="4" t="s">
        <v>1671</v>
      </c>
      <c r="C872" s="6"/>
      <c r="D872" s="6" t="s">
        <v>150</v>
      </c>
      <c r="E872" s="6"/>
      <c r="F872" s="6" t="b">
        <f t="shared" si="1"/>
        <v>0</v>
      </c>
    </row>
    <row r="873" ht="15.75" customHeight="1">
      <c r="A873" s="7" t="s">
        <v>1672</v>
      </c>
      <c r="B873" s="4" t="s">
        <v>1673</v>
      </c>
      <c r="C873" s="5" t="s">
        <v>6</v>
      </c>
      <c r="D873" s="6" t="s">
        <v>1413</v>
      </c>
      <c r="E873" s="6"/>
      <c r="F873" s="6" t="b">
        <f t="shared" si="1"/>
        <v>0</v>
      </c>
    </row>
    <row r="874" ht="15.75" customHeight="1">
      <c r="A874" s="7" t="s">
        <v>1674</v>
      </c>
      <c r="B874" s="4" t="s">
        <v>1675</v>
      </c>
      <c r="C874" s="6"/>
      <c r="D874" s="6" t="s">
        <v>150</v>
      </c>
      <c r="E874" s="6"/>
      <c r="F874" s="6" t="b">
        <f t="shared" si="1"/>
        <v>0</v>
      </c>
    </row>
    <row r="875" ht="15.75" customHeight="1">
      <c r="A875" s="7" t="s">
        <v>1676</v>
      </c>
      <c r="B875" s="4" t="s">
        <v>1677</v>
      </c>
      <c r="C875" s="5" t="s">
        <v>6</v>
      </c>
      <c r="D875" s="6" t="s">
        <v>1372</v>
      </c>
      <c r="E875" s="6"/>
      <c r="F875" s="6" t="b">
        <f t="shared" si="1"/>
        <v>0</v>
      </c>
    </row>
    <row r="876" ht="15.75" customHeight="1">
      <c r="A876" s="7" t="s">
        <v>1678</v>
      </c>
      <c r="B876" s="4" t="s">
        <v>1679</v>
      </c>
      <c r="C876" s="5" t="s">
        <v>6</v>
      </c>
      <c r="D876" s="6" t="s">
        <v>1644</v>
      </c>
      <c r="E876" s="6"/>
      <c r="F876" s="6" t="b">
        <f t="shared" si="1"/>
        <v>0</v>
      </c>
    </row>
    <row r="877" ht="15.75" customHeight="1">
      <c r="A877" s="7" t="s">
        <v>1680</v>
      </c>
      <c r="B877" s="4" t="s">
        <v>1681</v>
      </c>
      <c r="C877" s="5" t="s">
        <v>16</v>
      </c>
      <c r="D877" s="6" t="s">
        <v>1682</v>
      </c>
      <c r="E877" s="6"/>
      <c r="F877" s="6" t="b">
        <f t="shared" si="1"/>
        <v>0</v>
      </c>
    </row>
    <row r="878" ht="15.75" customHeight="1">
      <c r="A878" s="7" t="s">
        <v>1683</v>
      </c>
      <c r="B878" s="4" t="s">
        <v>1684</v>
      </c>
      <c r="C878" s="5" t="s">
        <v>6</v>
      </c>
      <c r="D878" s="6" t="s">
        <v>1644</v>
      </c>
      <c r="E878" s="6"/>
      <c r="F878" s="6" t="b">
        <f t="shared" si="1"/>
        <v>0</v>
      </c>
    </row>
    <row r="879" ht="15.75" customHeight="1">
      <c r="A879" s="7" t="s">
        <v>1685</v>
      </c>
      <c r="B879" s="4" t="s">
        <v>1686</v>
      </c>
      <c r="C879" s="6"/>
      <c r="D879" s="6" t="s">
        <v>150</v>
      </c>
      <c r="E879" s="6"/>
      <c r="F879" s="6" t="b">
        <f t="shared" si="1"/>
        <v>0</v>
      </c>
    </row>
    <row r="880" ht="15.75" customHeight="1">
      <c r="A880" s="7" t="s">
        <v>1687</v>
      </c>
      <c r="B880" s="4" t="s">
        <v>1688</v>
      </c>
      <c r="C880" s="5" t="s">
        <v>6</v>
      </c>
      <c r="D880" s="6" t="s">
        <v>1644</v>
      </c>
      <c r="E880" s="6"/>
      <c r="F880" s="6" t="b">
        <f t="shared" si="1"/>
        <v>0</v>
      </c>
    </row>
    <row r="881" ht="15.75" customHeight="1">
      <c r="A881" s="7" t="s">
        <v>1689</v>
      </c>
      <c r="B881" s="4" t="s">
        <v>1690</v>
      </c>
      <c r="C881" s="6"/>
      <c r="D881" s="6" t="s">
        <v>150</v>
      </c>
      <c r="E881" s="6"/>
      <c r="F881" s="6" t="b">
        <f t="shared" si="1"/>
        <v>0</v>
      </c>
    </row>
    <row r="882" ht="15.75" customHeight="1">
      <c r="A882" s="7" t="s">
        <v>1691</v>
      </c>
      <c r="B882" s="4" t="s">
        <v>1692</v>
      </c>
      <c r="C882" s="6"/>
      <c r="D882" s="6" t="s">
        <v>150</v>
      </c>
      <c r="E882" s="6"/>
      <c r="F882" s="6" t="b">
        <f t="shared" si="1"/>
        <v>0</v>
      </c>
    </row>
    <row r="883" ht="15.75" customHeight="1">
      <c r="A883" s="7" t="s">
        <v>1693</v>
      </c>
      <c r="B883" s="4" t="s">
        <v>1694</v>
      </c>
      <c r="C883" s="6"/>
      <c r="D883" s="6" t="s">
        <v>150</v>
      </c>
      <c r="E883" s="6"/>
      <c r="F883" s="6" t="b">
        <f t="shared" si="1"/>
        <v>0</v>
      </c>
    </row>
    <row r="884" ht="15.75" customHeight="1">
      <c r="A884" s="7" t="s">
        <v>1695</v>
      </c>
      <c r="B884" s="4" t="s">
        <v>1696</v>
      </c>
      <c r="C884" s="6"/>
      <c r="D884" s="6" t="s">
        <v>150</v>
      </c>
      <c r="E884" s="6"/>
      <c r="F884" s="6" t="b">
        <f t="shared" si="1"/>
        <v>0</v>
      </c>
    </row>
    <row r="885" ht="15.75" customHeight="1">
      <c r="A885" s="7" t="s">
        <v>1697</v>
      </c>
      <c r="B885" s="4" t="s">
        <v>1698</v>
      </c>
      <c r="C885" s="6"/>
      <c r="D885" s="6" t="s">
        <v>150</v>
      </c>
      <c r="E885" s="6"/>
      <c r="F885" s="6" t="b">
        <f t="shared" si="1"/>
        <v>0</v>
      </c>
    </row>
    <row r="886" ht="15.75" customHeight="1">
      <c r="A886" s="7" t="s">
        <v>1699</v>
      </c>
      <c r="B886" s="4" t="s">
        <v>1700</v>
      </c>
      <c r="C886" s="6"/>
      <c r="D886" s="6" t="s">
        <v>150</v>
      </c>
      <c r="E886" s="6"/>
      <c r="F886" s="6" t="b">
        <f t="shared" si="1"/>
        <v>0</v>
      </c>
    </row>
    <row r="887" ht="15.75" customHeight="1">
      <c r="A887" s="7" t="s">
        <v>1701</v>
      </c>
      <c r="B887" s="4" t="s">
        <v>1702</v>
      </c>
      <c r="C887" s="6"/>
      <c r="D887" s="6" t="s">
        <v>150</v>
      </c>
      <c r="E887" s="6"/>
      <c r="F887" s="6" t="b">
        <f t="shared" si="1"/>
        <v>0</v>
      </c>
    </row>
    <row r="888" ht="15.75" customHeight="1">
      <c r="A888" s="7" t="s">
        <v>1703</v>
      </c>
      <c r="B888" s="4" t="s">
        <v>1704</v>
      </c>
      <c r="C888" s="8"/>
      <c r="D888" s="6" t="s">
        <v>150</v>
      </c>
      <c r="E888" s="6"/>
      <c r="F888" s="6" t="b">
        <f t="shared" si="1"/>
        <v>0</v>
      </c>
    </row>
    <row r="889" ht="15.75" customHeight="1">
      <c r="A889" s="7" t="s">
        <v>1705</v>
      </c>
      <c r="B889" s="4" t="s">
        <v>1706</v>
      </c>
      <c r="C889" s="5" t="s">
        <v>6</v>
      </c>
      <c r="D889" s="6" t="s">
        <v>1707</v>
      </c>
      <c r="E889" s="6"/>
      <c r="F889" s="6" t="b">
        <f t="shared" si="1"/>
        <v>0</v>
      </c>
    </row>
    <row r="890" ht="15.75" customHeight="1">
      <c r="A890" s="7" t="s">
        <v>1708</v>
      </c>
      <c r="B890" s="4" t="s">
        <v>1709</v>
      </c>
      <c r="C890" s="5" t="s">
        <v>6</v>
      </c>
      <c r="D890" s="6" t="s">
        <v>1710</v>
      </c>
      <c r="E890" s="6"/>
      <c r="F890" s="6" t="b">
        <f t="shared" si="1"/>
        <v>0</v>
      </c>
    </row>
    <row r="891" ht="15.75" customHeight="1">
      <c r="A891" s="7" t="s">
        <v>1711</v>
      </c>
      <c r="B891" s="4" t="s">
        <v>1712</v>
      </c>
      <c r="C891" s="6"/>
      <c r="D891" s="6" t="s">
        <v>150</v>
      </c>
      <c r="E891" s="6"/>
      <c r="F891" s="6" t="b">
        <f t="shared" si="1"/>
        <v>0</v>
      </c>
    </row>
    <row r="892" ht="15.75" customHeight="1">
      <c r="A892" s="7" t="s">
        <v>1713</v>
      </c>
      <c r="B892" s="4" t="s">
        <v>1714</v>
      </c>
      <c r="C892" s="5" t="s">
        <v>6</v>
      </c>
      <c r="D892" s="6" t="s">
        <v>81</v>
      </c>
      <c r="E892" s="6"/>
      <c r="F892" s="6" t="b">
        <f t="shared" si="1"/>
        <v>0</v>
      </c>
    </row>
    <row r="893" ht="15.75" customHeight="1">
      <c r="A893" s="7" t="s">
        <v>1715</v>
      </c>
      <c r="B893" s="4" t="s">
        <v>1716</v>
      </c>
      <c r="C893" s="5" t="s">
        <v>6</v>
      </c>
      <c r="D893" s="6" t="s">
        <v>1644</v>
      </c>
      <c r="E893" s="6"/>
      <c r="F893" s="6" t="b">
        <f t="shared" si="1"/>
        <v>0</v>
      </c>
    </row>
    <row r="894" ht="15.75" customHeight="1">
      <c r="A894" s="7" t="s">
        <v>1717</v>
      </c>
      <c r="B894" s="4" t="s">
        <v>1718</v>
      </c>
      <c r="C894" s="6"/>
      <c r="D894" s="6" t="s">
        <v>150</v>
      </c>
      <c r="E894" s="6"/>
      <c r="F894" s="6" t="b">
        <f t="shared" si="1"/>
        <v>0</v>
      </c>
    </row>
    <row r="895" ht="15.75" customHeight="1">
      <c r="A895" s="7" t="s">
        <v>1719</v>
      </c>
      <c r="B895" s="4" t="s">
        <v>1720</v>
      </c>
      <c r="C895" s="6"/>
      <c r="D895" s="6" t="s">
        <v>150</v>
      </c>
      <c r="E895" s="6"/>
      <c r="F895" s="6" t="b">
        <f t="shared" si="1"/>
        <v>0</v>
      </c>
    </row>
    <row r="896" ht="15.75" customHeight="1">
      <c r="A896" s="7" t="s">
        <v>1721</v>
      </c>
      <c r="B896" s="4" t="s">
        <v>1722</v>
      </c>
      <c r="C896" s="6"/>
      <c r="D896" s="6" t="s">
        <v>150</v>
      </c>
      <c r="E896" s="6"/>
      <c r="F896" s="6" t="b">
        <f t="shared" si="1"/>
        <v>0</v>
      </c>
    </row>
    <row r="897" ht="15.75" customHeight="1">
      <c r="A897" s="3" t="s">
        <v>1723</v>
      </c>
      <c r="B897" s="4"/>
      <c r="C897" s="5"/>
      <c r="D897" s="5"/>
      <c r="E897" s="6"/>
      <c r="F897" s="6" t="b">
        <f t="shared" si="1"/>
        <v>0</v>
      </c>
    </row>
    <row r="898" ht="15.75" customHeight="1">
      <c r="A898" s="7" t="s">
        <v>1724</v>
      </c>
      <c r="B898" s="4" t="s">
        <v>1725</v>
      </c>
      <c r="C898" s="5" t="s">
        <v>6</v>
      </c>
      <c r="D898" s="6" t="s">
        <v>81</v>
      </c>
      <c r="E898" s="6"/>
      <c r="F898" s="6" t="b">
        <f t="shared" si="1"/>
        <v>0</v>
      </c>
    </row>
    <row r="899" ht="15.75" customHeight="1">
      <c r="A899" s="7" t="s">
        <v>1726</v>
      </c>
      <c r="B899" s="4" t="s">
        <v>1727</v>
      </c>
      <c r="C899" s="8"/>
      <c r="D899" s="6" t="s">
        <v>150</v>
      </c>
      <c r="E899" s="6"/>
      <c r="F899" s="6" t="b">
        <f t="shared" si="1"/>
        <v>0</v>
      </c>
    </row>
    <row r="900" ht="15.75" customHeight="1">
      <c r="A900" s="7" t="s">
        <v>1728</v>
      </c>
      <c r="B900" s="4" t="s">
        <v>1729</v>
      </c>
      <c r="C900" s="6"/>
      <c r="D900" s="6" t="s">
        <v>150</v>
      </c>
      <c r="E900" s="6"/>
      <c r="F900" s="6" t="b">
        <f t="shared" si="1"/>
        <v>0</v>
      </c>
    </row>
    <row r="901" ht="15.75" customHeight="1">
      <c r="A901" s="7" t="s">
        <v>1730</v>
      </c>
      <c r="B901" s="4" t="s">
        <v>1731</v>
      </c>
      <c r="C901" s="5" t="s">
        <v>6</v>
      </c>
      <c r="D901" s="6" t="s">
        <v>1118</v>
      </c>
      <c r="E901" s="6"/>
      <c r="F901" s="6" t="b">
        <f t="shared" si="1"/>
        <v>0</v>
      </c>
    </row>
    <row r="902" ht="15.75" customHeight="1">
      <c r="A902" s="7" t="s">
        <v>1732</v>
      </c>
      <c r="B902" s="4" t="s">
        <v>1733</v>
      </c>
      <c r="C902" s="8"/>
      <c r="D902" s="6" t="s">
        <v>150</v>
      </c>
      <c r="E902" s="6"/>
      <c r="F902" s="6" t="b">
        <f t="shared" si="1"/>
        <v>0</v>
      </c>
    </row>
    <row r="903" ht="15.75" customHeight="1">
      <c r="A903" s="7" t="s">
        <v>1734</v>
      </c>
      <c r="B903" s="4" t="s">
        <v>1735</v>
      </c>
      <c r="C903" s="6"/>
      <c r="D903" s="6" t="s">
        <v>150</v>
      </c>
      <c r="E903" s="6"/>
      <c r="F903" s="6" t="b">
        <f t="shared" si="1"/>
        <v>0</v>
      </c>
    </row>
    <row r="904" ht="15.75" customHeight="1">
      <c r="A904" s="7" t="s">
        <v>1736</v>
      </c>
      <c r="B904" s="4" t="s">
        <v>1737</v>
      </c>
      <c r="C904" s="5" t="s">
        <v>16</v>
      </c>
      <c r="D904" s="6" t="s">
        <v>1738</v>
      </c>
      <c r="E904" s="6"/>
      <c r="F904" s="6" t="b">
        <f t="shared" si="1"/>
        <v>0</v>
      </c>
    </row>
    <row r="905" ht="15.75" customHeight="1">
      <c r="A905" s="7" t="s">
        <v>1739</v>
      </c>
      <c r="B905" s="4" t="s">
        <v>1740</v>
      </c>
      <c r="C905" s="5" t="s">
        <v>6</v>
      </c>
      <c r="D905" s="6" t="s">
        <v>1741</v>
      </c>
      <c r="E905" s="6"/>
      <c r="F905" s="6" t="b">
        <f t="shared" si="1"/>
        <v>0</v>
      </c>
    </row>
    <row r="906" ht="15.75" customHeight="1">
      <c r="A906" s="7" t="s">
        <v>1742</v>
      </c>
      <c r="B906" s="4" t="s">
        <v>1743</v>
      </c>
      <c r="C906" s="5" t="s">
        <v>6</v>
      </c>
      <c r="D906" s="6" t="s">
        <v>1741</v>
      </c>
      <c r="E906" s="6"/>
      <c r="F906" s="6" t="b">
        <f t="shared" si="1"/>
        <v>0</v>
      </c>
    </row>
    <row r="907" ht="15.75" customHeight="1">
      <c r="A907" s="7" t="s">
        <v>1744</v>
      </c>
      <c r="B907" s="4" t="s">
        <v>1745</v>
      </c>
      <c r="C907" s="5" t="s">
        <v>6</v>
      </c>
      <c r="D907" s="6" t="s">
        <v>1741</v>
      </c>
      <c r="E907" s="6"/>
      <c r="F907" s="6" t="b">
        <f t="shared" si="1"/>
        <v>0</v>
      </c>
    </row>
    <row r="908" ht="15.75" customHeight="1">
      <c r="A908" s="7" t="s">
        <v>1746</v>
      </c>
      <c r="B908" s="4" t="s">
        <v>1747</v>
      </c>
      <c r="C908" s="5" t="s">
        <v>6</v>
      </c>
      <c r="D908" s="6" t="s">
        <v>86</v>
      </c>
      <c r="E908" s="6"/>
      <c r="F908" s="6" t="b">
        <f t="shared" si="1"/>
        <v>0</v>
      </c>
    </row>
    <row r="909" ht="15.75" customHeight="1">
      <c r="A909" s="7" t="s">
        <v>1748</v>
      </c>
      <c r="B909" s="4" t="s">
        <v>1749</v>
      </c>
      <c r="C909" s="5" t="s">
        <v>6</v>
      </c>
      <c r="D909" s="6" t="s">
        <v>1741</v>
      </c>
      <c r="E909" s="6"/>
      <c r="F909" s="6" t="b">
        <f t="shared" si="1"/>
        <v>0</v>
      </c>
    </row>
    <row r="910" ht="15.75" customHeight="1">
      <c r="A910" s="7" t="s">
        <v>1750</v>
      </c>
      <c r="B910" s="4" t="s">
        <v>1751</v>
      </c>
      <c r="C910" s="5" t="s">
        <v>6</v>
      </c>
      <c r="D910" s="6" t="s">
        <v>1741</v>
      </c>
      <c r="E910" s="6"/>
      <c r="F910" s="6" t="b">
        <f t="shared" si="1"/>
        <v>0</v>
      </c>
    </row>
    <row r="911" ht="15.75" customHeight="1">
      <c r="A911" s="7" t="s">
        <v>1752</v>
      </c>
      <c r="B911" s="4" t="s">
        <v>1753</v>
      </c>
      <c r="C911" s="6"/>
      <c r="D911" s="6" t="s">
        <v>150</v>
      </c>
      <c r="E911" s="6"/>
      <c r="F911" s="6" t="b">
        <f t="shared" si="1"/>
        <v>0</v>
      </c>
    </row>
    <row r="912" ht="15.75" customHeight="1">
      <c r="A912" s="7" t="s">
        <v>1754</v>
      </c>
      <c r="B912" s="4" t="s">
        <v>1755</v>
      </c>
      <c r="C912" s="5" t="s">
        <v>6</v>
      </c>
      <c r="D912" s="6" t="s">
        <v>1756</v>
      </c>
      <c r="E912" s="6"/>
      <c r="F912" s="6" t="b">
        <f t="shared" si="1"/>
        <v>0</v>
      </c>
    </row>
    <row r="913" ht="15.75" customHeight="1">
      <c r="A913" s="7" t="s">
        <v>1757</v>
      </c>
      <c r="B913" s="4" t="s">
        <v>1758</v>
      </c>
      <c r="C913" s="6"/>
      <c r="D913" s="6" t="s">
        <v>150</v>
      </c>
      <c r="E913" s="6"/>
      <c r="F913" s="6" t="b">
        <f t="shared" si="1"/>
        <v>0</v>
      </c>
    </row>
    <row r="914" ht="15.75" customHeight="1">
      <c r="A914" s="7" t="s">
        <v>1759</v>
      </c>
      <c r="B914" s="4" t="s">
        <v>1760</v>
      </c>
      <c r="C914" s="5" t="s">
        <v>16</v>
      </c>
      <c r="D914" s="6" t="s">
        <v>1761</v>
      </c>
      <c r="E914" s="6"/>
      <c r="F914" s="6" t="b">
        <f t="shared" si="1"/>
        <v>0</v>
      </c>
    </row>
    <row r="915" ht="15.75" customHeight="1">
      <c r="A915" s="7" t="s">
        <v>1762</v>
      </c>
      <c r="B915" s="4" t="s">
        <v>1763</v>
      </c>
      <c r="C915" s="6"/>
      <c r="D915" s="6" t="s">
        <v>150</v>
      </c>
      <c r="E915" s="6"/>
      <c r="F915" s="6" t="b">
        <f t="shared" si="1"/>
        <v>0</v>
      </c>
    </row>
    <row r="916" ht="15.75" customHeight="1">
      <c r="A916" s="7" t="s">
        <v>1764</v>
      </c>
      <c r="B916" s="4" t="s">
        <v>1765</v>
      </c>
      <c r="C916" s="6"/>
      <c r="D916" s="6" t="s">
        <v>150</v>
      </c>
      <c r="E916" s="6"/>
      <c r="F916" s="6" t="b">
        <f t="shared" si="1"/>
        <v>0</v>
      </c>
    </row>
    <row r="917" ht="15.75" customHeight="1">
      <c r="A917" s="7" t="s">
        <v>1766</v>
      </c>
      <c r="B917" s="4" t="s">
        <v>1767</v>
      </c>
      <c r="C917" s="6"/>
      <c r="D917" s="6" t="s">
        <v>150</v>
      </c>
      <c r="E917" s="6"/>
      <c r="F917" s="6" t="b">
        <f t="shared" si="1"/>
        <v>0</v>
      </c>
    </row>
    <row r="918" ht="15.75" customHeight="1">
      <c r="A918" s="7" t="s">
        <v>1768</v>
      </c>
      <c r="B918" s="4" t="s">
        <v>1769</v>
      </c>
      <c r="C918" s="6"/>
      <c r="D918" s="6" t="s">
        <v>150</v>
      </c>
      <c r="E918" s="6"/>
      <c r="F918" s="6" t="b">
        <f t="shared" si="1"/>
        <v>0</v>
      </c>
    </row>
    <row r="919" ht="15.75" customHeight="1">
      <c r="A919" s="7" t="s">
        <v>1770</v>
      </c>
      <c r="B919" s="4" t="s">
        <v>1771</v>
      </c>
      <c r="C919" s="8"/>
      <c r="D919" s="6" t="s">
        <v>150</v>
      </c>
      <c r="E919" s="6"/>
      <c r="F919" s="6" t="b">
        <f t="shared" si="1"/>
        <v>0</v>
      </c>
    </row>
    <row r="920" ht="15.75" customHeight="1">
      <c r="A920" s="7" t="s">
        <v>1772</v>
      </c>
      <c r="B920" s="4" t="s">
        <v>1773</v>
      </c>
      <c r="C920" s="8"/>
      <c r="D920" s="6" t="s">
        <v>150</v>
      </c>
      <c r="E920" s="6"/>
      <c r="F920" s="6" t="b">
        <f t="shared" si="1"/>
        <v>0</v>
      </c>
    </row>
    <row r="921" ht="15.75" customHeight="1">
      <c r="A921" s="7" t="s">
        <v>1774</v>
      </c>
      <c r="B921" s="4" t="s">
        <v>1775</v>
      </c>
      <c r="C921" s="5" t="s">
        <v>6</v>
      </c>
      <c r="D921" s="6" t="s">
        <v>1776</v>
      </c>
      <c r="E921" s="6"/>
      <c r="F921" s="6" t="b">
        <f t="shared" si="1"/>
        <v>0</v>
      </c>
    </row>
    <row r="922" ht="15.75" customHeight="1">
      <c r="A922" s="7" t="s">
        <v>1777</v>
      </c>
      <c r="B922" s="4" t="s">
        <v>1778</v>
      </c>
      <c r="C922" s="5" t="s">
        <v>6</v>
      </c>
      <c r="D922" s="6" t="s">
        <v>1756</v>
      </c>
      <c r="E922" s="6"/>
      <c r="F922" s="6" t="b">
        <f t="shared" si="1"/>
        <v>0</v>
      </c>
    </row>
    <row r="923" ht="15.75" customHeight="1">
      <c r="A923" s="7" t="s">
        <v>1779</v>
      </c>
      <c r="B923" s="4" t="s">
        <v>1780</v>
      </c>
      <c r="C923" s="6"/>
      <c r="D923" s="6" t="s">
        <v>70</v>
      </c>
      <c r="E923" s="6"/>
      <c r="F923" s="6" t="b">
        <f t="shared" si="1"/>
        <v>0</v>
      </c>
    </row>
    <row r="924" ht="15.75" customHeight="1">
      <c r="A924" s="7" t="s">
        <v>1781</v>
      </c>
      <c r="B924" s="4" t="s">
        <v>1782</v>
      </c>
      <c r="C924" s="6"/>
      <c r="D924" s="6" t="s">
        <v>70</v>
      </c>
      <c r="E924" s="6"/>
      <c r="F924" s="6" t="b">
        <f t="shared" si="1"/>
        <v>0</v>
      </c>
    </row>
    <row r="925" ht="15.75" customHeight="1">
      <c r="A925" s="7" t="s">
        <v>1783</v>
      </c>
      <c r="B925" s="4" t="s">
        <v>1784</v>
      </c>
      <c r="C925" s="5" t="s">
        <v>6</v>
      </c>
      <c r="D925" s="6" t="s">
        <v>1785</v>
      </c>
      <c r="E925" s="6"/>
      <c r="F925" s="6" t="b">
        <f t="shared" si="1"/>
        <v>0</v>
      </c>
    </row>
    <row r="926" ht="15.75" customHeight="1">
      <c r="A926" s="7" t="s">
        <v>1786</v>
      </c>
      <c r="B926" s="4" t="s">
        <v>1787</v>
      </c>
      <c r="C926" s="6"/>
      <c r="D926" s="6" t="s">
        <v>70</v>
      </c>
      <c r="E926" s="6"/>
      <c r="F926" s="6" t="b">
        <f t="shared" si="1"/>
        <v>0</v>
      </c>
    </row>
    <row r="927" ht="15.75" customHeight="1">
      <c r="A927" s="7" t="s">
        <v>1788</v>
      </c>
      <c r="B927" s="4" t="s">
        <v>1789</v>
      </c>
      <c r="C927" s="8"/>
      <c r="D927" s="6" t="s">
        <v>70</v>
      </c>
      <c r="E927" s="6"/>
      <c r="F927" s="6" t="b">
        <f t="shared" si="1"/>
        <v>0</v>
      </c>
    </row>
    <row r="928" ht="15.75" customHeight="1">
      <c r="A928" s="7" t="s">
        <v>1790</v>
      </c>
      <c r="B928" s="4" t="s">
        <v>1791</v>
      </c>
      <c r="C928" s="8"/>
      <c r="D928" s="6" t="s">
        <v>70</v>
      </c>
      <c r="E928" s="6"/>
      <c r="F928" s="6" t="b">
        <f t="shared" si="1"/>
        <v>0</v>
      </c>
    </row>
    <row r="929" ht="15.75" customHeight="1">
      <c r="A929" s="7" t="s">
        <v>1792</v>
      </c>
      <c r="B929" s="4" t="s">
        <v>1793</v>
      </c>
      <c r="C929" s="5" t="s">
        <v>6</v>
      </c>
      <c r="D929" s="6" t="s">
        <v>1756</v>
      </c>
      <c r="E929" s="6"/>
      <c r="F929" s="6" t="b">
        <f t="shared" si="1"/>
        <v>0</v>
      </c>
    </row>
    <row r="930" ht="15.75" customHeight="1">
      <c r="A930" s="7" t="s">
        <v>1794</v>
      </c>
      <c r="B930" s="4" t="s">
        <v>1795</v>
      </c>
      <c r="C930" s="6"/>
      <c r="D930" s="6" t="s">
        <v>70</v>
      </c>
      <c r="E930" s="6"/>
      <c r="F930" s="6" t="b">
        <f t="shared" si="1"/>
        <v>0</v>
      </c>
    </row>
    <row r="931" ht="15.75" customHeight="1">
      <c r="A931" s="7" t="s">
        <v>1796</v>
      </c>
      <c r="B931" s="4" t="s">
        <v>1797</v>
      </c>
      <c r="C931" s="5" t="s">
        <v>6</v>
      </c>
      <c r="D931" s="6" t="s">
        <v>81</v>
      </c>
      <c r="E931" s="6"/>
      <c r="F931" s="6" t="b">
        <f t="shared" si="1"/>
        <v>0</v>
      </c>
    </row>
    <row r="932" ht="15.75" customHeight="1">
      <c r="A932" s="7" t="s">
        <v>1798</v>
      </c>
      <c r="B932" s="4" t="s">
        <v>1799</v>
      </c>
      <c r="C932" s="6"/>
      <c r="D932" s="6" t="s">
        <v>70</v>
      </c>
      <c r="E932" s="6"/>
      <c r="F932" s="6" t="b">
        <f t="shared" si="1"/>
        <v>0</v>
      </c>
    </row>
    <row r="933" ht="15.75" customHeight="1">
      <c r="A933" s="7" t="s">
        <v>1800</v>
      </c>
      <c r="B933" s="4" t="s">
        <v>1801</v>
      </c>
      <c r="C933" s="5" t="s">
        <v>6</v>
      </c>
      <c r="D933" s="6" t="s">
        <v>1802</v>
      </c>
      <c r="E933" s="6"/>
      <c r="F933" s="6" t="b">
        <f t="shared" si="1"/>
        <v>0</v>
      </c>
    </row>
    <row r="934" ht="15.75" customHeight="1">
      <c r="A934" s="7" t="s">
        <v>1803</v>
      </c>
      <c r="B934" s="4" t="s">
        <v>1804</v>
      </c>
      <c r="C934" s="6"/>
      <c r="D934" s="6" t="s">
        <v>70</v>
      </c>
      <c r="E934" s="6"/>
      <c r="F934" s="6" t="b">
        <f t="shared" si="1"/>
        <v>0</v>
      </c>
    </row>
    <row r="935" ht="15.75" customHeight="1">
      <c r="A935" s="7" t="s">
        <v>1805</v>
      </c>
      <c r="B935" s="4" t="s">
        <v>1806</v>
      </c>
      <c r="C935" s="6"/>
      <c r="D935" s="6" t="s">
        <v>70</v>
      </c>
      <c r="E935" s="6"/>
      <c r="F935" s="6" t="b">
        <f t="shared" si="1"/>
        <v>0</v>
      </c>
    </row>
    <row r="936" ht="15.75" customHeight="1">
      <c r="A936" s="7" t="s">
        <v>1807</v>
      </c>
      <c r="B936" s="4" t="s">
        <v>1808</v>
      </c>
      <c r="C936" s="6"/>
      <c r="D936" s="6" t="s">
        <v>70</v>
      </c>
      <c r="E936" s="6"/>
      <c r="F936" s="6" t="b">
        <f t="shared" si="1"/>
        <v>0</v>
      </c>
    </row>
    <row r="937" ht="15.75" customHeight="1">
      <c r="A937" s="7" t="s">
        <v>1809</v>
      </c>
      <c r="B937" s="4" t="s">
        <v>1810</v>
      </c>
      <c r="C937" s="6"/>
      <c r="D937" s="6" t="s">
        <v>70</v>
      </c>
      <c r="E937" s="6"/>
      <c r="F937" s="6" t="b">
        <f t="shared" si="1"/>
        <v>0</v>
      </c>
    </row>
    <row r="938" ht="15.75" customHeight="1">
      <c r="A938" s="7" t="s">
        <v>1811</v>
      </c>
      <c r="B938" s="4" t="s">
        <v>1812</v>
      </c>
      <c r="C938" s="6"/>
      <c r="D938" s="6" t="s">
        <v>70</v>
      </c>
      <c r="E938" s="6"/>
      <c r="F938" s="6" t="b">
        <f t="shared" si="1"/>
        <v>0</v>
      </c>
    </row>
    <row r="939" ht="15.75" customHeight="1">
      <c r="A939" s="7" t="s">
        <v>1813</v>
      </c>
      <c r="B939" s="4" t="s">
        <v>1814</v>
      </c>
      <c r="C939" s="6"/>
      <c r="D939" s="6" t="s">
        <v>70</v>
      </c>
      <c r="E939" s="6"/>
      <c r="F939" s="6" t="b">
        <f t="shared" si="1"/>
        <v>0</v>
      </c>
    </row>
    <row r="940" ht="15.75" customHeight="1">
      <c r="A940" s="7" t="s">
        <v>1815</v>
      </c>
      <c r="B940" s="4" t="s">
        <v>1816</v>
      </c>
      <c r="C940" s="6"/>
      <c r="D940" s="6" t="s">
        <v>70</v>
      </c>
      <c r="E940" s="6"/>
      <c r="F940" s="6" t="b">
        <f t="shared" si="1"/>
        <v>0</v>
      </c>
    </row>
    <row r="941" ht="15.75" customHeight="1">
      <c r="A941" s="7" t="s">
        <v>1817</v>
      </c>
      <c r="B941" s="4" t="s">
        <v>1818</v>
      </c>
      <c r="C941" s="6"/>
      <c r="D941" s="6" t="s">
        <v>70</v>
      </c>
      <c r="E941" s="6"/>
      <c r="F941" s="6" t="b">
        <f t="shared" si="1"/>
        <v>0</v>
      </c>
    </row>
    <row r="942" ht="15.75" customHeight="1">
      <c r="A942" s="7" t="s">
        <v>1819</v>
      </c>
      <c r="B942" s="4" t="s">
        <v>1820</v>
      </c>
      <c r="C942" s="6"/>
      <c r="D942" s="6" t="s">
        <v>70</v>
      </c>
      <c r="E942" s="6"/>
      <c r="F942" s="6" t="b">
        <f t="shared" si="1"/>
        <v>0</v>
      </c>
    </row>
    <row r="943" ht="15.75" customHeight="1">
      <c r="A943" s="7" t="s">
        <v>1821</v>
      </c>
      <c r="B943" s="4" t="s">
        <v>1822</v>
      </c>
      <c r="C943" s="5" t="s">
        <v>16</v>
      </c>
      <c r="D943" s="6" t="s">
        <v>1823</v>
      </c>
      <c r="E943" s="6"/>
      <c r="F943" s="6" t="b">
        <f t="shared" si="1"/>
        <v>0</v>
      </c>
    </row>
    <row r="944" ht="15.75" customHeight="1">
      <c r="A944" s="7" t="s">
        <v>1824</v>
      </c>
      <c r="B944" s="4" t="s">
        <v>1825</v>
      </c>
      <c r="C944" s="5" t="s">
        <v>6</v>
      </c>
      <c r="D944" s="6" t="s">
        <v>1826</v>
      </c>
      <c r="E944" s="6"/>
      <c r="F944" s="6" t="b">
        <f t="shared" si="1"/>
        <v>0</v>
      </c>
    </row>
    <row r="945" ht="15.75" customHeight="1">
      <c r="A945" s="7" t="s">
        <v>1827</v>
      </c>
      <c r="B945" s="4" t="s">
        <v>1828</v>
      </c>
      <c r="C945" s="5" t="s">
        <v>6</v>
      </c>
      <c r="D945" s="6" t="s">
        <v>1829</v>
      </c>
      <c r="E945" s="6"/>
      <c r="F945" s="6" t="b">
        <f t="shared" si="1"/>
        <v>0</v>
      </c>
    </row>
    <row r="946" ht="15.75" customHeight="1">
      <c r="A946" s="7" t="s">
        <v>1830</v>
      </c>
      <c r="B946" s="4" t="s">
        <v>1831</v>
      </c>
      <c r="C946" s="6"/>
      <c r="D946" s="6" t="s">
        <v>70</v>
      </c>
      <c r="E946" s="6"/>
      <c r="F946" s="6" t="b">
        <f t="shared" si="1"/>
        <v>0</v>
      </c>
    </row>
    <row r="947" ht="15.75" customHeight="1">
      <c r="A947" s="7" t="s">
        <v>1832</v>
      </c>
      <c r="B947" s="4" t="s">
        <v>1833</v>
      </c>
      <c r="C947" s="5" t="s">
        <v>6</v>
      </c>
      <c r="D947" s="6" t="s">
        <v>1741</v>
      </c>
      <c r="E947" s="6"/>
      <c r="F947" s="6" t="b">
        <f t="shared" si="1"/>
        <v>0</v>
      </c>
    </row>
    <row r="948" ht="15.75" customHeight="1">
      <c r="A948" s="7" t="s">
        <v>1834</v>
      </c>
      <c r="B948" s="4" t="s">
        <v>1835</v>
      </c>
      <c r="C948" s="6"/>
      <c r="D948" s="6" t="s">
        <v>70</v>
      </c>
      <c r="E948" s="6"/>
      <c r="F948" s="6" t="b">
        <f t="shared" si="1"/>
        <v>0</v>
      </c>
    </row>
    <row r="949" ht="15.75" customHeight="1">
      <c r="A949" s="7" t="s">
        <v>1836</v>
      </c>
      <c r="B949" s="4" t="s">
        <v>1837</v>
      </c>
      <c r="C949" s="6"/>
      <c r="D949" s="6" t="s">
        <v>70</v>
      </c>
      <c r="E949" s="6"/>
      <c r="F949" s="6" t="b">
        <f t="shared" si="1"/>
        <v>0</v>
      </c>
    </row>
    <row r="950" ht="15.75" customHeight="1">
      <c r="A950" s="7" t="s">
        <v>1838</v>
      </c>
      <c r="B950" s="4" t="s">
        <v>1839</v>
      </c>
      <c r="C950" s="5" t="s">
        <v>6</v>
      </c>
      <c r="D950" s="6" t="s">
        <v>1741</v>
      </c>
      <c r="E950" s="6"/>
      <c r="F950" s="6" t="b">
        <f t="shared" si="1"/>
        <v>0</v>
      </c>
    </row>
    <row r="951" ht="15.75" customHeight="1">
      <c r="A951" s="7" t="s">
        <v>1840</v>
      </c>
      <c r="B951" s="4" t="s">
        <v>1841</v>
      </c>
      <c r="C951" s="5" t="s">
        <v>6</v>
      </c>
      <c r="D951" s="6" t="s">
        <v>1372</v>
      </c>
      <c r="E951" s="6"/>
      <c r="F951" s="6" t="b">
        <f t="shared" si="1"/>
        <v>0</v>
      </c>
    </row>
    <row r="952" ht="15.75" customHeight="1">
      <c r="A952" s="7" t="s">
        <v>1842</v>
      </c>
      <c r="B952" s="4" t="s">
        <v>1843</v>
      </c>
      <c r="C952" s="6"/>
      <c r="D952" s="6" t="s">
        <v>70</v>
      </c>
      <c r="E952" s="6"/>
      <c r="F952" s="6" t="b">
        <f t="shared" si="1"/>
        <v>0</v>
      </c>
    </row>
    <row r="953" ht="15.75" customHeight="1">
      <c r="A953" s="7" t="s">
        <v>1844</v>
      </c>
      <c r="B953" s="4" t="s">
        <v>1845</v>
      </c>
      <c r="C953" s="5" t="s">
        <v>6</v>
      </c>
      <c r="D953" s="6" t="s">
        <v>1741</v>
      </c>
      <c r="E953" s="6"/>
      <c r="F953" s="6" t="b">
        <f t="shared" si="1"/>
        <v>0</v>
      </c>
    </row>
    <row r="954" ht="15.75" customHeight="1">
      <c r="A954" s="3" t="s">
        <v>1846</v>
      </c>
      <c r="B954" s="4"/>
      <c r="C954" s="5"/>
      <c r="D954" s="5"/>
      <c r="E954" s="6"/>
      <c r="F954" s="6" t="b">
        <f t="shared" si="1"/>
        <v>0</v>
      </c>
    </row>
    <row r="955" ht="15.75" customHeight="1">
      <c r="A955" s="7" t="s">
        <v>1847</v>
      </c>
      <c r="B955" s="4" t="s">
        <v>1848</v>
      </c>
      <c r="C955" s="6"/>
      <c r="D955" s="6" t="s">
        <v>70</v>
      </c>
      <c r="E955" s="6"/>
      <c r="F955" s="6" t="b">
        <f t="shared" si="1"/>
        <v>0</v>
      </c>
    </row>
    <row r="956" ht="15.75" customHeight="1">
      <c r="A956" s="7" t="s">
        <v>1849</v>
      </c>
      <c r="B956" s="4" t="s">
        <v>1850</v>
      </c>
      <c r="C956" s="5" t="s">
        <v>6</v>
      </c>
      <c r="D956" s="6" t="s">
        <v>81</v>
      </c>
      <c r="E956" s="6"/>
      <c r="F956" s="6" t="b">
        <f t="shared" si="1"/>
        <v>0</v>
      </c>
    </row>
    <row r="957" ht="15.75" customHeight="1">
      <c r="A957" s="7" t="s">
        <v>1851</v>
      </c>
      <c r="B957" s="4" t="s">
        <v>1852</v>
      </c>
      <c r="C957" s="5" t="s">
        <v>6</v>
      </c>
      <c r="D957" s="6" t="s">
        <v>1741</v>
      </c>
      <c r="E957" s="6"/>
      <c r="F957" s="6" t="b">
        <f t="shared" si="1"/>
        <v>0</v>
      </c>
    </row>
    <row r="958" ht="15.75" customHeight="1">
      <c r="A958" s="7" t="s">
        <v>1853</v>
      </c>
      <c r="B958" s="4" t="s">
        <v>1854</v>
      </c>
      <c r="C958" s="8"/>
      <c r="D958" s="6" t="s">
        <v>70</v>
      </c>
      <c r="E958" s="6"/>
      <c r="F958" s="6" t="b">
        <f t="shared" si="1"/>
        <v>0</v>
      </c>
    </row>
    <row r="959" ht="15.75" customHeight="1">
      <c r="A959" s="7" t="s">
        <v>1855</v>
      </c>
      <c r="B959" s="4" t="s">
        <v>1856</v>
      </c>
      <c r="C959" s="6"/>
      <c r="D959" s="6" t="s">
        <v>70</v>
      </c>
      <c r="E959" s="6"/>
      <c r="F959" s="6" t="b">
        <f t="shared" si="1"/>
        <v>0</v>
      </c>
    </row>
    <row r="960" ht="15.75" customHeight="1">
      <c r="A960" s="7" t="s">
        <v>1857</v>
      </c>
      <c r="B960" s="4" t="s">
        <v>1858</v>
      </c>
      <c r="C960" s="6"/>
      <c r="D960" s="6" t="s">
        <v>70</v>
      </c>
      <c r="E960" s="6"/>
      <c r="F960" s="6" t="b">
        <f t="shared" si="1"/>
        <v>0</v>
      </c>
    </row>
    <row r="961" ht="15.75" customHeight="1">
      <c r="A961" s="7" t="s">
        <v>1859</v>
      </c>
      <c r="B961" s="4" t="s">
        <v>1860</v>
      </c>
      <c r="C961" s="8"/>
      <c r="D961" s="6" t="s">
        <v>70</v>
      </c>
      <c r="E961" s="6"/>
      <c r="F961" s="6" t="b">
        <f t="shared" si="1"/>
        <v>0</v>
      </c>
    </row>
    <row r="962" ht="15.75" customHeight="1">
      <c r="A962" s="7" t="s">
        <v>1861</v>
      </c>
      <c r="B962" s="4" t="s">
        <v>1862</v>
      </c>
      <c r="C962" s="8"/>
      <c r="D962" s="6" t="s">
        <v>70</v>
      </c>
      <c r="E962" s="6"/>
      <c r="F962" s="6" t="b">
        <f t="shared" si="1"/>
        <v>0</v>
      </c>
    </row>
    <row r="963" ht="15.75" customHeight="1">
      <c r="A963" s="7" t="s">
        <v>1863</v>
      </c>
      <c r="B963" s="4" t="s">
        <v>1864</v>
      </c>
      <c r="C963" s="6"/>
      <c r="D963" s="6" t="s">
        <v>70</v>
      </c>
      <c r="E963" s="6"/>
      <c r="F963" s="6" t="b">
        <f t="shared" si="1"/>
        <v>0</v>
      </c>
    </row>
    <row r="964" ht="15.75" customHeight="1">
      <c r="A964" s="7" t="s">
        <v>1865</v>
      </c>
      <c r="B964" s="4" t="s">
        <v>1866</v>
      </c>
      <c r="C964" s="6"/>
      <c r="D964" s="6" t="s">
        <v>70</v>
      </c>
      <c r="E964" s="6"/>
      <c r="F964" s="6" t="b">
        <f t="shared" si="1"/>
        <v>0</v>
      </c>
    </row>
    <row r="965" ht="15.75" customHeight="1">
      <c r="A965" s="7" t="s">
        <v>1867</v>
      </c>
      <c r="B965" s="4" t="s">
        <v>1868</v>
      </c>
      <c r="C965" s="5" t="s">
        <v>6</v>
      </c>
      <c r="D965" s="6" t="s">
        <v>1756</v>
      </c>
      <c r="E965" s="6"/>
      <c r="F965" s="6" t="b">
        <f t="shared" si="1"/>
        <v>0</v>
      </c>
    </row>
    <row r="966" ht="15.75" customHeight="1">
      <c r="A966" s="7" t="s">
        <v>1869</v>
      </c>
      <c r="B966" s="4" t="s">
        <v>1870</v>
      </c>
      <c r="C966" s="6"/>
      <c r="D966" s="6" t="s">
        <v>70</v>
      </c>
      <c r="E966" s="6"/>
      <c r="F966" s="6" t="b">
        <f t="shared" si="1"/>
        <v>0</v>
      </c>
    </row>
    <row r="967" ht="15.75" customHeight="1">
      <c r="A967" s="7" t="s">
        <v>1871</v>
      </c>
      <c r="B967" s="4" t="s">
        <v>1872</v>
      </c>
      <c r="C967" s="6"/>
      <c r="D967" s="6" t="s">
        <v>70</v>
      </c>
      <c r="E967" s="6"/>
      <c r="F967" s="6" t="b">
        <f t="shared" si="1"/>
        <v>0</v>
      </c>
    </row>
    <row r="968" ht="15.75" customHeight="1">
      <c r="A968" s="7" t="s">
        <v>1873</v>
      </c>
      <c r="B968" s="4" t="s">
        <v>1874</v>
      </c>
      <c r="C968" s="5" t="s">
        <v>6</v>
      </c>
      <c r="D968" s="6" t="s">
        <v>1741</v>
      </c>
      <c r="E968" s="6"/>
      <c r="F968" s="6" t="b">
        <f t="shared" si="1"/>
        <v>0</v>
      </c>
    </row>
    <row r="969" ht="15.75" customHeight="1">
      <c r="A969" s="7" t="s">
        <v>1875</v>
      </c>
      <c r="B969" s="4" t="s">
        <v>1876</v>
      </c>
      <c r="C969" s="6"/>
      <c r="D969" s="6" t="s">
        <v>70</v>
      </c>
      <c r="E969" s="6"/>
      <c r="F969" s="6" t="b">
        <f t="shared" si="1"/>
        <v>0</v>
      </c>
    </row>
    <row r="970" ht="15.75" customHeight="1">
      <c r="A970" s="7" t="s">
        <v>1877</v>
      </c>
      <c r="B970" s="4" t="s">
        <v>1878</v>
      </c>
      <c r="C970" s="6"/>
      <c r="D970" s="6" t="s">
        <v>70</v>
      </c>
      <c r="E970" s="6"/>
      <c r="F970" s="6" t="b">
        <f t="shared" si="1"/>
        <v>0</v>
      </c>
    </row>
    <row r="971" ht="15.75" customHeight="1">
      <c r="A971" s="7" t="s">
        <v>1879</v>
      </c>
      <c r="B971" s="4" t="s">
        <v>1880</v>
      </c>
      <c r="C971" s="5" t="s">
        <v>6</v>
      </c>
      <c r="D971" s="6" t="s">
        <v>1741</v>
      </c>
      <c r="E971" s="6"/>
      <c r="F971" s="6" t="b">
        <f t="shared" si="1"/>
        <v>0</v>
      </c>
    </row>
    <row r="972" ht="15.75" customHeight="1">
      <c r="A972" s="7" t="s">
        <v>1881</v>
      </c>
      <c r="B972" s="4" t="s">
        <v>1882</v>
      </c>
      <c r="C972" s="6"/>
      <c r="D972" s="6" t="s">
        <v>70</v>
      </c>
      <c r="E972" s="6"/>
      <c r="F972" s="6" t="b">
        <f t="shared" si="1"/>
        <v>0</v>
      </c>
    </row>
    <row r="973" ht="15.75" customHeight="1">
      <c r="A973" s="7" t="s">
        <v>1883</v>
      </c>
      <c r="B973" s="4" t="s">
        <v>1884</v>
      </c>
      <c r="C973" s="6"/>
      <c r="D973" s="6" t="s">
        <v>70</v>
      </c>
      <c r="E973" s="6"/>
      <c r="F973" s="6" t="b">
        <f t="shared" si="1"/>
        <v>0</v>
      </c>
    </row>
    <row r="974" ht="15.75" customHeight="1">
      <c r="A974" s="7" t="s">
        <v>1885</v>
      </c>
      <c r="B974" s="4" t="s">
        <v>1886</v>
      </c>
      <c r="C974" s="5" t="s">
        <v>6</v>
      </c>
      <c r="D974" s="6" t="s">
        <v>1710</v>
      </c>
      <c r="E974" s="6"/>
      <c r="F974" s="6" t="b">
        <f t="shared" si="1"/>
        <v>0</v>
      </c>
    </row>
    <row r="975" ht="15.75" customHeight="1">
      <c r="A975" s="7" t="s">
        <v>1887</v>
      </c>
      <c r="B975" s="4" t="s">
        <v>1888</v>
      </c>
      <c r="C975" s="5" t="s">
        <v>6</v>
      </c>
      <c r="D975" s="6" t="s">
        <v>1741</v>
      </c>
      <c r="E975" s="6"/>
      <c r="F975" s="6" t="b">
        <f t="shared" si="1"/>
        <v>0</v>
      </c>
    </row>
    <row r="976" ht="15.75" customHeight="1">
      <c r="A976" s="7" t="s">
        <v>1889</v>
      </c>
      <c r="B976" s="4" t="s">
        <v>1890</v>
      </c>
      <c r="C976" s="6"/>
      <c r="D976" s="6" t="s">
        <v>70</v>
      </c>
      <c r="E976" s="6"/>
      <c r="F976" s="6" t="b">
        <f t="shared" si="1"/>
        <v>0</v>
      </c>
    </row>
    <row r="977" ht="15.75" customHeight="1">
      <c r="A977" s="7" t="s">
        <v>1891</v>
      </c>
      <c r="B977" s="4" t="s">
        <v>1892</v>
      </c>
      <c r="C977" s="6"/>
      <c r="D977" s="6" t="s">
        <v>70</v>
      </c>
      <c r="E977" s="6"/>
      <c r="F977" s="6" t="b">
        <f t="shared" si="1"/>
        <v>0</v>
      </c>
    </row>
    <row r="978" ht="15.75" customHeight="1">
      <c r="A978" s="7" t="s">
        <v>1893</v>
      </c>
      <c r="B978" s="4" t="s">
        <v>1894</v>
      </c>
      <c r="C978" s="8"/>
      <c r="D978" s="6" t="s">
        <v>70</v>
      </c>
      <c r="E978" s="6"/>
      <c r="F978" s="6" t="b">
        <f t="shared" si="1"/>
        <v>0</v>
      </c>
    </row>
    <row r="979" ht="15.75" customHeight="1">
      <c r="A979" s="7" t="s">
        <v>1895</v>
      </c>
      <c r="B979" s="4" t="s">
        <v>1896</v>
      </c>
      <c r="C979" s="6"/>
      <c r="D979" s="6" t="s">
        <v>70</v>
      </c>
      <c r="E979" s="6"/>
      <c r="F979" s="6" t="b">
        <f t="shared" si="1"/>
        <v>0</v>
      </c>
    </row>
    <row r="980" ht="15.75" customHeight="1">
      <c r="A980" s="7" t="s">
        <v>1897</v>
      </c>
      <c r="B980" s="4" t="s">
        <v>1898</v>
      </c>
      <c r="C980" s="8"/>
      <c r="D980" s="6" t="s">
        <v>70</v>
      </c>
      <c r="E980" s="6"/>
      <c r="F980" s="6" t="b">
        <f t="shared" si="1"/>
        <v>0</v>
      </c>
    </row>
    <row r="981" ht="15.75" customHeight="1">
      <c r="A981" s="7" t="s">
        <v>1899</v>
      </c>
      <c r="B981" s="4" t="s">
        <v>1900</v>
      </c>
      <c r="C981" s="6"/>
      <c r="D981" s="6" t="s">
        <v>70</v>
      </c>
      <c r="E981" s="6"/>
      <c r="F981" s="6" t="b">
        <f t="shared" si="1"/>
        <v>0</v>
      </c>
    </row>
    <row r="982" ht="15.75" customHeight="1">
      <c r="A982" s="7" t="s">
        <v>1901</v>
      </c>
      <c r="B982" s="4" t="s">
        <v>1902</v>
      </c>
      <c r="C982" s="5" t="s">
        <v>6</v>
      </c>
      <c r="D982" s="6" t="s">
        <v>1741</v>
      </c>
      <c r="E982" s="6"/>
      <c r="F982" s="6" t="b">
        <f t="shared" si="1"/>
        <v>0</v>
      </c>
    </row>
    <row r="983" ht="15.75" customHeight="1">
      <c r="A983" s="7" t="s">
        <v>1903</v>
      </c>
      <c r="B983" s="4" t="s">
        <v>1904</v>
      </c>
      <c r="C983" s="5" t="s">
        <v>6</v>
      </c>
      <c r="D983" s="6" t="s">
        <v>1905</v>
      </c>
      <c r="E983" s="6"/>
      <c r="F983" s="6" t="b">
        <f t="shared" si="1"/>
        <v>0</v>
      </c>
    </row>
    <row r="984" ht="15.75" customHeight="1">
      <c r="A984" s="7" t="s">
        <v>1906</v>
      </c>
      <c r="B984" s="4" t="s">
        <v>1907</v>
      </c>
      <c r="C984" s="6"/>
      <c r="D984" s="6" t="s">
        <v>70</v>
      </c>
      <c r="E984" s="6"/>
      <c r="F984" s="6" t="b">
        <f t="shared" si="1"/>
        <v>0</v>
      </c>
    </row>
    <row r="985" ht="15.75" customHeight="1">
      <c r="A985" s="7" t="s">
        <v>1908</v>
      </c>
      <c r="B985" s="4" t="s">
        <v>1909</v>
      </c>
      <c r="C985" s="5" t="s">
        <v>16</v>
      </c>
      <c r="D985" s="6" t="s">
        <v>1738</v>
      </c>
      <c r="E985" s="6"/>
      <c r="F985" s="6" t="b">
        <f t="shared" si="1"/>
        <v>0</v>
      </c>
    </row>
    <row r="986" ht="15.75" customHeight="1">
      <c r="A986" s="7" t="s">
        <v>1910</v>
      </c>
      <c r="B986" s="4" t="s">
        <v>1911</v>
      </c>
      <c r="C986" s="6"/>
      <c r="D986" s="6" t="s">
        <v>70</v>
      </c>
      <c r="E986" s="6"/>
      <c r="F986" s="6" t="b">
        <f t="shared" si="1"/>
        <v>0</v>
      </c>
    </row>
    <row r="987" ht="15.75" customHeight="1">
      <c r="A987" s="7" t="s">
        <v>1912</v>
      </c>
      <c r="B987" s="4" t="s">
        <v>1913</v>
      </c>
      <c r="C987" s="6"/>
      <c r="D987" s="6" t="s">
        <v>70</v>
      </c>
      <c r="E987" s="6"/>
      <c r="F987" s="6" t="b">
        <f t="shared" si="1"/>
        <v>0</v>
      </c>
    </row>
    <row r="988" ht="15.75" customHeight="1">
      <c r="A988" s="7" t="s">
        <v>1914</v>
      </c>
      <c r="B988" s="4" t="s">
        <v>1915</v>
      </c>
      <c r="C988" s="5" t="s">
        <v>16</v>
      </c>
      <c r="D988" s="6" t="s">
        <v>1916</v>
      </c>
      <c r="E988" s="6"/>
      <c r="F988" s="6" t="b">
        <f t="shared" si="1"/>
        <v>0</v>
      </c>
    </row>
    <row r="989" ht="15.75" customHeight="1">
      <c r="A989" s="7" t="s">
        <v>1917</v>
      </c>
      <c r="B989" s="4" t="s">
        <v>1918</v>
      </c>
      <c r="C989" s="5" t="s">
        <v>6</v>
      </c>
      <c r="D989" s="6" t="s">
        <v>81</v>
      </c>
      <c r="E989" s="6"/>
      <c r="F989" s="6" t="b">
        <f t="shared" si="1"/>
        <v>0</v>
      </c>
    </row>
    <row r="990" ht="15.75" customHeight="1">
      <c r="A990" s="7" t="s">
        <v>1919</v>
      </c>
      <c r="B990" s="4" t="s">
        <v>1920</v>
      </c>
      <c r="C990" s="5" t="s">
        <v>6</v>
      </c>
      <c r="D990" s="6" t="s">
        <v>86</v>
      </c>
      <c r="E990" s="6"/>
      <c r="F990" s="6" t="b">
        <f t="shared" si="1"/>
        <v>0</v>
      </c>
    </row>
    <row r="991" ht="15.75" customHeight="1">
      <c r="A991" s="7" t="s">
        <v>1921</v>
      </c>
      <c r="B991" s="4" t="s">
        <v>1922</v>
      </c>
      <c r="C991" s="6"/>
      <c r="D991" s="6" t="s">
        <v>70</v>
      </c>
      <c r="E991" s="6"/>
      <c r="F991" s="6" t="b">
        <f t="shared" si="1"/>
        <v>0</v>
      </c>
    </row>
    <row r="992" ht="15.75" customHeight="1">
      <c r="A992" s="7" t="s">
        <v>1923</v>
      </c>
      <c r="B992" s="4" t="s">
        <v>1924</v>
      </c>
      <c r="C992" s="6"/>
      <c r="D992" s="6" t="s">
        <v>70</v>
      </c>
      <c r="E992" s="6"/>
      <c r="F992" s="6" t="b">
        <f t="shared" si="1"/>
        <v>0</v>
      </c>
    </row>
    <row r="993" ht="15.75" customHeight="1">
      <c r="A993" s="7" t="s">
        <v>1925</v>
      </c>
      <c r="B993" s="4" t="s">
        <v>1926</v>
      </c>
      <c r="C993" s="5" t="s">
        <v>6</v>
      </c>
      <c r="D993" s="6" t="s">
        <v>86</v>
      </c>
      <c r="E993" s="6"/>
      <c r="F993" s="6" t="b">
        <f t="shared" si="1"/>
        <v>0</v>
      </c>
    </row>
    <row r="994" ht="15.75" customHeight="1">
      <c r="A994" s="7" t="s">
        <v>1927</v>
      </c>
      <c r="B994" s="4" t="s">
        <v>1928</v>
      </c>
      <c r="C994" s="5" t="s">
        <v>6</v>
      </c>
      <c r="D994" s="6" t="s">
        <v>86</v>
      </c>
      <c r="E994" s="6"/>
      <c r="F994" s="6" t="b">
        <f t="shared" si="1"/>
        <v>0</v>
      </c>
    </row>
    <row r="995" ht="15.75" customHeight="1">
      <c r="A995" s="7" t="s">
        <v>1929</v>
      </c>
      <c r="B995" s="4" t="s">
        <v>1930</v>
      </c>
      <c r="C995" s="5" t="s">
        <v>6</v>
      </c>
      <c r="D995" s="6" t="s">
        <v>1756</v>
      </c>
      <c r="E995" s="6"/>
      <c r="F995" s="6" t="b">
        <f t="shared" si="1"/>
        <v>0</v>
      </c>
    </row>
    <row r="996" ht="15.75" customHeight="1">
      <c r="A996" s="7" t="s">
        <v>1931</v>
      </c>
      <c r="B996" s="4" t="s">
        <v>1932</v>
      </c>
      <c r="C996" s="6"/>
      <c r="D996" s="6" t="s">
        <v>70</v>
      </c>
      <c r="E996" s="6"/>
      <c r="F996" s="6" t="b">
        <f t="shared" si="1"/>
        <v>0</v>
      </c>
    </row>
    <row r="997" ht="15.75" customHeight="1">
      <c r="A997" s="7" t="s">
        <v>1933</v>
      </c>
      <c r="B997" s="4" t="s">
        <v>1934</v>
      </c>
      <c r="C997" s="6"/>
      <c r="D997" s="6" t="s">
        <v>70</v>
      </c>
      <c r="E997" s="6"/>
      <c r="F997" s="6" t="b">
        <f t="shared" si="1"/>
        <v>0</v>
      </c>
    </row>
    <row r="998" ht="15.75" customHeight="1">
      <c r="A998" s="7" t="s">
        <v>1935</v>
      </c>
      <c r="B998" s="4" t="s">
        <v>1936</v>
      </c>
      <c r="C998" s="6"/>
      <c r="D998" s="6" t="s">
        <v>70</v>
      </c>
      <c r="E998" s="6"/>
      <c r="F998" s="6" t="b">
        <f t="shared" si="1"/>
        <v>0</v>
      </c>
    </row>
    <row r="999" ht="15.75" customHeight="1">
      <c r="A999" s="7" t="s">
        <v>1937</v>
      </c>
      <c r="B999" s="4" t="s">
        <v>1938</v>
      </c>
      <c r="C999" s="5" t="s">
        <v>6</v>
      </c>
      <c r="D999" s="6" t="s">
        <v>1939</v>
      </c>
      <c r="E999" s="6"/>
      <c r="F999" s="6" t="b">
        <f t="shared" si="1"/>
        <v>0</v>
      </c>
    </row>
    <row r="1000" ht="15.75" customHeight="1">
      <c r="A1000" s="7" t="s">
        <v>1940</v>
      </c>
      <c r="B1000" s="4" t="s">
        <v>1941</v>
      </c>
      <c r="C1000" s="6"/>
      <c r="D1000" s="6" t="s">
        <v>70</v>
      </c>
      <c r="E1000" s="6"/>
      <c r="F1000" s="6" t="b">
        <f t="shared" si="1"/>
        <v>0</v>
      </c>
    </row>
    <row r="1001" ht="15.75" customHeight="1">
      <c r="A1001" s="7" t="s">
        <v>1942</v>
      </c>
      <c r="B1001" s="4" t="s">
        <v>1943</v>
      </c>
      <c r="C1001" s="5" t="s">
        <v>6</v>
      </c>
      <c r="D1001" s="6" t="s">
        <v>1939</v>
      </c>
      <c r="E1001" s="6"/>
      <c r="F1001" s="6" t="b">
        <f t="shared" si="1"/>
        <v>0</v>
      </c>
    </row>
    <row r="1002" ht="15.75" customHeight="1">
      <c r="A1002" s="7" t="s">
        <v>1944</v>
      </c>
      <c r="B1002" s="4" t="s">
        <v>1945</v>
      </c>
      <c r="C1002" s="5" t="s">
        <v>6</v>
      </c>
      <c r="D1002" s="6" t="s">
        <v>86</v>
      </c>
      <c r="E1002" s="6"/>
      <c r="F1002" s="6" t="b">
        <f t="shared" si="1"/>
        <v>0</v>
      </c>
    </row>
    <row r="1003" ht="15.75" customHeight="1">
      <c r="A1003" s="7" t="s">
        <v>1946</v>
      </c>
      <c r="B1003" s="4" t="s">
        <v>1947</v>
      </c>
      <c r="C1003" s="6"/>
      <c r="D1003" s="6" t="s">
        <v>70</v>
      </c>
      <c r="E1003" s="6"/>
      <c r="F1003" s="6" t="b">
        <f t="shared" si="1"/>
        <v>0</v>
      </c>
    </row>
    <row r="1004" ht="15.75" customHeight="1">
      <c r="A1004" s="7" t="s">
        <v>1948</v>
      </c>
      <c r="B1004" s="4" t="s">
        <v>1949</v>
      </c>
      <c r="C1004" s="6"/>
      <c r="D1004" s="6" t="s">
        <v>70</v>
      </c>
      <c r="E1004" s="6"/>
      <c r="F1004" s="6" t="b">
        <f t="shared" si="1"/>
        <v>0</v>
      </c>
    </row>
    <row r="1005" ht="15.75" customHeight="1">
      <c r="A1005" s="7" t="s">
        <v>1950</v>
      </c>
      <c r="B1005" s="4" t="s">
        <v>1951</v>
      </c>
      <c r="C1005" s="6"/>
      <c r="D1005" s="6" t="s">
        <v>70</v>
      </c>
      <c r="E1005" s="6"/>
      <c r="F1005" s="6" t="b">
        <f t="shared" si="1"/>
        <v>0</v>
      </c>
    </row>
    <row r="1006" ht="15.75" customHeight="1">
      <c r="A1006" s="7" t="s">
        <v>1952</v>
      </c>
      <c r="B1006" s="4" t="s">
        <v>1953</v>
      </c>
      <c r="C1006" s="6"/>
      <c r="D1006" s="6" t="s">
        <v>70</v>
      </c>
      <c r="E1006" s="6"/>
      <c r="F1006" s="6" t="b">
        <f t="shared" si="1"/>
        <v>0</v>
      </c>
    </row>
    <row r="1007" ht="15.75" customHeight="1">
      <c r="A1007" s="7" t="s">
        <v>1954</v>
      </c>
      <c r="B1007" s="4" t="s">
        <v>1955</v>
      </c>
      <c r="C1007" s="6"/>
      <c r="D1007" s="6" t="s">
        <v>70</v>
      </c>
      <c r="E1007" s="6"/>
      <c r="F1007" s="6" t="b">
        <f t="shared" si="1"/>
        <v>0</v>
      </c>
    </row>
    <row r="1008" ht="15.75" customHeight="1">
      <c r="A1008" s="7" t="s">
        <v>1956</v>
      </c>
      <c r="B1008" s="4" t="s">
        <v>1957</v>
      </c>
      <c r="C1008" s="5" t="s">
        <v>6</v>
      </c>
      <c r="D1008" s="6" t="s">
        <v>86</v>
      </c>
      <c r="E1008" s="6"/>
      <c r="F1008" s="6" t="b">
        <f t="shared" si="1"/>
        <v>0</v>
      </c>
    </row>
    <row r="1009" ht="15.75" customHeight="1">
      <c r="A1009" s="7" t="s">
        <v>1958</v>
      </c>
      <c r="B1009" s="4" t="s">
        <v>1959</v>
      </c>
      <c r="C1009" s="5" t="s">
        <v>6</v>
      </c>
      <c r="D1009" s="6" t="s">
        <v>1741</v>
      </c>
      <c r="E1009" s="6"/>
      <c r="F1009" s="6" t="b">
        <f t="shared" si="1"/>
        <v>0</v>
      </c>
    </row>
    <row r="1010" ht="15.75" customHeight="1">
      <c r="A1010" s="7" t="s">
        <v>1960</v>
      </c>
      <c r="B1010" s="4" t="s">
        <v>1961</v>
      </c>
      <c r="C1010" s="5" t="s">
        <v>6</v>
      </c>
      <c r="D1010" s="6" t="s">
        <v>1741</v>
      </c>
      <c r="E1010" s="6"/>
      <c r="F1010" s="6" t="b">
        <f t="shared" si="1"/>
        <v>0</v>
      </c>
    </row>
    <row r="1011" ht="15.75" customHeight="1">
      <c r="A1011" s="7" t="s">
        <v>1962</v>
      </c>
      <c r="B1011" s="4" t="s">
        <v>1963</v>
      </c>
      <c r="C1011" s="5" t="s">
        <v>6</v>
      </c>
      <c r="D1011" s="6" t="s">
        <v>1372</v>
      </c>
      <c r="E1011" s="6"/>
      <c r="F1011" s="6" t="b">
        <f t="shared" si="1"/>
        <v>0</v>
      </c>
    </row>
    <row r="1012" ht="15.75" customHeight="1">
      <c r="A1012" s="7" t="s">
        <v>1964</v>
      </c>
      <c r="B1012" s="4" t="s">
        <v>1965</v>
      </c>
      <c r="C1012" s="5" t="s">
        <v>6</v>
      </c>
      <c r="D1012" s="6" t="s">
        <v>81</v>
      </c>
      <c r="E1012" s="6"/>
      <c r="F1012" s="6" t="b">
        <f t="shared" si="1"/>
        <v>0</v>
      </c>
    </row>
    <row r="1013" ht="15.75" customHeight="1">
      <c r="A1013" s="7" t="s">
        <v>1966</v>
      </c>
      <c r="B1013" s="4" t="s">
        <v>1967</v>
      </c>
      <c r="C1013" s="6"/>
      <c r="D1013" s="6" t="s">
        <v>70</v>
      </c>
      <c r="E1013" s="6"/>
      <c r="F1013" s="6" t="b">
        <f t="shared" si="1"/>
        <v>0</v>
      </c>
    </row>
    <row r="1014" ht="15.75" customHeight="1">
      <c r="A1014" s="7" t="s">
        <v>1968</v>
      </c>
      <c r="B1014" s="4" t="s">
        <v>1969</v>
      </c>
      <c r="C1014" s="8"/>
      <c r="D1014" s="6" t="s">
        <v>70</v>
      </c>
      <c r="E1014" s="6"/>
      <c r="F1014" s="6" t="b">
        <f t="shared" si="1"/>
        <v>0</v>
      </c>
    </row>
    <row r="1015" ht="15.75" customHeight="1">
      <c r="A1015" s="7" t="s">
        <v>1970</v>
      </c>
      <c r="B1015" s="4" t="s">
        <v>1971</v>
      </c>
      <c r="C1015" s="6"/>
      <c r="D1015" s="6" t="s">
        <v>70</v>
      </c>
      <c r="E1015" s="6"/>
      <c r="F1015" s="6" t="b">
        <f t="shared" si="1"/>
        <v>0</v>
      </c>
    </row>
    <row r="1016" ht="15.75" customHeight="1">
      <c r="A1016" s="7" t="s">
        <v>1972</v>
      </c>
      <c r="B1016" s="4" t="s">
        <v>1973</v>
      </c>
      <c r="C1016" s="5" t="s">
        <v>6</v>
      </c>
      <c r="D1016" s="6" t="s">
        <v>1974</v>
      </c>
      <c r="E1016" s="6"/>
      <c r="F1016" s="6" t="b">
        <f t="shared" si="1"/>
        <v>0</v>
      </c>
    </row>
    <row r="1017" ht="15.75" customHeight="1">
      <c r="A1017" s="7" t="s">
        <v>1975</v>
      </c>
      <c r="B1017" s="4" t="s">
        <v>1976</v>
      </c>
      <c r="C1017" s="6"/>
      <c r="D1017" s="6" t="s">
        <v>70</v>
      </c>
      <c r="E1017" s="6"/>
      <c r="F1017" s="6" t="b">
        <f t="shared" si="1"/>
        <v>0</v>
      </c>
    </row>
    <row r="1018" ht="15.75" customHeight="1">
      <c r="A1018" s="7" t="s">
        <v>1977</v>
      </c>
      <c r="B1018" s="4" t="s">
        <v>1978</v>
      </c>
      <c r="C1018" s="6"/>
      <c r="D1018" s="6" t="s">
        <v>70</v>
      </c>
      <c r="E1018" s="6"/>
      <c r="F1018" s="6" t="b">
        <f t="shared" si="1"/>
        <v>0</v>
      </c>
    </row>
    <row r="1019" ht="15.75" customHeight="1">
      <c r="A1019" s="7" t="s">
        <v>1979</v>
      </c>
      <c r="B1019" s="4" t="s">
        <v>1980</v>
      </c>
      <c r="C1019" s="5" t="s">
        <v>6</v>
      </c>
      <c r="D1019" s="6" t="s">
        <v>1372</v>
      </c>
      <c r="E1019" s="6"/>
      <c r="F1019" s="6" t="b">
        <f t="shared" si="1"/>
        <v>0</v>
      </c>
    </row>
    <row r="1020" ht="15.75" customHeight="1">
      <c r="A1020" s="7" t="s">
        <v>1981</v>
      </c>
      <c r="B1020" s="4" t="s">
        <v>1982</v>
      </c>
      <c r="C1020" s="6"/>
      <c r="D1020" s="6" t="s">
        <v>70</v>
      </c>
      <c r="E1020" s="6"/>
      <c r="F1020" s="6" t="b">
        <f t="shared" si="1"/>
        <v>0</v>
      </c>
    </row>
    <row r="1021" ht="15.75" customHeight="1">
      <c r="A1021" s="7" t="s">
        <v>1983</v>
      </c>
      <c r="B1021" s="4" t="s">
        <v>1984</v>
      </c>
      <c r="C1021" s="5" t="s">
        <v>16</v>
      </c>
      <c r="D1021" s="6" t="s">
        <v>1738</v>
      </c>
      <c r="E1021" s="6"/>
      <c r="F1021" s="6" t="b">
        <f t="shared" si="1"/>
        <v>0</v>
      </c>
    </row>
    <row r="1022" ht="15.75" customHeight="1">
      <c r="A1022" s="7" t="s">
        <v>1985</v>
      </c>
      <c r="B1022" s="4" t="s">
        <v>1986</v>
      </c>
      <c r="C1022" s="5" t="s">
        <v>6</v>
      </c>
      <c r="D1022" s="6" t="s">
        <v>86</v>
      </c>
      <c r="E1022" s="6"/>
      <c r="F1022" s="6" t="b">
        <f t="shared" si="1"/>
        <v>0</v>
      </c>
    </row>
    <row r="1023" ht="15.75" customHeight="1">
      <c r="A1023" s="7" t="s">
        <v>1987</v>
      </c>
      <c r="B1023" s="4" t="s">
        <v>1988</v>
      </c>
      <c r="C1023" s="5" t="s">
        <v>16</v>
      </c>
      <c r="D1023" s="6" t="s">
        <v>1667</v>
      </c>
      <c r="E1023" s="6"/>
      <c r="F1023" s="6" t="b">
        <f t="shared" si="1"/>
        <v>0</v>
      </c>
    </row>
    <row r="1024" ht="15.75" customHeight="1">
      <c r="A1024" s="7" t="s">
        <v>1989</v>
      </c>
      <c r="B1024" s="4" t="s">
        <v>1990</v>
      </c>
      <c r="C1024" s="6"/>
      <c r="D1024" s="6" t="s">
        <v>70</v>
      </c>
      <c r="E1024" s="6"/>
      <c r="F1024" s="6" t="b">
        <f t="shared" si="1"/>
        <v>0</v>
      </c>
    </row>
    <row r="1025" ht="15.75" customHeight="1">
      <c r="A1025" s="7" t="s">
        <v>1991</v>
      </c>
      <c r="B1025" s="4" t="s">
        <v>1992</v>
      </c>
      <c r="C1025" s="6"/>
      <c r="D1025" s="6" t="s">
        <v>70</v>
      </c>
      <c r="E1025" s="6"/>
      <c r="F1025" s="6" t="b">
        <f t="shared" si="1"/>
        <v>0</v>
      </c>
    </row>
    <row r="1026" ht="15.75" customHeight="1">
      <c r="A1026" s="7" t="s">
        <v>1993</v>
      </c>
      <c r="B1026" s="4" t="s">
        <v>1994</v>
      </c>
      <c r="C1026" s="5" t="s">
        <v>6</v>
      </c>
      <c r="D1026" s="6" t="s">
        <v>1995</v>
      </c>
      <c r="E1026" s="6"/>
      <c r="F1026" s="6" t="b">
        <f t="shared" si="1"/>
        <v>0</v>
      </c>
    </row>
    <row r="1027" ht="15.75" customHeight="1">
      <c r="A1027" s="7" t="s">
        <v>1996</v>
      </c>
      <c r="B1027" s="4" t="s">
        <v>1997</v>
      </c>
      <c r="C1027" s="5" t="s">
        <v>6</v>
      </c>
      <c r="D1027" s="6" t="s">
        <v>1998</v>
      </c>
      <c r="E1027" s="6"/>
      <c r="F1027" s="6" t="b">
        <f t="shared" si="1"/>
        <v>0</v>
      </c>
    </row>
    <row r="1028" ht="15.75" customHeight="1">
      <c r="A1028" s="7" t="s">
        <v>1999</v>
      </c>
      <c r="B1028" s="4" t="s">
        <v>2000</v>
      </c>
      <c r="C1028" s="5" t="s">
        <v>16</v>
      </c>
      <c r="D1028" s="6" t="s">
        <v>2001</v>
      </c>
      <c r="E1028" s="6"/>
      <c r="F1028" s="6" t="b">
        <f t="shared" si="1"/>
        <v>0</v>
      </c>
    </row>
    <row r="1029" ht="15.75" customHeight="1">
      <c r="A1029" s="7" t="s">
        <v>2002</v>
      </c>
      <c r="B1029" s="4" t="s">
        <v>2003</v>
      </c>
      <c r="C1029" s="5" t="s">
        <v>6</v>
      </c>
      <c r="D1029" s="6" t="s">
        <v>86</v>
      </c>
      <c r="E1029" s="6"/>
      <c r="F1029" s="6" t="b">
        <f t="shared" si="1"/>
        <v>0</v>
      </c>
    </row>
    <row r="1030" ht="15.75" customHeight="1">
      <c r="A1030" s="7" t="s">
        <v>2004</v>
      </c>
      <c r="B1030" s="4" t="s">
        <v>2005</v>
      </c>
      <c r="C1030" s="5" t="s">
        <v>16</v>
      </c>
      <c r="D1030" s="6" t="s">
        <v>2006</v>
      </c>
      <c r="E1030" s="6"/>
      <c r="F1030" s="6" t="b">
        <f t="shared" si="1"/>
        <v>0</v>
      </c>
    </row>
    <row r="1031" ht="15.75" customHeight="1">
      <c r="A1031" s="3" t="s">
        <v>2007</v>
      </c>
      <c r="B1031" s="4"/>
      <c r="C1031" s="5"/>
      <c r="D1031" s="5"/>
      <c r="E1031" s="6"/>
      <c r="F1031" s="6" t="b">
        <f t="shared" si="1"/>
        <v>0</v>
      </c>
    </row>
    <row r="1032" ht="15.75" customHeight="1">
      <c r="A1032" s="7" t="s">
        <v>2008</v>
      </c>
      <c r="B1032" s="4" t="s">
        <v>2009</v>
      </c>
      <c r="C1032" s="5" t="s">
        <v>6</v>
      </c>
      <c r="D1032" s="6" t="s">
        <v>86</v>
      </c>
      <c r="E1032" s="6"/>
      <c r="F1032" s="6" t="b">
        <f t="shared" si="1"/>
        <v>0</v>
      </c>
    </row>
    <row r="1033" ht="15.75" customHeight="1">
      <c r="A1033" s="7" t="s">
        <v>2010</v>
      </c>
      <c r="B1033" s="4" t="s">
        <v>2011</v>
      </c>
      <c r="C1033" s="6"/>
      <c r="D1033" s="6" t="s">
        <v>70</v>
      </c>
      <c r="E1033" s="6"/>
      <c r="F1033" s="6" t="b">
        <f t="shared" si="1"/>
        <v>0</v>
      </c>
    </row>
    <row r="1034" ht="15.75" customHeight="1">
      <c r="A1034" s="7" t="s">
        <v>2012</v>
      </c>
      <c r="B1034" s="4" t="s">
        <v>2013</v>
      </c>
      <c r="C1034" s="6"/>
      <c r="D1034" s="6" t="s">
        <v>70</v>
      </c>
      <c r="E1034" s="6"/>
      <c r="F1034" s="6" t="b">
        <f t="shared" si="1"/>
        <v>0</v>
      </c>
    </row>
    <row r="1035" ht="15.75" customHeight="1">
      <c r="A1035" s="7" t="s">
        <v>2014</v>
      </c>
      <c r="B1035" s="4" t="s">
        <v>2015</v>
      </c>
      <c r="C1035" s="6"/>
      <c r="D1035" s="6" t="s">
        <v>70</v>
      </c>
      <c r="E1035" s="6"/>
      <c r="F1035" s="6" t="b">
        <f t="shared" si="1"/>
        <v>0</v>
      </c>
    </row>
    <row r="1036" ht="15.75" customHeight="1">
      <c r="A1036" s="7" t="s">
        <v>2016</v>
      </c>
      <c r="B1036" s="4" t="s">
        <v>2017</v>
      </c>
      <c r="C1036" s="5" t="s">
        <v>6</v>
      </c>
      <c r="D1036" s="6" t="s">
        <v>86</v>
      </c>
      <c r="E1036" s="6"/>
      <c r="F1036" s="6" t="b">
        <f t="shared" si="1"/>
        <v>0</v>
      </c>
    </row>
    <row r="1037" ht="15.75" customHeight="1">
      <c r="A1037" s="7" t="s">
        <v>2018</v>
      </c>
      <c r="B1037" s="4" t="s">
        <v>2019</v>
      </c>
      <c r="C1037" s="6"/>
      <c r="D1037" s="6" t="s">
        <v>70</v>
      </c>
      <c r="E1037" s="6"/>
      <c r="F1037" s="6" t="b">
        <f t="shared" si="1"/>
        <v>0</v>
      </c>
    </row>
    <row r="1038" ht="15.75" customHeight="1">
      <c r="A1038" s="7" t="s">
        <v>2020</v>
      </c>
      <c r="B1038" s="4" t="s">
        <v>2021</v>
      </c>
      <c r="C1038" s="5" t="s">
        <v>6</v>
      </c>
      <c r="D1038" s="6" t="s">
        <v>86</v>
      </c>
      <c r="E1038" s="6"/>
      <c r="F1038" s="6" t="b">
        <f t="shared" si="1"/>
        <v>0</v>
      </c>
    </row>
    <row r="1039" ht="15.75" customHeight="1">
      <c r="A1039" s="7" t="s">
        <v>2022</v>
      </c>
      <c r="B1039" s="4" t="s">
        <v>2023</v>
      </c>
      <c r="C1039" s="5" t="s">
        <v>6</v>
      </c>
      <c r="D1039" s="6" t="s">
        <v>86</v>
      </c>
      <c r="E1039" s="6"/>
      <c r="F1039" s="6" t="b">
        <f t="shared" si="1"/>
        <v>0</v>
      </c>
    </row>
    <row r="1040" ht="15.75" customHeight="1">
      <c r="A1040" s="7" t="s">
        <v>2024</v>
      </c>
      <c r="B1040" s="4" t="s">
        <v>2025</v>
      </c>
      <c r="C1040" s="6"/>
      <c r="D1040" s="6" t="s">
        <v>70</v>
      </c>
      <c r="E1040" s="6"/>
      <c r="F1040" s="6" t="b">
        <f t="shared" si="1"/>
        <v>0</v>
      </c>
    </row>
    <row r="1041" ht="15.75" customHeight="1">
      <c r="A1041" s="7" t="s">
        <v>2026</v>
      </c>
      <c r="B1041" s="4" t="s">
        <v>2027</v>
      </c>
      <c r="C1041" s="6"/>
      <c r="D1041" s="6" t="s">
        <v>70</v>
      </c>
      <c r="E1041" s="6"/>
      <c r="F1041" s="6" t="b">
        <f t="shared" si="1"/>
        <v>0</v>
      </c>
    </row>
    <row r="1042" ht="15.75" customHeight="1">
      <c r="A1042" s="7" t="s">
        <v>2028</v>
      </c>
      <c r="B1042" s="4" t="s">
        <v>2029</v>
      </c>
      <c r="C1042" s="5" t="s">
        <v>6</v>
      </c>
      <c r="D1042" s="6" t="s">
        <v>86</v>
      </c>
      <c r="E1042" s="6"/>
      <c r="F1042" s="6" t="b">
        <f t="shared" si="1"/>
        <v>0</v>
      </c>
    </row>
    <row r="1043" ht="15.75" customHeight="1">
      <c r="A1043" s="7" t="s">
        <v>2030</v>
      </c>
      <c r="B1043" s="4" t="s">
        <v>2031</v>
      </c>
      <c r="C1043" s="5" t="s">
        <v>6</v>
      </c>
      <c r="D1043" s="6" t="s">
        <v>2032</v>
      </c>
      <c r="E1043" s="6"/>
      <c r="F1043" s="6" t="b">
        <f t="shared" si="1"/>
        <v>0</v>
      </c>
    </row>
    <row r="1044" ht="15.75" customHeight="1">
      <c r="A1044" s="7" t="s">
        <v>2033</v>
      </c>
      <c r="B1044" s="4" t="s">
        <v>2034</v>
      </c>
      <c r="C1044" s="5" t="s">
        <v>6</v>
      </c>
      <c r="D1044" s="6" t="s">
        <v>2035</v>
      </c>
      <c r="E1044" s="6"/>
      <c r="F1044" s="6" t="b">
        <f t="shared" si="1"/>
        <v>0</v>
      </c>
    </row>
    <row r="1045" ht="15.75" customHeight="1">
      <c r="A1045" s="7" t="s">
        <v>2036</v>
      </c>
      <c r="B1045" s="4" t="s">
        <v>2037</v>
      </c>
      <c r="C1045" s="6"/>
      <c r="D1045" s="6" t="s">
        <v>70</v>
      </c>
      <c r="E1045" s="6"/>
      <c r="F1045" s="6" t="b">
        <f t="shared" si="1"/>
        <v>0</v>
      </c>
    </row>
    <row r="1046" ht="15.75" customHeight="1">
      <c r="A1046" s="7" t="s">
        <v>2038</v>
      </c>
      <c r="B1046" s="4" t="s">
        <v>2039</v>
      </c>
      <c r="C1046" s="6"/>
      <c r="D1046" s="6" t="s">
        <v>70</v>
      </c>
      <c r="E1046" s="6"/>
      <c r="F1046" s="6" t="b">
        <f t="shared" si="1"/>
        <v>0</v>
      </c>
    </row>
    <row r="1047" ht="15.75" customHeight="1">
      <c r="A1047" s="7" t="s">
        <v>2040</v>
      </c>
      <c r="B1047" s="4" t="s">
        <v>2041</v>
      </c>
      <c r="C1047" s="6"/>
      <c r="D1047" s="6" t="s">
        <v>70</v>
      </c>
      <c r="E1047" s="6"/>
      <c r="F1047" s="6" t="b">
        <f t="shared" si="1"/>
        <v>0</v>
      </c>
    </row>
    <row r="1048" ht="15.75" customHeight="1">
      <c r="A1048" s="7" t="s">
        <v>2042</v>
      </c>
      <c r="B1048" s="4" t="s">
        <v>2043</v>
      </c>
      <c r="C1048" s="5" t="s">
        <v>6</v>
      </c>
      <c r="D1048" s="6" t="s">
        <v>81</v>
      </c>
      <c r="E1048" s="6"/>
      <c r="F1048" s="6" t="b">
        <f t="shared" si="1"/>
        <v>0</v>
      </c>
    </row>
    <row r="1049" ht="15.75" customHeight="1">
      <c r="A1049" s="7" t="s">
        <v>2044</v>
      </c>
      <c r="B1049" s="4" t="s">
        <v>2045</v>
      </c>
      <c r="C1049" s="5" t="s">
        <v>6</v>
      </c>
      <c r="D1049" s="6" t="s">
        <v>81</v>
      </c>
      <c r="E1049" s="6"/>
      <c r="F1049" s="6" t="b">
        <f t="shared" si="1"/>
        <v>0</v>
      </c>
    </row>
    <row r="1050" ht="15.75" customHeight="1">
      <c r="A1050" s="7" t="s">
        <v>2046</v>
      </c>
      <c r="B1050" s="4" t="s">
        <v>2047</v>
      </c>
      <c r="C1050" s="6"/>
      <c r="D1050" s="6" t="s">
        <v>70</v>
      </c>
      <c r="E1050" s="6"/>
      <c r="F1050" s="6" t="b">
        <f t="shared" si="1"/>
        <v>0</v>
      </c>
    </row>
    <row r="1051" ht="15.75" customHeight="1">
      <c r="A1051" s="7" t="s">
        <v>2048</v>
      </c>
      <c r="B1051" s="4" t="s">
        <v>2049</v>
      </c>
      <c r="C1051" s="6"/>
      <c r="D1051" s="6" t="s">
        <v>70</v>
      </c>
      <c r="E1051" s="6"/>
      <c r="F1051" s="6" t="b">
        <f t="shared" si="1"/>
        <v>0</v>
      </c>
    </row>
    <row r="1052" ht="15.75" customHeight="1">
      <c r="A1052" s="7" t="s">
        <v>2050</v>
      </c>
      <c r="B1052" s="4" t="s">
        <v>2051</v>
      </c>
      <c r="C1052" s="6"/>
      <c r="D1052" s="6" t="s">
        <v>70</v>
      </c>
      <c r="E1052" s="6"/>
      <c r="F1052" s="6" t="b">
        <f t="shared" si="1"/>
        <v>0</v>
      </c>
    </row>
    <row r="1053" ht="15.75" customHeight="1">
      <c r="A1053" s="7" t="s">
        <v>2052</v>
      </c>
      <c r="B1053" s="4" t="s">
        <v>2053</v>
      </c>
      <c r="C1053" s="6"/>
      <c r="D1053" s="6" t="s">
        <v>70</v>
      </c>
      <c r="E1053" s="6"/>
      <c r="F1053" s="6" t="b">
        <f t="shared" si="1"/>
        <v>0</v>
      </c>
    </row>
    <row r="1054" ht="15.75" customHeight="1">
      <c r="A1054" s="7" t="s">
        <v>2054</v>
      </c>
      <c r="B1054" s="4" t="s">
        <v>2055</v>
      </c>
      <c r="C1054" s="5" t="s">
        <v>6</v>
      </c>
      <c r="D1054" s="6" t="s">
        <v>81</v>
      </c>
      <c r="E1054" s="6"/>
      <c r="F1054" s="6" t="b">
        <f t="shared" si="1"/>
        <v>0</v>
      </c>
    </row>
    <row r="1055" ht="15.75" customHeight="1">
      <c r="A1055" s="7" t="s">
        <v>2056</v>
      </c>
      <c r="B1055" s="4" t="s">
        <v>2057</v>
      </c>
      <c r="C1055" s="6"/>
      <c r="D1055" s="6" t="s">
        <v>70</v>
      </c>
      <c r="E1055" s="6"/>
      <c r="F1055" s="6" t="b">
        <f t="shared" si="1"/>
        <v>0</v>
      </c>
    </row>
    <row r="1056" ht="15.75" customHeight="1">
      <c r="A1056" s="7" t="s">
        <v>2058</v>
      </c>
      <c r="B1056" s="4" t="s">
        <v>2059</v>
      </c>
      <c r="C1056" s="8"/>
      <c r="D1056" s="6" t="s">
        <v>70</v>
      </c>
      <c r="E1056" s="6"/>
      <c r="F1056" s="6" t="b">
        <f t="shared" si="1"/>
        <v>0</v>
      </c>
    </row>
    <row r="1057" ht="15.75" customHeight="1">
      <c r="A1057" s="7" t="s">
        <v>2060</v>
      </c>
      <c r="B1057" s="4" t="s">
        <v>2061</v>
      </c>
      <c r="C1057" s="6"/>
      <c r="D1057" s="6" t="s">
        <v>70</v>
      </c>
      <c r="E1057" s="6"/>
      <c r="F1057" s="6" t="b">
        <f t="shared" si="1"/>
        <v>0</v>
      </c>
    </row>
    <row r="1058" ht="15.75" customHeight="1">
      <c r="A1058" s="7" t="s">
        <v>2062</v>
      </c>
      <c r="B1058" s="4" t="s">
        <v>2063</v>
      </c>
      <c r="C1058" s="5" t="s">
        <v>6</v>
      </c>
      <c r="D1058" s="6" t="s">
        <v>2064</v>
      </c>
      <c r="E1058" s="6"/>
      <c r="F1058" s="6" t="b">
        <f t="shared" si="1"/>
        <v>0</v>
      </c>
    </row>
    <row r="1059" ht="15.75" customHeight="1">
      <c r="A1059" s="7" t="s">
        <v>2065</v>
      </c>
      <c r="B1059" s="4" t="s">
        <v>2066</v>
      </c>
      <c r="C1059" s="5" t="s">
        <v>6</v>
      </c>
      <c r="D1059" s="6" t="s">
        <v>1939</v>
      </c>
      <c r="E1059" s="6"/>
      <c r="F1059" s="6" t="b">
        <f t="shared" si="1"/>
        <v>0</v>
      </c>
    </row>
    <row r="1060" ht="15.75" customHeight="1">
      <c r="A1060" s="7" t="s">
        <v>2067</v>
      </c>
      <c r="B1060" s="4" t="s">
        <v>2068</v>
      </c>
      <c r="C1060" s="6"/>
      <c r="D1060" s="6" t="s">
        <v>70</v>
      </c>
      <c r="E1060" s="6"/>
      <c r="F1060" s="6" t="b">
        <f t="shared" si="1"/>
        <v>0</v>
      </c>
    </row>
    <row r="1061" ht="15.75" customHeight="1">
      <c r="A1061" s="7" t="s">
        <v>2069</v>
      </c>
      <c r="B1061" s="4" t="s">
        <v>2070</v>
      </c>
      <c r="C1061" s="6"/>
      <c r="D1061" s="6" t="s">
        <v>70</v>
      </c>
      <c r="E1061" s="6"/>
      <c r="F1061" s="6" t="b">
        <f t="shared" si="1"/>
        <v>0</v>
      </c>
    </row>
    <row r="1062" ht="15.75" customHeight="1">
      <c r="A1062" s="7" t="s">
        <v>2071</v>
      </c>
      <c r="B1062" s="4" t="s">
        <v>2072</v>
      </c>
      <c r="C1062" s="6"/>
      <c r="D1062" s="6" t="s">
        <v>70</v>
      </c>
      <c r="E1062" s="6"/>
      <c r="F1062" s="6" t="b">
        <f t="shared" si="1"/>
        <v>0</v>
      </c>
    </row>
    <row r="1063" ht="15.75" customHeight="1">
      <c r="A1063" s="7" t="s">
        <v>2073</v>
      </c>
      <c r="B1063" s="4" t="s">
        <v>2074</v>
      </c>
      <c r="C1063" s="6"/>
      <c r="D1063" s="6" t="s">
        <v>70</v>
      </c>
      <c r="E1063" s="6"/>
      <c r="F1063" s="6" t="b">
        <f t="shared" si="1"/>
        <v>0</v>
      </c>
    </row>
    <row r="1064" ht="15.75" customHeight="1">
      <c r="A1064" s="7" t="s">
        <v>2075</v>
      </c>
      <c r="B1064" s="4" t="s">
        <v>2076</v>
      </c>
      <c r="C1064" s="5" t="s">
        <v>6</v>
      </c>
      <c r="D1064" s="6" t="s">
        <v>2077</v>
      </c>
      <c r="E1064" s="6"/>
      <c r="F1064" s="6" t="b">
        <f t="shared" si="1"/>
        <v>0</v>
      </c>
    </row>
    <row r="1065" ht="15.75" customHeight="1">
      <c r="A1065" s="7" t="s">
        <v>2078</v>
      </c>
      <c r="B1065" s="4" t="s">
        <v>2079</v>
      </c>
      <c r="C1065" s="6"/>
      <c r="D1065" s="6" t="s">
        <v>70</v>
      </c>
      <c r="E1065" s="6"/>
      <c r="F1065" s="6" t="b">
        <f t="shared" si="1"/>
        <v>0</v>
      </c>
    </row>
    <row r="1066" ht="15.75" customHeight="1">
      <c r="A1066" s="7" t="s">
        <v>2080</v>
      </c>
      <c r="B1066" s="4" t="s">
        <v>2081</v>
      </c>
      <c r="C1066" s="6"/>
      <c r="D1066" s="6" t="s">
        <v>70</v>
      </c>
      <c r="E1066" s="6"/>
      <c r="F1066" s="6" t="b">
        <f t="shared" si="1"/>
        <v>0</v>
      </c>
    </row>
    <row r="1067" ht="15.75" customHeight="1">
      <c r="A1067" s="7" t="s">
        <v>2082</v>
      </c>
      <c r="B1067" s="4" t="s">
        <v>2083</v>
      </c>
      <c r="C1067" s="5" t="s">
        <v>6</v>
      </c>
      <c r="D1067" s="6" t="s">
        <v>81</v>
      </c>
      <c r="E1067" s="6"/>
      <c r="F1067" s="6" t="b">
        <f t="shared" si="1"/>
        <v>0</v>
      </c>
    </row>
    <row r="1068" ht="15.75" customHeight="1">
      <c r="A1068" s="7" t="s">
        <v>2084</v>
      </c>
      <c r="B1068" s="4" t="s">
        <v>2085</v>
      </c>
      <c r="C1068" s="6"/>
      <c r="D1068" s="6" t="s">
        <v>70</v>
      </c>
      <c r="E1068" s="6"/>
      <c r="F1068" s="6" t="b">
        <f t="shared" si="1"/>
        <v>0</v>
      </c>
    </row>
    <row r="1069" ht="15.75" customHeight="1">
      <c r="A1069" s="7" t="s">
        <v>2086</v>
      </c>
      <c r="B1069" s="4" t="s">
        <v>2087</v>
      </c>
      <c r="C1069" s="6"/>
      <c r="D1069" s="6" t="s">
        <v>70</v>
      </c>
      <c r="E1069" s="6"/>
      <c r="F1069" s="6" t="b">
        <f t="shared" si="1"/>
        <v>0</v>
      </c>
    </row>
    <row r="1070" ht="15.75" customHeight="1">
      <c r="A1070" s="7" t="s">
        <v>2088</v>
      </c>
      <c r="B1070" s="4" t="s">
        <v>2089</v>
      </c>
      <c r="C1070" s="5" t="s">
        <v>6</v>
      </c>
      <c r="D1070" s="6" t="s">
        <v>1998</v>
      </c>
      <c r="E1070" s="6"/>
      <c r="F1070" s="6" t="b">
        <f t="shared" si="1"/>
        <v>0</v>
      </c>
    </row>
    <row r="1071" ht="15.75" customHeight="1">
      <c r="A1071" s="7" t="s">
        <v>2090</v>
      </c>
      <c r="B1071" s="4" t="s">
        <v>2091</v>
      </c>
      <c r="C1071" s="5" t="s">
        <v>6</v>
      </c>
      <c r="D1071" s="6" t="s">
        <v>2077</v>
      </c>
      <c r="E1071" s="6"/>
      <c r="F1071" s="6" t="b">
        <f t="shared" si="1"/>
        <v>0</v>
      </c>
    </row>
    <row r="1072" ht="15.75" customHeight="1">
      <c r="A1072" s="7" t="s">
        <v>2092</v>
      </c>
      <c r="B1072" s="4" t="s">
        <v>2093</v>
      </c>
      <c r="C1072" s="5" t="s">
        <v>16</v>
      </c>
      <c r="D1072" s="6" t="s">
        <v>1738</v>
      </c>
      <c r="E1072" s="6"/>
      <c r="F1072" s="6" t="b">
        <f t="shared" si="1"/>
        <v>0</v>
      </c>
    </row>
    <row r="1073" ht="15.75" customHeight="1">
      <c r="A1073" s="7" t="s">
        <v>2094</v>
      </c>
      <c r="B1073" s="4" t="s">
        <v>2095</v>
      </c>
      <c r="C1073" s="6"/>
      <c r="D1073" s="6" t="s">
        <v>70</v>
      </c>
      <c r="E1073" s="6"/>
      <c r="F1073" s="6" t="b">
        <f t="shared" si="1"/>
        <v>0</v>
      </c>
    </row>
    <row r="1074" ht="15.75" customHeight="1">
      <c r="A1074" s="7" t="s">
        <v>2096</v>
      </c>
      <c r="B1074" s="4" t="s">
        <v>2097</v>
      </c>
      <c r="C1074" s="6"/>
      <c r="D1074" s="6" t="s">
        <v>70</v>
      </c>
      <c r="E1074" s="6"/>
      <c r="F1074" s="6" t="b">
        <f t="shared" si="1"/>
        <v>0</v>
      </c>
    </row>
    <row r="1075" ht="15.75" customHeight="1">
      <c r="A1075" s="7" t="s">
        <v>2098</v>
      </c>
      <c r="B1075" s="4" t="s">
        <v>2099</v>
      </c>
      <c r="C1075" s="5" t="s">
        <v>6</v>
      </c>
      <c r="D1075" s="6" t="s">
        <v>2100</v>
      </c>
      <c r="E1075" s="6"/>
      <c r="F1075" s="6" t="b">
        <f t="shared" si="1"/>
        <v>0</v>
      </c>
    </row>
    <row r="1076" ht="15.75" customHeight="1">
      <c r="A1076" s="7" t="s">
        <v>2101</v>
      </c>
      <c r="B1076" s="4" t="s">
        <v>2102</v>
      </c>
      <c r="C1076" s="6"/>
      <c r="D1076" s="6" t="s">
        <v>70</v>
      </c>
      <c r="E1076" s="6"/>
      <c r="F1076" s="6" t="b">
        <f t="shared" si="1"/>
        <v>0</v>
      </c>
    </row>
    <row r="1077" ht="15.75" customHeight="1">
      <c r="A1077" s="7" t="s">
        <v>2103</v>
      </c>
      <c r="B1077" s="4" t="s">
        <v>2104</v>
      </c>
      <c r="C1077" s="6"/>
      <c r="D1077" s="6" t="s">
        <v>70</v>
      </c>
      <c r="E1077" s="6"/>
      <c r="F1077" s="6" t="b">
        <f t="shared" si="1"/>
        <v>0</v>
      </c>
    </row>
    <row r="1078" ht="15.75" customHeight="1">
      <c r="A1078" s="7" t="s">
        <v>2105</v>
      </c>
      <c r="B1078" s="4" t="s">
        <v>2106</v>
      </c>
      <c r="C1078" s="6"/>
      <c r="D1078" s="6" t="s">
        <v>70</v>
      </c>
      <c r="E1078" s="6"/>
      <c r="F1078" s="6" t="b">
        <f t="shared" si="1"/>
        <v>0</v>
      </c>
    </row>
    <row r="1079" ht="15.75" customHeight="1">
      <c r="A1079" s="7" t="s">
        <v>2107</v>
      </c>
      <c r="B1079" s="4" t="s">
        <v>2108</v>
      </c>
      <c r="C1079" s="6"/>
      <c r="D1079" s="6" t="s">
        <v>70</v>
      </c>
      <c r="E1079" s="6"/>
      <c r="F1079" s="6" t="b">
        <f t="shared" si="1"/>
        <v>0</v>
      </c>
    </row>
    <row r="1080" ht="15.75" customHeight="1">
      <c r="A1080" s="7" t="s">
        <v>2109</v>
      </c>
      <c r="B1080" s="4" t="s">
        <v>2110</v>
      </c>
      <c r="C1080" s="6"/>
      <c r="D1080" s="6" t="s">
        <v>70</v>
      </c>
      <c r="E1080" s="6"/>
      <c r="F1080" s="6" t="b">
        <f t="shared" si="1"/>
        <v>0</v>
      </c>
    </row>
    <row r="1081" ht="15.75" customHeight="1">
      <c r="A1081" s="7" t="s">
        <v>2111</v>
      </c>
      <c r="B1081" s="4" t="s">
        <v>2112</v>
      </c>
      <c r="C1081" s="6"/>
      <c r="D1081" s="6" t="s">
        <v>70</v>
      </c>
      <c r="E1081" s="6"/>
      <c r="F1081" s="6" t="b">
        <f t="shared" si="1"/>
        <v>0</v>
      </c>
    </row>
    <row r="1082" ht="15.75" customHeight="1">
      <c r="A1082" s="7" t="s">
        <v>2113</v>
      </c>
      <c r="B1082" s="4" t="s">
        <v>2114</v>
      </c>
      <c r="C1082" s="6"/>
      <c r="D1082" s="6" t="s">
        <v>70</v>
      </c>
      <c r="E1082" s="6"/>
      <c r="F1082" s="6" t="b">
        <f t="shared" si="1"/>
        <v>0</v>
      </c>
    </row>
    <row r="1083" ht="15.75" customHeight="1">
      <c r="A1083" s="7" t="s">
        <v>2115</v>
      </c>
      <c r="B1083" s="4" t="s">
        <v>2116</v>
      </c>
      <c r="C1083" s="6"/>
      <c r="D1083" s="6" t="s">
        <v>70</v>
      </c>
      <c r="E1083" s="6"/>
      <c r="F1083" s="6" t="b">
        <f t="shared" si="1"/>
        <v>0</v>
      </c>
    </row>
    <row r="1084" ht="15.75" customHeight="1">
      <c r="A1084" s="7" t="s">
        <v>2117</v>
      </c>
      <c r="B1084" s="4" t="s">
        <v>2118</v>
      </c>
      <c r="C1084" s="6"/>
      <c r="D1084" s="6" t="s">
        <v>70</v>
      </c>
      <c r="E1084" s="6"/>
      <c r="F1084" s="6" t="b">
        <f t="shared" si="1"/>
        <v>0</v>
      </c>
    </row>
    <row r="1085" ht="15.75" customHeight="1">
      <c r="A1085" s="7" t="s">
        <v>2119</v>
      </c>
      <c r="B1085" s="4" t="s">
        <v>2120</v>
      </c>
      <c r="C1085" s="6"/>
      <c r="D1085" s="6" t="s">
        <v>70</v>
      </c>
      <c r="E1085" s="6"/>
      <c r="F1085" s="6" t="b">
        <f t="shared" si="1"/>
        <v>0</v>
      </c>
    </row>
    <row r="1086" ht="15.75" customHeight="1">
      <c r="A1086" s="7" t="s">
        <v>2121</v>
      </c>
      <c r="B1086" s="4" t="s">
        <v>2122</v>
      </c>
      <c r="C1086" s="6"/>
      <c r="D1086" s="6" t="s">
        <v>70</v>
      </c>
      <c r="E1086" s="6"/>
      <c r="F1086" s="6" t="b">
        <f t="shared" si="1"/>
        <v>0</v>
      </c>
    </row>
    <row r="1087" ht="15.75" customHeight="1">
      <c r="A1087" s="7" t="s">
        <v>2123</v>
      </c>
      <c r="B1087" s="4" t="s">
        <v>2124</v>
      </c>
      <c r="C1087" s="6"/>
      <c r="D1087" s="6" t="s">
        <v>70</v>
      </c>
      <c r="E1087" s="6"/>
      <c r="F1087" s="6" t="b">
        <f t="shared" si="1"/>
        <v>0</v>
      </c>
    </row>
    <row r="1088" ht="15.75" customHeight="1">
      <c r="A1088" s="7" t="s">
        <v>2125</v>
      </c>
      <c r="B1088" s="4" t="s">
        <v>2126</v>
      </c>
      <c r="C1088" s="6"/>
      <c r="D1088" s="6" t="s">
        <v>70</v>
      </c>
      <c r="E1088" s="6"/>
      <c r="F1088" s="6" t="b">
        <f t="shared" si="1"/>
        <v>0</v>
      </c>
    </row>
    <row r="1089" ht="15.75" customHeight="1">
      <c r="A1089" s="7" t="s">
        <v>2127</v>
      </c>
      <c r="B1089" s="4" t="s">
        <v>2128</v>
      </c>
      <c r="C1089" s="6"/>
      <c r="D1089" s="6" t="s">
        <v>70</v>
      </c>
      <c r="E1089" s="6"/>
      <c r="F1089" s="6" t="b">
        <f t="shared" si="1"/>
        <v>0</v>
      </c>
    </row>
    <row r="1090" ht="15.75" customHeight="1">
      <c r="A1090" s="7" t="s">
        <v>2129</v>
      </c>
      <c r="B1090" s="4" t="s">
        <v>2130</v>
      </c>
      <c r="C1090" s="5" t="s">
        <v>6</v>
      </c>
      <c r="D1090" s="6" t="s">
        <v>1998</v>
      </c>
      <c r="E1090" s="6"/>
      <c r="F1090" s="6" t="b">
        <f t="shared" si="1"/>
        <v>0</v>
      </c>
    </row>
    <row r="1091" ht="15.75" customHeight="1">
      <c r="A1091" s="7" t="s">
        <v>2131</v>
      </c>
      <c r="B1091" s="4" t="s">
        <v>2132</v>
      </c>
      <c r="C1091" s="5" t="s">
        <v>16</v>
      </c>
      <c r="D1091" s="6" t="s">
        <v>1738</v>
      </c>
      <c r="E1091" s="6"/>
      <c r="F1091" s="6" t="b">
        <f t="shared" si="1"/>
        <v>0</v>
      </c>
    </row>
    <row r="1092" ht="15.75" customHeight="1">
      <c r="A1092" s="7" t="s">
        <v>2133</v>
      </c>
      <c r="B1092" s="4" t="s">
        <v>2134</v>
      </c>
      <c r="C1092" s="5" t="s">
        <v>6</v>
      </c>
      <c r="D1092" s="6" t="s">
        <v>1998</v>
      </c>
      <c r="E1092" s="6"/>
      <c r="F1092" s="6" t="b">
        <f t="shared" si="1"/>
        <v>0</v>
      </c>
    </row>
    <row r="1093" ht="15.75" customHeight="1">
      <c r="A1093" s="7" t="s">
        <v>2135</v>
      </c>
      <c r="B1093" s="4" t="s">
        <v>2136</v>
      </c>
      <c r="C1093" s="6"/>
      <c r="D1093" s="6" t="s">
        <v>70</v>
      </c>
      <c r="E1093" s="6"/>
      <c r="F1093" s="6" t="b">
        <f t="shared" si="1"/>
        <v>0</v>
      </c>
    </row>
    <row r="1094" ht="15.75" customHeight="1">
      <c r="A1094" s="7" t="s">
        <v>2137</v>
      </c>
      <c r="B1094" s="4" t="s">
        <v>2138</v>
      </c>
      <c r="C1094" s="6"/>
      <c r="D1094" s="6" t="s">
        <v>70</v>
      </c>
      <c r="E1094" s="6"/>
      <c r="F1094" s="6" t="b">
        <f t="shared" si="1"/>
        <v>0</v>
      </c>
    </row>
    <row r="1095" ht="15.75" customHeight="1">
      <c r="A1095" s="7" t="s">
        <v>2139</v>
      </c>
      <c r="B1095" s="4" t="s">
        <v>2140</v>
      </c>
      <c r="C1095" s="5" t="s">
        <v>6</v>
      </c>
      <c r="D1095" s="6" t="s">
        <v>2141</v>
      </c>
      <c r="E1095" s="6"/>
      <c r="F1095" s="6" t="b">
        <f t="shared" si="1"/>
        <v>0</v>
      </c>
    </row>
    <row r="1096" ht="15.75" customHeight="1">
      <c r="A1096" s="7" t="s">
        <v>2142</v>
      </c>
      <c r="B1096" s="4" t="s">
        <v>2143</v>
      </c>
      <c r="C1096" s="5" t="s">
        <v>6</v>
      </c>
      <c r="D1096" s="6" t="s">
        <v>81</v>
      </c>
      <c r="E1096" s="6"/>
      <c r="F1096" s="6" t="b">
        <f t="shared" si="1"/>
        <v>0</v>
      </c>
    </row>
    <row r="1097" ht="15.75" customHeight="1">
      <c r="A1097" s="7" t="s">
        <v>2144</v>
      </c>
      <c r="B1097" s="4" t="s">
        <v>2145</v>
      </c>
      <c r="C1097" s="6"/>
      <c r="D1097" s="6" t="s">
        <v>70</v>
      </c>
      <c r="E1097" s="6"/>
      <c r="F1097" s="6" t="b">
        <f t="shared" si="1"/>
        <v>0</v>
      </c>
    </row>
    <row r="1098" ht="15.75" customHeight="1">
      <c r="A1098" s="7" t="s">
        <v>2146</v>
      </c>
      <c r="B1098" s="4" t="s">
        <v>2147</v>
      </c>
      <c r="C1098" s="6"/>
      <c r="D1098" s="6" t="s">
        <v>70</v>
      </c>
      <c r="E1098" s="6"/>
      <c r="F1098" s="6" t="b">
        <f t="shared" si="1"/>
        <v>0</v>
      </c>
    </row>
    <row r="1099" ht="15.75" customHeight="1">
      <c r="A1099" s="7" t="s">
        <v>2148</v>
      </c>
      <c r="B1099" s="4" t="s">
        <v>2149</v>
      </c>
      <c r="C1099" s="5" t="s">
        <v>16</v>
      </c>
      <c r="D1099" s="6" t="s">
        <v>2150</v>
      </c>
      <c r="E1099" s="6"/>
      <c r="F1099" s="6" t="b">
        <f t="shared" si="1"/>
        <v>0</v>
      </c>
    </row>
    <row r="1100" ht="15.75" customHeight="1">
      <c r="A1100" s="7" t="s">
        <v>2151</v>
      </c>
      <c r="B1100" s="4" t="s">
        <v>2152</v>
      </c>
      <c r="C1100" s="6"/>
      <c r="D1100" s="6" t="s">
        <v>70</v>
      </c>
      <c r="E1100" s="6"/>
      <c r="F1100" s="6" t="b">
        <f t="shared" si="1"/>
        <v>0</v>
      </c>
    </row>
    <row r="1101" ht="15.75" customHeight="1">
      <c r="A1101" s="7" t="s">
        <v>2153</v>
      </c>
      <c r="B1101" s="4" t="s">
        <v>2154</v>
      </c>
      <c r="C1101" s="6"/>
      <c r="D1101" s="6" t="s">
        <v>70</v>
      </c>
      <c r="E1101" s="6"/>
      <c r="F1101" s="6" t="b">
        <f t="shared" si="1"/>
        <v>0</v>
      </c>
    </row>
    <row r="1102" ht="15.75" customHeight="1">
      <c r="A1102" s="7" t="s">
        <v>2155</v>
      </c>
      <c r="B1102" s="4" t="s">
        <v>2156</v>
      </c>
      <c r="C1102" s="5" t="s">
        <v>6</v>
      </c>
      <c r="D1102" s="6" t="s">
        <v>2157</v>
      </c>
      <c r="E1102" s="6"/>
      <c r="F1102" s="6" t="b">
        <f t="shared" si="1"/>
        <v>0</v>
      </c>
    </row>
    <row r="1103" ht="15.75" customHeight="1">
      <c r="A1103" s="7" t="s">
        <v>2158</v>
      </c>
      <c r="B1103" s="4" t="s">
        <v>2159</v>
      </c>
      <c r="C1103" s="6"/>
      <c r="D1103" s="6" t="s">
        <v>70</v>
      </c>
      <c r="E1103" s="6"/>
      <c r="F1103" s="6" t="b">
        <f t="shared" si="1"/>
        <v>0</v>
      </c>
    </row>
    <row r="1104" ht="15.75" customHeight="1">
      <c r="A1104" s="7" t="s">
        <v>2160</v>
      </c>
      <c r="B1104" s="4" t="s">
        <v>2161</v>
      </c>
      <c r="C1104" s="6"/>
      <c r="D1104" s="6" t="s">
        <v>70</v>
      </c>
      <c r="E1104" s="6"/>
      <c r="F1104" s="6" t="b">
        <f t="shared" si="1"/>
        <v>0</v>
      </c>
    </row>
    <row r="1105" ht="15.75" customHeight="1">
      <c r="A1105" s="7" t="s">
        <v>2162</v>
      </c>
      <c r="B1105" s="4" t="s">
        <v>2163</v>
      </c>
      <c r="C1105" s="6"/>
      <c r="D1105" s="6" t="s">
        <v>70</v>
      </c>
      <c r="E1105" s="6"/>
      <c r="F1105" s="6" t="b">
        <f t="shared" si="1"/>
        <v>0</v>
      </c>
    </row>
    <row r="1106" ht="15.75" customHeight="1">
      <c r="A1106" s="7" t="s">
        <v>2164</v>
      </c>
      <c r="B1106" s="4" t="s">
        <v>2165</v>
      </c>
      <c r="C1106" s="6"/>
      <c r="D1106" s="6" t="s">
        <v>70</v>
      </c>
      <c r="E1106" s="6"/>
      <c r="F1106" s="6" t="b">
        <f t="shared" si="1"/>
        <v>0</v>
      </c>
    </row>
    <row r="1107" ht="15.75" customHeight="1">
      <c r="A1107" s="7" t="s">
        <v>2166</v>
      </c>
      <c r="B1107" s="4" t="s">
        <v>2167</v>
      </c>
      <c r="C1107" s="6"/>
      <c r="D1107" s="6" t="s">
        <v>70</v>
      </c>
      <c r="E1107" s="6"/>
      <c r="F1107" s="6" t="b">
        <f t="shared" si="1"/>
        <v>0</v>
      </c>
    </row>
    <row r="1108" ht="15.75" customHeight="1">
      <c r="A1108" s="7" t="s">
        <v>2168</v>
      </c>
      <c r="B1108" s="4" t="s">
        <v>2169</v>
      </c>
      <c r="C1108" s="6"/>
      <c r="D1108" s="6" t="s">
        <v>70</v>
      </c>
      <c r="E1108" s="6"/>
      <c r="F1108" s="6" t="b">
        <f t="shared" si="1"/>
        <v>0</v>
      </c>
    </row>
    <row r="1109" ht="15.75" customHeight="1">
      <c r="A1109" s="7" t="s">
        <v>2170</v>
      </c>
      <c r="B1109" s="4" t="s">
        <v>2171</v>
      </c>
      <c r="C1109" s="6"/>
      <c r="D1109" s="6" t="s">
        <v>70</v>
      </c>
      <c r="E1109" s="6"/>
      <c r="F1109" s="6" t="b">
        <f t="shared" si="1"/>
        <v>0</v>
      </c>
    </row>
    <row r="1110" ht="15.75" customHeight="1">
      <c r="A1110" s="7" t="s">
        <v>2172</v>
      </c>
      <c r="B1110" s="4" t="s">
        <v>2173</v>
      </c>
      <c r="C1110" s="5" t="s">
        <v>6</v>
      </c>
      <c r="D1110" s="6" t="s">
        <v>1998</v>
      </c>
      <c r="E1110" s="6"/>
      <c r="F1110" s="6" t="b">
        <f t="shared" si="1"/>
        <v>0</v>
      </c>
    </row>
    <row r="1111" ht="15.75" customHeight="1">
      <c r="A1111" s="7" t="s">
        <v>2174</v>
      </c>
      <c r="B1111" s="4" t="s">
        <v>2175</v>
      </c>
      <c r="C1111" s="5" t="s">
        <v>16</v>
      </c>
      <c r="D1111" s="6" t="s">
        <v>2176</v>
      </c>
      <c r="E1111" s="6"/>
      <c r="F1111" s="6" t="b">
        <f t="shared" si="1"/>
        <v>0</v>
      </c>
    </row>
    <row r="1112" ht="15.75" customHeight="1">
      <c r="A1112" s="7" t="s">
        <v>2177</v>
      </c>
      <c r="B1112" s="4" t="s">
        <v>2178</v>
      </c>
      <c r="C1112" s="5" t="s">
        <v>6</v>
      </c>
      <c r="D1112" s="6" t="s">
        <v>1939</v>
      </c>
      <c r="E1112" s="6"/>
      <c r="F1112" s="6" t="b">
        <f t="shared" si="1"/>
        <v>0</v>
      </c>
    </row>
    <row r="1113" ht="15.75" customHeight="1">
      <c r="A1113" s="7" t="s">
        <v>2179</v>
      </c>
      <c r="B1113" s="4" t="s">
        <v>2180</v>
      </c>
      <c r="C1113" s="6"/>
      <c r="D1113" s="6" t="s">
        <v>70</v>
      </c>
      <c r="E1113" s="6"/>
      <c r="F1113" s="6" t="b">
        <f t="shared" si="1"/>
        <v>0</v>
      </c>
    </row>
    <row r="1114" ht="15.75" customHeight="1">
      <c r="A1114" s="7" t="s">
        <v>2181</v>
      </c>
      <c r="B1114" s="4" t="s">
        <v>2182</v>
      </c>
      <c r="C1114" s="5" t="s">
        <v>6</v>
      </c>
      <c r="D1114" s="6" t="s">
        <v>1939</v>
      </c>
      <c r="E1114" s="6"/>
      <c r="F1114" s="6" t="b">
        <f t="shared" si="1"/>
        <v>0</v>
      </c>
    </row>
    <row r="1115" ht="15.75" customHeight="1">
      <c r="A1115" s="7" t="s">
        <v>2183</v>
      </c>
      <c r="B1115" s="4" t="s">
        <v>2184</v>
      </c>
      <c r="C1115" s="6"/>
      <c r="D1115" s="6" t="s">
        <v>70</v>
      </c>
      <c r="E1115" s="6"/>
      <c r="F1115" s="6" t="b">
        <f t="shared" si="1"/>
        <v>0</v>
      </c>
    </row>
    <row r="1116" ht="15.75" customHeight="1">
      <c r="A1116" s="7" t="s">
        <v>2185</v>
      </c>
      <c r="B1116" s="4" t="s">
        <v>2186</v>
      </c>
      <c r="C1116" s="6"/>
      <c r="D1116" s="6" t="s">
        <v>70</v>
      </c>
      <c r="E1116" s="6"/>
      <c r="F1116" s="6" t="b">
        <f t="shared" si="1"/>
        <v>0</v>
      </c>
    </row>
    <row r="1117" ht="15.75" customHeight="1">
      <c r="A1117" s="7" t="s">
        <v>2187</v>
      </c>
      <c r="B1117" s="4" t="s">
        <v>2188</v>
      </c>
      <c r="C1117" s="6"/>
      <c r="D1117" s="6" t="s">
        <v>70</v>
      </c>
      <c r="E1117" s="6"/>
      <c r="F1117" s="6" t="b">
        <f t="shared" si="1"/>
        <v>0</v>
      </c>
    </row>
    <row r="1118" ht="15.75" customHeight="1">
      <c r="A1118" s="7" t="s">
        <v>2189</v>
      </c>
      <c r="B1118" s="4" t="s">
        <v>2190</v>
      </c>
      <c r="C1118" s="5" t="s">
        <v>6</v>
      </c>
      <c r="D1118" s="6" t="s">
        <v>2191</v>
      </c>
      <c r="E1118" s="6"/>
      <c r="F1118" s="6" t="b">
        <f t="shared" si="1"/>
        <v>0</v>
      </c>
    </row>
    <row r="1119" ht="15.75" customHeight="1">
      <c r="A1119" s="7" t="s">
        <v>2192</v>
      </c>
      <c r="B1119" s="4" t="s">
        <v>2193</v>
      </c>
      <c r="C1119" s="6"/>
      <c r="D1119" s="6" t="s">
        <v>70</v>
      </c>
      <c r="E1119" s="6"/>
      <c r="F1119" s="6" t="b">
        <f t="shared" si="1"/>
        <v>0</v>
      </c>
    </row>
    <row r="1120" ht="15.75" customHeight="1">
      <c r="A1120" s="7" t="s">
        <v>2194</v>
      </c>
      <c r="B1120" s="4" t="s">
        <v>2195</v>
      </c>
      <c r="C1120" s="6"/>
      <c r="D1120" s="6" t="s">
        <v>70</v>
      </c>
      <c r="E1120" s="6"/>
      <c r="F1120" s="6" t="b">
        <f t="shared" si="1"/>
        <v>0</v>
      </c>
    </row>
    <row r="1121" ht="15.75" customHeight="1">
      <c r="A1121" s="7" t="s">
        <v>2196</v>
      </c>
      <c r="B1121" s="4" t="s">
        <v>2197</v>
      </c>
      <c r="C1121" s="8"/>
      <c r="D1121" s="6" t="s">
        <v>70</v>
      </c>
      <c r="E1121" s="6"/>
      <c r="F1121" s="6" t="b">
        <f t="shared" si="1"/>
        <v>0</v>
      </c>
    </row>
    <row r="1122" ht="15.75" customHeight="1">
      <c r="A1122" s="7" t="s">
        <v>2198</v>
      </c>
      <c r="B1122" s="4" t="s">
        <v>2199</v>
      </c>
      <c r="C1122" s="5" t="s">
        <v>6</v>
      </c>
      <c r="D1122" s="6" t="s">
        <v>584</v>
      </c>
      <c r="E1122" s="6"/>
      <c r="F1122" s="6" t="b">
        <f t="shared" si="1"/>
        <v>0</v>
      </c>
    </row>
    <row r="1123" ht="15.75" customHeight="1">
      <c r="A1123" s="7" t="s">
        <v>2200</v>
      </c>
      <c r="B1123" s="4" t="s">
        <v>2201</v>
      </c>
      <c r="C1123" s="5" t="s">
        <v>6</v>
      </c>
      <c r="D1123" s="6" t="s">
        <v>584</v>
      </c>
      <c r="E1123" s="6"/>
      <c r="F1123" s="6" t="b">
        <f t="shared" si="1"/>
        <v>0</v>
      </c>
    </row>
    <row r="1124" ht="15.75" customHeight="1">
      <c r="A1124" s="7" t="s">
        <v>2202</v>
      </c>
      <c r="B1124" s="4" t="s">
        <v>2203</v>
      </c>
      <c r="C1124" s="5" t="s">
        <v>6</v>
      </c>
      <c r="D1124" s="6" t="s">
        <v>2204</v>
      </c>
      <c r="E1124" s="6"/>
      <c r="F1124" s="6" t="b">
        <f t="shared" si="1"/>
        <v>0</v>
      </c>
    </row>
    <row r="1125" ht="15.75" customHeight="1">
      <c r="A1125" s="7" t="s">
        <v>2205</v>
      </c>
      <c r="B1125" s="4" t="s">
        <v>2206</v>
      </c>
      <c r="C1125" s="6"/>
      <c r="D1125" s="6" t="s">
        <v>70</v>
      </c>
      <c r="E1125" s="6"/>
      <c r="F1125" s="6" t="b">
        <f t="shared" si="1"/>
        <v>0</v>
      </c>
    </row>
    <row r="1126" ht="15.75" customHeight="1">
      <c r="A1126" s="7" t="s">
        <v>2207</v>
      </c>
      <c r="B1126" s="4" t="s">
        <v>2208</v>
      </c>
      <c r="C1126" s="6"/>
      <c r="D1126" s="6" t="s">
        <v>70</v>
      </c>
      <c r="E1126" s="6"/>
      <c r="F1126" s="6" t="b">
        <f t="shared" si="1"/>
        <v>0</v>
      </c>
    </row>
    <row r="1127" ht="15.75" customHeight="1">
      <c r="A1127" s="7" t="s">
        <v>2209</v>
      </c>
      <c r="B1127" s="4" t="s">
        <v>2210</v>
      </c>
      <c r="C1127" s="5" t="s">
        <v>6</v>
      </c>
      <c r="D1127" s="6" t="s">
        <v>2032</v>
      </c>
      <c r="E1127" s="6"/>
      <c r="F1127" s="6" t="b">
        <f t="shared" si="1"/>
        <v>0</v>
      </c>
    </row>
    <row r="1128" ht="15.75" customHeight="1">
      <c r="A1128" s="7" t="s">
        <v>2211</v>
      </c>
      <c r="B1128" s="4" t="s">
        <v>2212</v>
      </c>
      <c r="C1128" s="6"/>
      <c r="D1128" s="6" t="s">
        <v>70</v>
      </c>
      <c r="E1128" s="6"/>
      <c r="F1128" s="6" t="b">
        <f t="shared" si="1"/>
        <v>0</v>
      </c>
    </row>
    <row r="1129" ht="15.75" customHeight="1">
      <c r="A1129" s="7" t="s">
        <v>2213</v>
      </c>
      <c r="B1129" s="4" t="s">
        <v>2214</v>
      </c>
      <c r="C1129" s="6"/>
      <c r="D1129" s="6" t="s">
        <v>70</v>
      </c>
      <c r="E1129" s="6"/>
      <c r="F1129" s="6" t="b">
        <f t="shared" si="1"/>
        <v>0</v>
      </c>
    </row>
    <row r="1130" ht="15.75" customHeight="1">
      <c r="A1130" s="7" t="s">
        <v>2215</v>
      </c>
      <c r="B1130" s="4" t="s">
        <v>2216</v>
      </c>
      <c r="C1130" s="6"/>
      <c r="D1130" s="6" t="s">
        <v>70</v>
      </c>
      <c r="E1130" s="6"/>
      <c r="F1130" s="6" t="b">
        <f t="shared" si="1"/>
        <v>0</v>
      </c>
    </row>
    <row r="1131" ht="15.75" customHeight="1">
      <c r="A1131" s="7" t="s">
        <v>2217</v>
      </c>
      <c r="B1131" s="4" t="s">
        <v>2218</v>
      </c>
      <c r="C1131" s="5" t="s">
        <v>6</v>
      </c>
      <c r="D1131" s="6" t="s">
        <v>1756</v>
      </c>
      <c r="E1131" s="6"/>
      <c r="F1131" s="6" t="b">
        <f t="shared" si="1"/>
        <v>0</v>
      </c>
    </row>
    <row r="1132" ht="15.75" customHeight="1">
      <c r="A1132" s="7" t="s">
        <v>2219</v>
      </c>
      <c r="B1132" s="4" t="s">
        <v>2220</v>
      </c>
      <c r="C1132" s="5" t="s">
        <v>6</v>
      </c>
      <c r="D1132" s="6" t="s">
        <v>1756</v>
      </c>
      <c r="E1132" s="6"/>
      <c r="F1132" s="6" t="b">
        <f t="shared" si="1"/>
        <v>0</v>
      </c>
    </row>
    <row r="1133" ht="15.75" customHeight="1">
      <c r="A1133" s="7" t="s">
        <v>2221</v>
      </c>
      <c r="B1133" s="4" t="s">
        <v>2222</v>
      </c>
      <c r="C1133" s="6"/>
      <c r="D1133" s="6" t="s">
        <v>70</v>
      </c>
      <c r="E1133" s="6"/>
      <c r="F1133" s="6" t="b">
        <f t="shared" si="1"/>
        <v>0</v>
      </c>
    </row>
    <row r="1134" ht="15.75" customHeight="1">
      <c r="A1134" s="7" t="s">
        <v>2223</v>
      </c>
      <c r="B1134" s="4" t="s">
        <v>2224</v>
      </c>
      <c r="C1134" s="6"/>
      <c r="D1134" s="6" t="s">
        <v>70</v>
      </c>
      <c r="E1134" s="6"/>
      <c r="F1134" s="6" t="b">
        <f t="shared" si="1"/>
        <v>0</v>
      </c>
    </row>
    <row r="1135" ht="15.75" customHeight="1">
      <c r="A1135" s="7" t="s">
        <v>2225</v>
      </c>
      <c r="B1135" s="4" t="s">
        <v>2226</v>
      </c>
      <c r="C1135" s="6"/>
      <c r="D1135" s="6" t="s">
        <v>70</v>
      </c>
      <c r="E1135" s="6"/>
      <c r="F1135" s="6" t="b">
        <f t="shared" si="1"/>
        <v>0</v>
      </c>
    </row>
    <row r="1136" ht="15.75" customHeight="1">
      <c r="A1136" s="7" t="s">
        <v>2227</v>
      </c>
      <c r="B1136" s="4" t="s">
        <v>2228</v>
      </c>
      <c r="C1136" s="6"/>
      <c r="D1136" s="6" t="s">
        <v>70</v>
      </c>
      <c r="E1136" s="6"/>
      <c r="F1136" s="6" t="b">
        <f t="shared" si="1"/>
        <v>0</v>
      </c>
    </row>
    <row r="1137" ht="15.75" customHeight="1">
      <c r="A1137" s="7" t="s">
        <v>2229</v>
      </c>
      <c r="B1137" s="4" t="s">
        <v>2230</v>
      </c>
      <c r="C1137" s="8"/>
      <c r="D1137" s="6" t="s">
        <v>70</v>
      </c>
      <c r="E1137" s="6"/>
      <c r="F1137" s="6" t="b">
        <f t="shared" si="1"/>
        <v>0</v>
      </c>
    </row>
    <row r="1138" ht="15.75" customHeight="1">
      <c r="A1138" s="7" t="s">
        <v>2231</v>
      </c>
      <c r="B1138" s="4" t="s">
        <v>2232</v>
      </c>
      <c r="C1138" s="6"/>
      <c r="D1138" s="6" t="s">
        <v>2233</v>
      </c>
      <c r="E1138" s="6"/>
      <c r="F1138" s="6" t="b">
        <f t="shared" si="1"/>
        <v>0</v>
      </c>
    </row>
    <row r="1139" ht="15.75" customHeight="1">
      <c r="A1139" s="7" t="s">
        <v>2234</v>
      </c>
      <c r="B1139" s="4" t="s">
        <v>2235</v>
      </c>
      <c r="C1139" s="8"/>
      <c r="D1139" s="6" t="s">
        <v>70</v>
      </c>
      <c r="E1139" s="6"/>
      <c r="F1139" s="6" t="b">
        <f t="shared" si="1"/>
        <v>0</v>
      </c>
    </row>
    <row r="1140" ht="15.75" customHeight="1">
      <c r="A1140" s="7" t="s">
        <v>2236</v>
      </c>
      <c r="B1140" s="4" t="s">
        <v>2237</v>
      </c>
      <c r="C1140" s="6"/>
      <c r="D1140" s="6" t="s">
        <v>70</v>
      </c>
      <c r="E1140" s="6"/>
      <c r="F1140" s="6" t="b">
        <f t="shared" si="1"/>
        <v>0</v>
      </c>
    </row>
    <row r="1141" ht="15.75" customHeight="1">
      <c r="A1141" s="7" t="s">
        <v>2238</v>
      </c>
      <c r="B1141" s="4" t="s">
        <v>2239</v>
      </c>
      <c r="C1141" s="6"/>
      <c r="D1141" s="6" t="s">
        <v>70</v>
      </c>
      <c r="E1141" s="6"/>
      <c r="F1141" s="6" t="b">
        <f t="shared" si="1"/>
        <v>0</v>
      </c>
    </row>
    <row r="1142" ht="15.75" customHeight="1">
      <c r="A1142" s="7" t="s">
        <v>2240</v>
      </c>
      <c r="B1142" s="4" t="s">
        <v>2241</v>
      </c>
      <c r="C1142" s="6"/>
      <c r="D1142" s="6" t="s">
        <v>70</v>
      </c>
      <c r="E1142" s="6"/>
      <c r="F1142" s="6" t="b">
        <f t="shared" si="1"/>
        <v>0</v>
      </c>
    </row>
    <row r="1143" ht="15.75" customHeight="1">
      <c r="A1143" s="7" t="s">
        <v>2242</v>
      </c>
      <c r="B1143" s="4" t="s">
        <v>2243</v>
      </c>
      <c r="C1143" s="6"/>
      <c r="D1143" s="6" t="s">
        <v>70</v>
      </c>
      <c r="E1143" s="6"/>
      <c r="F1143" s="6" t="b">
        <f t="shared" si="1"/>
        <v>0</v>
      </c>
    </row>
    <row r="1144" ht="15.75" customHeight="1">
      <c r="A1144" s="7" t="s">
        <v>2244</v>
      </c>
      <c r="B1144" s="4" t="s">
        <v>2245</v>
      </c>
      <c r="C1144" s="6"/>
      <c r="D1144" s="6" t="s">
        <v>70</v>
      </c>
      <c r="E1144" s="6"/>
      <c r="F1144" s="6" t="b">
        <f t="shared" si="1"/>
        <v>0</v>
      </c>
    </row>
    <row r="1145" ht="15.75" customHeight="1">
      <c r="A1145" s="7" t="s">
        <v>2246</v>
      </c>
      <c r="B1145" s="4" t="s">
        <v>2247</v>
      </c>
      <c r="C1145" s="6"/>
      <c r="D1145" s="6" t="s">
        <v>70</v>
      </c>
      <c r="E1145" s="6"/>
      <c r="F1145" s="6" t="b">
        <f t="shared" si="1"/>
        <v>0</v>
      </c>
    </row>
    <row r="1146" ht="15.75" customHeight="1">
      <c r="A1146" s="7" t="s">
        <v>2248</v>
      </c>
      <c r="B1146" s="4" t="s">
        <v>2249</v>
      </c>
      <c r="C1146" s="6"/>
      <c r="D1146" s="6" t="s">
        <v>70</v>
      </c>
      <c r="E1146" s="6"/>
      <c r="F1146" s="6" t="b">
        <f t="shared" si="1"/>
        <v>0</v>
      </c>
    </row>
    <row r="1147" ht="15.75" customHeight="1">
      <c r="A1147" s="7" t="s">
        <v>2250</v>
      </c>
      <c r="B1147" s="4" t="s">
        <v>2251</v>
      </c>
      <c r="C1147" s="6"/>
      <c r="D1147" s="6" t="s">
        <v>70</v>
      </c>
      <c r="E1147" s="6"/>
      <c r="F1147" s="6" t="b">
        <f t="shared" si="1"/>
        <v>0</v>
      </c>
    </row>
    <row r="1148" ht="15.75" customHeight="1">
      <c r="A1148" s="7" t="s">
        <v>2252</v>
      </c>
      <c r="B1148" s="4" t="s">
        <v>2253</v>
      </c>
      <c r="C1148" s="6"/>
      <c r="D1148" s="6" t="s">
        <v>70</v>
      </c>
      <c r="E1148" s="6"/>
      <c r="F1148" s="6" t="b">
        <f t="shared" si="1"/>
        <v>0</v>
      </c>
    </row>
    <row r="1149" ht="15.75" customHeight="1">
      <c r="A1149" s="7" t="s">
        <v>2254</v>
      </c>
      <c r="B1149" s="4" t="s">
        <v>2255</v>
      </c>
      <c r="C1149" s="6"/>
      <c r="D1149" s="6" t="s">
        <v>70</v>
      </c>
      <c r="E1149" s="6"/>
      <c r="F1149" s="6" t="b">
        <f t="shared" si="1"/>
        <v>0</v>
      </c>
    </row>
    <row r="1150" ht="15.75" customHeight="1">
      <c r="A1150" s="7" t="s">
        <v>2256</v>
      </c>
      <c r="B1150" s="4" t="s">
        <v>2257</v>
      </c>
      <c r="C1150" s="6"/>
      <c r="D1150" s="6" t="s">
        <v>70</v>
      </c>
      <c r="E1150" s="6"/>
      <c r="F1150" s="6" t="b">
        <f t="shared" si="1"/>
        <v>0</v>
      </c>
    </row>
    <row r="1151" ht="15.75" customHeight="1">
      <c r="A1151" s="7" t="s">
        <v>2258</v>
      </c>
      <c r="B1151" s="4" t="s">
        <v>2259</v>
      </c>
      <c r="C1151" s="6"/>
      <c r="D1151" s="6" t="s">
        <v>70</v>
      </c>
      <c r="E1151" s="6"/>
      <c r="F1151" s="6" t="b">
        <f t="shared" si="1"/>
        <v>0</v>
      </c>
    </row>
    <row r="1152" ht="15.75" customHeight="1">
      <c r="A1152" s="7" t="s">
        <v>2260</v>
      </c>
      <c r="B1152" s="4" t="s">
        <v>2261</v>
      </c>
      <c r="C1152" s="6"/>
      <c r="D1152" s="6" t="s">
        <v>70</v>
      </c>
      <c r="E1152" s="6"/>
      <c r="F1152" s="6" t="b">
        <f t="shared" si="1"/>
        <v>0</v>
      </c>
    </row>
    <row r="1153" ht="15.75" customHeight="1">
      <c r="A1153" s="7" t="s">
        <v>2262</v>
      </c>
      <c r="B1153" s="4" t="s">
        <v>2263</v>
      </c>
      <c r="C1153" s="5" t="s">
        <v>6</v>
      </c>
      <c r="D1153" s="6" t="s">
        <v>2264</v>
      </c>
      <c r="E1153" s="6"/>
      <c r="F1153" s="6" t="b">
        <f t="shared" si="1"/>
        <v>0</v>
      </c>
    </row>
    <row r="1154" ht="15.75" customHeight="1">
      <c r="A1154" s="7" t="s">
        <v>2265</v>
      </c>
      <c r="B1154" s="4" t="s">
        <v>2266</v>
      </c>
      <c r="C1154" s="5" t="s">
        <v>6</v>
      </c>
      <c r="D1154" s="6" t="s">
        <v>2267</v>
      </c>
      <c r="E1154" s="6"/>
      <c r="F1154" s="6" t="b">
        <f t="shared" si="1"/>
        <v>0</v>
      </c>
    </row>
    <row r="1155" ht="15.75" customHeight="1">
      <c r="A1155" s="7" t="s">
        <v>2268</v>
      </c>
      <c r="B1155" s="4" t="s">
        <v>2269</v>
      </c>
      <c r="C1155" s="6"/>
      <c r="D1155" s="6" t="s">
        <v>70</v>
      </c>
      <c r="E1155" s="6"/>
      <c r="F1155" s="6" t="b">
        <f t="shared" si="1"/>
        <v>0</v>
      </c>
    </row>
    <row r="1156" ht="15.75" customHeight="1">
      <c r="A1156" s="7" t="s">
        <v>2270</v>
      </c>
      <c r="B1156" s="4" t="s">
        <v>2271</v>
      </c>
      <c r="C1156" s="8"/>
      <c r="D1156" s="6" t="s">
        <v>70</v>
      </c>
      <c r="E1156" s="6"/>
      <c r="F1156" s="6" t="b">
        <f t="shared" si="1"/>
        <v>0</v>
      </c>
    </row>
    <row r="1157" ht="15.75" customHeight="1">
      <c r="A1157" s="7" t="s">
        <v>2272</v>
      </c>
      <c r="B1157" s="4" t="s">
        <v>2273</v>
      </c>
      <c r="C1157" s="6"/>
      <c r="D1157" s="6" t="s">
        <v>70</v>
      </c>
      <c r="E1157" s="6"/>
      <c r="F1157" s="6" t="b">
        <f t="shared" si="1"/>
        <v>0</v>
      </c>
    </row>
    <row r="1158" ht="15.75" customHeight="1">
      <c r="A1158" s="7" t="s">
        <v>2274</v>
      </c>
      <c r="B1158" s="4" t="s">
        <v>2275</v>
      </c>
      <c r="C1158" s="6"/>
      <c r="D1158" s="6" t="s">
        <v>70</v>
      </c>
      <c r="E1158" s="6"/>
      <c r="F1158" s="6" t="b">
        <f t="shared" si="1"/>
        <v>0</v>
      </c>
    </row>
    <row r="1159" ht="15.75" customHeight="1">
      <c r="A1159" s="7" t="s">
        <v>2276</v>
      </c>
      <c r="B1159" s="4" t="s">
        <v>2277</v>
      </c>
      <c r="C1159" s="6"/>
      <c r="D1159" s="6" t="s">
        <v>70</v>
      </c>
      <c r="E1159" s="6"/>
      <c r="F1159" s="6" t="b">
        <f t="shared" si="1"/>
        <v>0</v>
      </c>
    </row>
    <row r="1160" ht="15.75" customHeight="1">
      <c r="A1160" s="7" t="s">
        <v>2278</v>
      </c>
      <c r="B1160" s="4" t="s">
        <v>2279</v>
      </c>
      <c r="C1160" s="5" t="s">
        <v>6</v>
      </c>
      <c r="D1160" s="6" t="s">
        <v>1756</v>
      </c>
      <c r="E1160" s="6"/>
      <c r="F1160" s="6" t="b">
        <f t="shared" si="1"/>
        <v>0</v>
      </c>
    </row>
    <row r="1161" ht="15.75" customHeight="1">
      <c r="A1161" s="7" t="s">
        <v>2280</v>
      </c>
      <c r="B1161" s="4" t="s">
        <v>2281</v>
      </c>
      <c r="C1161" s="8"/>
      <c r="D1161" s="6" t="s">
        <v>2282</v>
      </c>
      <c r="E1161" s="6"/>
      <c r="F1161" s="6" t="b">
        <f t="shared" si="1"/>
        <v>0</v>
      </c>
    </row>
    <row r="1162" ht="15.75" customHeight="1">
      <c r="A1162" s="7" t="s">
        <v>2283</v>
      </c>
      <c r="B1162" s="4" t="s">
        <v>2284</v>
      </c>
      <c r="C1162" s="5" t="s">
        <v>6</v>
      </c>
      <c r="D1162" s="6" t="s">
        <v>2285</v>
      </c>
      <c r="E1162" s="6"/>
      <c r="F1162" s="6" t="b">
        <f t="shared" si="1"/>
        <v>0</v>
      </c>
    </row>
    <row r="1163" ht="15.75" customHeight="1">
      <c r="A1163" s="7" t="s">
        <v>2286</v>
      </c>
      <c r="B1163" s="4" t="s">
        <v>2287</v>
      </c>
      <c r="C1163" s="6"/>
      <c r="D1163" s="6" t="s">
        <v>2282</v>
      </c>
      <c r="E1163" s="6"/>
      <c r="F1163" s="6" t="b">
        <f t="shared" si="1"/>
        <v>0</v>
      </c>
    </row>
    <row r="1164" ht="15.75" customHeight="1">
      <c r="A1164" s="7" t="s">
        <v>2288</v>
      </c>
      <c r="B1164" s="4" t="s">
        <v>2289</v>
      </c>
      <c r="C1164" s="6"/>
      <c r="D1164" s="6" t="s">
        <v>2282</v>
      </c>
      <c r="E1164" s="6"/>
      <c r="F1164" s="6" t="b">
        <f t="shared" si="1"/>
        <v>0</v>
      </c>
    </row>
    <row r="1165" ht="15.75" customHeight="1">
      <c r="A1165" s="7" t="s">
        <v>2290</v>
      </c>
      <c r="B1165" s="4" t="s">
        <v>2291</v>
      </c>
      <c r="C1165" s="6"/>
      <c r="D1165" s="6" t="s">
        <v>2282</v>
      </c>
      <c r="E1165" s="6"/>
      <c r="F1165" s="6" t="b">
        <f t="shared" si="1"/>
        <v>0</v>
      </c>
    </row>
    <row r="1166" ht="15.75" customHeight="1">
      <c r="A1166" s="7" t="s">
        <v>2292</v>
      </c>
      <c r="B1166" s="4" t="s">
        <v>2293</v>
      </c>
      <c r="C1166" s="8"/>
      <c r="D1166" s="6" t="s">
        <v>2282</v>
      </c>
      <c r="E1166" s="6"/>
      <c r="F1166" s="6" t="b">
        <f t="shared" si="1"/>
        <v>0</v>
      </c>
    </row>
    <row r="1167" ht="15.75" customHeight="1">
      <c r="A1167" s="7" t="s">
        <v>2294</v>
      </c>
      <c r="B1167" s="4" t="s">
        <v>2295</v>
      </c>
      <c r="C1167" s="8"/>
      <c r="D1167" s="6" t="s">
        <v>2282</v>
      </c>
      <c r="E1167" s="6"/>
      <c r="F1167" s="6" t="b">
        <f t="shared" si="1"/>
        <v>0</v>
      </c>
    </row>
    <row r="1168" ht="15.75" customHeight="1">
      <c r="A1168" s="7" t="s">
        <v>2296</v>
      </c>
      <c r="B1168" s="4" t="s">
        <v>2297</v>
      </c>
      <c r="C1168" s="5" t="s">
        <v>16</v>
      </c>
      <c r="D1168" s="6" t="s">
        <v>2298</v>
      </c>
      <c r="E1168" s="6"/>
      <c r="F1168" s="6" t="b">
        <f t="shared" si="1"/>
        <v>0</v>
      </c>
    </row>
    <row r="1169" ht="15.75" customHeight="1">
      <c r="A1169" s="7" t="s">
        <v>2299</v>
      </c>
      <c r="B1169" s="4" t="s">
        <v>2300</v>
      </c>
      <c r="C1169" s="6"/>
      <c r="D1169" s="6" t="s">
        <v>2282</v>
      </c>
      <c r="E1169" s="6"/>
      <c r="F1169" s="6" t="b">
        <f t="shared" si="1"/>
        <v>0</v>
      </c>
    </row>
    <row r="1170" ht="15.75" customHeight="1">
      <c r="A1170" s="7" t="s">
        <v>2301</v>
      </c>
      <c r="B1170" s="4" t="s">
        <v>2302</v>
      </c>
      <c r="C1170" s="6"/>
      <c r="D1170" s="6" t="s">
        <v>2282</v>
      </c>
      <c r="E1170" s="6"/>
      <c r="F1170" s="6" t="b">
        <f t="shared" si="1"/>
        <v>0</v>
      </c>
    </row>
    <row r="1171" ht="15.75" customHeight="1">
      <c r="A1171" s="7" t="s">
        <v>2303</v>
      </c>
      <c r="B1171" s="4" t="s">
        <v>2304</v>
      </c>
      <c r="C1171" s="6"/>
      <c r="D1171" s="6" t="s">
        <v>2282</v>
      </c>
      <c r="E1171" s="6"/>
      <c r="F1171" s="6" t="b">
        <f t="shared" si="1"/>
        <v>0</v>
      </c>
    </row>
    <row r="1172" ht="15.75" customHeight="1">
      <c r="A1172" s="7" t="s">
        <v>2305</v>
      </c>
      <c r="B1172" s="4" t="s">
        <v>2306</v>
      </c>
      <c r="C1172" s="6"/>
      <c r="D1172" s="6" t="s">
        <v>2282</v>
      </c>
      <c r="E1172" s="6"/>
      <c r="F1172" s="6" t="b">
        <f t="shared" si="1"/>
        <v>0</v>
      </c>
    </row>
    <row r="1173" ht="15.75" customHeight="1">
      <c r="A1173" s="7" t="s">
        <v>2307</v>
      </c>
      <c r="B1173" s="4" t="s">
        <v>2308</v>
      </c>
      <c r="C1173" s="5" t="s">
        <v>16</v>
      </c>
      <c r="D1173" s="6" t="s">
        <v>1276</v>
      </c>
      <c r="E1173" s="6"/>
      <c r="F1173" s="6" t="b">
        <f t="shared" si="1"/>
        <v>0</v>
      </c>
    </row>
    <row r="1174" ht="15.75" customHeight="1">
      <c r="A1174" s="7" t="s">
        <v>2309</v>
      </c>
      <c r="B1174" s="4" t="s">
        <v>2310</v>
      </c>
      <c r="C1174" s="8"/>
      <c r="D1174" s="6" t="s">
        <v>150</v>
      </c>
      <c r="E1174" s="6"/>
      <c r="F1174" s="6" t="b">
        <f t="shared" si="1"/>
        <v>0</v>
      </c>
    </row>
    <row r="1175" ht="15.75" customHeight="1">
      <c r="A1175" s="7" t="s">
        <v>2311</v>
      </c>
      <c r="B1175" s="4" t="s">
        <v>2312</v>
      </c>
      <c r="C1175" s="5" t="s">
        <v>6</v>
      </c>
      <c r="D1175" s="6" t="s">
        <v>1741</v>
      </c>
      <c r="E1175" s="6"/>
      <c r="F1175" s="6" t="b">
        <f t="shared" si="1"/>
        <v>0</v>
      </c>
    </row>
    <row r="1176" ht="15.75" customHeight="1">
      <c r="A1176" s="7" t="s">
        <v>2313</v>
      </c>
      <c r="B1176" s="4" t="s">
        <v>1385</v>
      </c>
      <c r="C1176" s="5" t="s">
        <v>6</v>
      </c>
      <c r="D1176" s="6" t="s">
        <v>477</v>
      </c>
      <c r="E1176" s="6"/>
      <c r="F1176" s="6" t="b">
        <f t="shared" si="1"/>
        <v>0</v>
      </c>
    </row>
    <row r="1177" ht="15.75" customHeight="1">
      <c r="A1177" s="7" t="s">
        <v>2314</v>
      </c>
      <c r="B1177" s="4" t="s">
        <v>2315</v>
      </c>
      <c r="C1177" s="5" t="s">
        <v>6</v>
      </c>
      <c r="D1177" s="6" t="s">
        <v>547</v>
      </c>
      <c r="E1177" s="6"/>
      <c r="F1177" s="6" t="b">
        <f t="shared" si="1"/>
        <v>0</v>
      </c>
    </row>
    <row r="1178" ht="15.75" customHeight="1">
      <c r="A1178" s="7" t="s">
        <v>2316</v>
      </c>
      <c r="B1178" s="4" t="s">
        <v>2317</v>
      </c>
      <c r="C1178" s="5" t="s">
        <v>6</v>
      </c>
      <c r="D1178" s="6" t="s">
        <v>1422</v>
      </c>
      <c r="E1178" s="6"/>
      <c r="F1178" s="6" t="b">
        <f t="shared" si="1"/>
        <v>0</v>
      </c>
    </row>
    <row r="1179" ht="15.75" customHeight="1">
      <c r="A1179" s="7" t="s">
        <v>2318</v>
      </c>
      <c r="B1179" s="4" t="s">
        <v>2319</v>
      </c>
      <c r="C1179" s="5" t="s">
        <v>6</v>
      </c>
      <c r="D1179" s="6" t="s">
        <v>1422</v>
      </c>
      <c r="E1179" s="6"/>
      <c r="F1179" s="6" t="b">
        <f t="shared" si="1"/>
        <v>0</v>
      </c>
    </row>
    <row r="1180" ht="15.75" customHeight="1">
      <c r="A1180" s="7" t="s">
        <v>2320</v>
      </c>
      <c r="B1180" s="4" t="s">
        <v>2321</v>
      </c>
      <c r="C1180" s="5" t="s">
        <v>16</v>
      </c>
      <c r="D1180" s="6" t="s">
        <v>2322</v>
      </c>
      <c r="E1180" s="6"/>
      <c r="F1180" s="6" t="b">
        <f t="shared" si="1"/>
        <v>0</v>
      </c>
    </row>
    <row r="1181" ht="15.75" customHeight="1">
      <c r="A1181" s="7" t="s">
        <v>2323</v>
      </c>
      <c r="B1181" s="4" t="s">
        <v>2324</v>
      </c>
      <c r="C1181" s="5" t="s">
        <v>6</v>
      </c>
      <c r="D1181" s="6" t="s">
        <v>2325</v>
      </c>
      <c r="E1181" s="6"/>
      <c r="F1181" s="6" t="b">
        <f t="shared" si="1"/>
        <v>0</v>
      </c>
    </row>
    <row r="1182" ht="15.75" customHeight="1">
      <c r="A1182" s="7" t="s">
        <v>2326</v>
      </c>
      <c r="B1182" s="4" t="s">
        <v>2327</v>
      </c>
      <c r="C1182" s="5" t="s">
        <v>6</v>
      </c>
      <c r="D1182" s="6" t="s">
        <v>1422</v>
      </c>
      <c r="E1182" s="6"/>
      <c r="F1182" s="6" t="b">
        <f t="shared" si="1"/>
        <v>0</v>
      </c>
    </row>
    <row r="1183" ht="15.75" customHeight="1">
      <c r="A1183" s="7" t="s">
        <v>2328</v>
      </c>
      <c r="B1183" s="4" t="s">
        <v>2329</v>
      </c>
      <c r="C1183" s="5" t="s">
        <v>6</v>
      </c>
      <c r="D1183" s="6" t="s">
        <v>2325</v>
      </c>
      <c r="E1183" s="6"/>
      <c r="F1183" s="6" t="b">
        <f t="shared" si="1"/>
        <v>0</v>
      </c>
    </row>
    <row r="1184" ht="15.75" customHeight="1">
      <c r="A1184" s="7" t="s">
        <v>2330</v>
      </c>
      <c r="B1184" s="4" t="s">
        <v>2331</v>
      </c>
      <c r="C1184" s="5" t="s">
        <v>6</v>
      </c>
      <c r="D1184" s="6" t="s">
        <v>477</v>
      </c>
      <c r="E1184" s="6"/>
      <c r="F1184" s="6" t="b">
        <f t="shared" si="1"/>
        <v>0</v>
      </c>
    </row>
    <row r="1185" ht="15.75" customHeight="1">
      <c r="A1185" s="7" t="s">
        <v>2332</v>
      </c>
      <c r="B1185" s="4" t="s">
        <v>2333</v>
      </c>
      <c r="C1185" s="6"/>
      <c r="D1185" s="6" t="s">
        <v>150</v>
      </c>
      <c r="E1185" s="6"/>
      <c r="F1185" s="6" t="b">
        <f t="shared" si="1"/>
        <v>0</v>
      </c>
    </row>
    <row r="1186" ht="15.75" customHeight="1">
      <c r="A1186" s="7" t="s">
        <v>2334</v>
      </c>
      <c r="B1186" s="4" t="s">
        <v>2335</v>
      </c>
      <c r="C1186" s="5" t="s">
        <v>6</v>
      </c>
      <c r="D1186" s="6" t="s">
        <v>2336</v>
      </c>
      <c r="E1186" s="6"/>
      <c r="F1186" s="6" t="b">
        <f t="shared" si="1"/>
        <v>0</v>
      </c>
    </row>
    <row r="1187" ht="15.75" customHeight="1">
      <c r="A1187" s="7" t="s">
        <v>2337</v>
      </c>
      <c r="B1187" s="4" t="s">
        <v>2338</v>
      </c>
      <c r="C1187" s="5" t="s">
        <v>6</v>
      </c>
      <c r="D1187" s="6" t="s">
        <v>1741</v>
      </c>
      <c r="E1187" s="6"/>
      <c r="F1187" s="6" t="b">
        <f t="shared" si="1"/>
        <v>0</v>
      </c>
    </row>
    <row r="1188" ht="15.75" customHeight="1">
      <c r="A1188" s="7" t="s">
        <v>2339</v>
      </c>
      <c r="B1188" s="4" t="s">
        <v>2340</v>
      </c>
      <c r="C1188" s="5" t="s">
        <v>6</v>
      </c>
      <c r="D1188" s="6" t="s">
        <v>1413</v>
      </c>
      <c r="E1188" s="6"/>
      <c r="F1188" s="6" t="b">
        <f t="shared" si="1"/>
        <v>0</v>
      </c>
    </row>
    <row r="1189" ht="15.75" customHeight="1">
      <c r="A1189" s="7" t="s">
        <v>2341</v>
      </c>
      <c r="B1189" s="4" t="s">
        <v>2342</v>
      </c>
      <c r="C1189" s="6"/>
      <c r="D1189" s="6" t="s">
        <v>150</v>
      </c>
      <c r="E1189" s="6"/>
      <c r="F1189" s="6" t="b">
        <f t="shared" si="1"/>
        <v>0</v>
      </c>
    </row>
    <row r="1190" ht="15.75" customHeight="1">
      <c r="A1190" s="7" t="s">
        <v>2343</v>
      </c>
      <c r="B1190" s="4" t="s">
        <v>2344</v>
      </c>
      <c r="C1190" s="5" t="s">
        <v>6</v>
      </c>
      <c r="D1190" s="6" t="s">
        <v>1413</v>
      </c>
      <c r="E1190" s="6"/>
      <c r="F1190" s="6" t="b">
        <f t="shared" si="1"/>
        <v>0</v>
      </c>
    </row>
    <row r="1191" ht="15.75" customHeight="1">
      <c r="A1191" s="10" t="s">
        <v>2345</v>
      </c>
      <c r="B1191" s="11"/>
      <c r="C1191" s="5"/>
      <c r="D1191" s="8"/>
      <c r="E1191" s="6"/>
      <c r="F1191" s="6" t="b">
        <f t="shared" si="1"/>
        <v>0</v>
      </c>
    </row>
    <row r="1192" ht="15.75" customHeight="1">
      <c r="A1192" s="7" t="s">
        <v>2346</v>
      </c>
      <c r="B1192" s="4" t="s">
        <v>2347</v>
      </c>
      <c r="C1192" s="6"/>
      <c r="D1192" s="6" t="s">
        <v>150</v>
      </c>
      <c r="E1192" s="6"/>
      <c r="F1192" s="6" t="b">
        <f t="shared" si="1"/>
        <v>0</v>
      </c>
    </row>
    <row r="1193" ht="15.75" customHeight="1">
      <c r="A1193" s="7" t="s">
        <v>2348</v>
      </c>
      <c r="B1193" s="4" t="s">
        <v>2349</v>
      </c>
      <c r="C1193" s="6"/>
      <c r="D1193" s="6" t="s">
        <v>150</v>
      </c>
      <c r="E1193" s="6"/>
      <c r="F1193" s="6" t="b">
        <f t="shared" si="1"/>
        <v>0</v>
      </c>
    </row>
    <row r="1194" ht="15.75" customHeight="1">
      <c r="A1194" s="7" t="s">
        <v>2350</v>
      </c>
      <c r="B1194" s="4" t="s">
        <v>2351</v>
      </c>
      <c r="C1194" s="6"/>
      <c r="D1194" s="6" t="s">
        <v>150</v>
      </c>
      <c r="E1194" s="6"/>
      <c r="F1194" s="6" t="b">
        <f t="shared" si="1"/>
        <v>0</v>
      </c>
    </row>
    <row r="1195" ht="15.75" customHeight="1">
      <c r="A1195" s="10" t="s">
        <v>2352</v>
      </c>
      <c r="B1195" s="11"/>
      <c r="C1195" s="5"/>
      <c r="D1195" s="8"/>
      <c r="E1195" s="6"/>
      <c r="F1195" s="6" t="b">
        <f t="shared" si="1"/>
        <v>0</v>
      </c>
    </row>
    <row r="1196" ht="15.75" customHeight="1">
      <c r="A1196" s="7" t="s">
        <v>2353</v>
      </c>
      <c r="B1196" s="4" t="s">
        <v>2354</v>
      </c>
      <c r="C1196" s="6"/>
      <c r="D1196" s="6" t="s">
        <v>70</v>
      </c>
      <c r="E1196" s="6"/>
      <c r="F1196" s="6" t="b">
        <f t="shared" si="1"/>
        <v>0</v>
      </c>
    </row>
    <row r="1197" ht="15.75" customHeight="1">
      <c r="A1197" s="7" t="s">
        <v>2355</v>
      </c>
      <c r="B1197" s="4" t="s">
        <v>2356</v>
      </c>
      <c r="C1197" s="6"/>
      <c r="D1197" s="6" t="s">
        <v>70</v>
      </c>
      <c r="E1197" s="6"/>
      <c r="F1197" s="6" t="b">
        <f t="shared" si="1"/>
        <v>0</v>
      </c>
    </row>
    <row r="1198" ht="15.75" customHeight="1">
      <c r="A1198" s="7" t="s">
        <v>2357</v>
      </c>
      <c r="B1198" s="4" t="s">
        <v>2358</v>
      </c>
      <c r="C1198" s="5" t="s">
        <v>6</v>
      </c>
      <c r="D1198" s="6" t="s">
        <v>2359</v>
      </c>
      <c r="E1198" s="6"/>
      <c r="F1198" s="6" t="b">
        <f t="shared" si="1"/>
        <v>0</v>
      </c>
    </row>
    <row r="1199" ht="15.75" customHeight="1">
      <c r="A1199" s="7" t="s">
        <v>2360</v>
      </c>
      <c r="B1199" s="4" t="s">
        <v>2361</v>
      </c>
      <c r="C1199" s="5" t="s">
        <v>6</v>
      </c>
      <c r="D1199" s="6" t="s">
        <v>1710</v>
      </c>
      <c r="E1199" s="6"/>
      <c r="F1199" s="6" t="b">
        <f t="shared" si="1"/>
        <v>0</v>
      </c>
    </row>
    <row r="1200" ht="15.75" customHeight="1">
      <c r="A1200" s="7" t="s">
        <v>2362</v>
      </c>
      <c r="B1200" s="4" t="s">
        <v>2363</v>
      </c>
      <c r="C1200" s="5" t="s">
        <v>6</v>
      </c>
      <c r="D1200" s="6" t="s">
        <v>81</v>
      </c>
      <c r="E1200" s="6"/>
      <c r="F1200" s="6" t="b">
        <f t="shared" si="1"/>
        <v>0</v>
      </c>
    </row>
    <row r="1201" ht="15.75" customHeight="1">
      <c r="A1201" s="7" t="s">
        <v>2364</v>
      </c>
      <c r="B1201" s="4" t="s">
        <v>2365</v>
      </c>
      <c r="C1201" s="6"/>
      <c r="D1201" s="6" t="s">
        <v>70</v>
      </c>
      <c r="E1201" s="6"/>
      <c r="F1201" s="6" t="b">
        <f t="shared" si="1"/>
        <v>0</v>
      </c>
    </row>
    <row r="1202" ht="15.75" customHeight="1">
      <c r="A1202" s="7" t="s">
        <v>2366</v>
      </c>
      <c r="B1202" s="4" t="s">
        <v>2367</v>
      </c>
      <c r="C1202" s="6"/>
      <c r="D1202" s="6" t="s">
        <v>70</v>
      </c>
      <c r="E1202" s="6"/>
      <c r="F1202" s="6" t="b">
        <f t="shared" si="1"/>
        <v>0</v>
      </c>
    </row>
    <row r="1203" ht="15.75" customHeight="1">
      <c r="A1203" s="7" t="s">
        <v>2368</v>
      </c>
      <c r="B1203" s="4" t="s">
        <v>2369</v>
      </c>
      <c r="C1203" s="5" t="s">
        <v>6</v>
      </c>
      <c r="D1203" s="6" t="s">
        <v>1741</v>
      </c>
      <c r="E1203" s="6"/>
      <c r="F1203" s="6" t="b">
        <f t="shared" si="1"/>
        <v>0</v>
      </c>
    </row>
    <row r="1204" ht="15.75" customHeight="1">
      <c r="A1204" s="7" t="s">
        <v>2370</v>
      </c>
      <c r="B1204" s="11"/>
      <c r="C1204" s="5"/>
      <c r="D1204" s="5"/>
      <c r="E1204" s="6"/>
      <c r="F1204" s="6" t="b">
        <f t="shared" si="1"/>
        <v>0</v>
      </c>
    </row>
    <row r="1205" ht="15.75" customHeight="1">
      <c r="A1205" s="7" t="s">
        <v>2371</v>
      </c>
      <c r="B1205" s="4" t="s">
        <v>2372</v>
      </c>
      <c r="C1205" s="6"/>
      <c r="D1205" s="6" t="s">
        <v>70</v>
      </c>
      <c r="E1205" s="6"/>
      <c r="F1205" s="6" t="b">
        <f t="shared" si="1"/>
        <v>0</v>
      </c>
    </row>
    <row r="1206" ht="15.75" customHeight="1">
      <c r="A1206" s="7" t="s">
        <v>2373</v>
      </c>
      <c r="B1206" s="4" t="s">
        <v>2374</v>
      </c>
      <c r="C1206" s="8"/>
      <c r="D1206" s="6" t="s">
        <v>70</v>
      </c>
      <c r="E1206" s="6"/>
      <c r="F1206" s="6" t="b">
        <f t="shared" si="1"/>
        <v>0</v>
      </c>
    </row>
    <row r="1207" ht="15.75" customHeight="1">
      <c r="A1207" s="7" t="s">
        <v>2375</v>
      </c>
      <c r="B1207" s="4" t="s">
        <v>2376</v>
      </c>
      <c r="C1207" s="5" t="s">
        <v>6</v>
      </c>
      <c r="D1207" s="6" t="s">
        <v>86</v>
      </c>
      <c r="E1207" s="6"/>
      <c r="F1207" s="6" t="b">
        <f t="shared" si="1"/>
        <v>0</v>
      </c>
    </row>
    <row r="1208" ht="15.75" customHeight="1">
      <c r="A1208" s="7" t="s">
        <v>2377</v>
      </c>
      <c r="B1208" s="4" t="s">
        <v>2378</v>
      </c>
      <c r="C1208" s="6"/>
      <c r="D1208" s="6" t="s">
        <v>70</v>
      </c>
      <c r="E1208" s="6"/>
      <c r="F1208" s="6" t="b">
        <f t="shared" si="1"/>
        <v>0</v>
      </c>
    </row>
    <row r="1209" ht="15.75" customHeight="1">
      <c r="A1209" s="7" t="s">
        <v>2379</v>
      </c>
      <c r="B1209" s="4" t="s">
        <v>2380</v>
      </c>
      <c r="C1209" s="6"/>
      <c r="D1209" s="6" t="s">
        <v>70</v>
      </c>
      <c r="E1209" s="6"/>
      <c r="F1209" s="6" t="b">
        <f t="shared" si="1"/>
        <v>0</v>
      </c>
    </row>
    <row r="1210" ht="15.75" customHeight="1">
      <c r="A1210" s="7" t="s">
        <v>2381</v>
      </c>
      <c r="B1210" s="4" t="s">
        <v>2382</v>
      </c>
      <c r="C1210" s="6"/>
      <c r="D1210" s="6" t="s">
        <v>70</v>
      </c>
      <c r="E1210" s="6"/>
      <c r="F1210" s="6" t="b">
        <f t="shared" si="1"/>
        <v>0</v>
      </c>
    </row>
    <row r="1211" ht="15.75" customHeight="1">
      <c r="A1211" s="7" t="s">
        <v>2383</v>
      </c>
      <c r="B1211" s="4" t="s">
        <v>2384</v>
      </c>
      <c r="C1211" s="6"/>
      <c r="D1211" s="6" t="s">
        <v>70</v>
      </c>
      <c r="E1211" s="6"/>
      <c r="F1211" s="6" t="b">
        <f t="shared" si="1"/>
        <v>0</v>
      </c>
    </row>
    <row r="1212" ht="15.75" customHeight="1">
      <c r="A1212" s="7" t="s">
        <v>2385</v>
      </c>
      <c r="B1212" s="4" t="s">
        <v>2386</v>
      </c>
      <c r="C1212" s="5" t="s">
        <v>6</v>
      </c>
      <c r="D1212" s="6" t="s">
        <v>1939</v>
      </c>
      <c r="E1212" s="6"/>
      <c r="F1212" s="6" t="b">
        <f t="shared" si="1"/>
        <v>0</v>
      </c>
    </row>
    <row r="1213" ht="15.75" customHeight="1">
      <c r="A1213" s="7" t="s">
        <v>2387</v>
      </c>
      <c r="B1213" s="4" t="s">
        <v>2388</v>
      </c>
      <c r="C1213" s="6"/>
      <c r="D1213" s="6" t="s">
        <v>70</v>
      </c>
      <c r="E1213" s="6"/>
      <c r="F1213" s="6" t="b">
        <f t="shared" si="1"/>
        <v>0</v>
      </c>
    </row>
    <row r="1214" ht="15.75" customHeight="1">
      <c r="A1214" s="7" t="s">
        <v>2389</v>
      </c>
      <c r="B1214" s="4" t="s">
        <v>2390</v>
      </c>
      <c r="C1214" s="5" t="s">
        <v>6</v>
      </c>
      <c r="D1214" s="6" t="s">
        <v>1939</v>
      </c>
      <c r="E1214" s="6"/>
      <c r="F1214" s="6" t="b">
        <f t="shared" si="1"/>
        <v>0</v>
      </c>
    </row>
    <row r="1215" ht="15.75" customHeight="1">
      <c r="A1215" s="7" t="s">
        <v>2391</v>
      </c>
      <c r="B1215" s="4" t="s">
        <v>2392</v>
      </c>
      <c r="C1215" s="5" t="s">
        <v>6</v>
      </c>
      <c r="D1215" s="6" t="s">
        <v>2393</v>
      </c>
      <c r="E1215" s="6"/>
      <c r="F1215" s="6" t="b">
        <f t="shared" si="1"/>
        <v>0</v>
      </c>
    </row>
    <row r="1216" ht="15.75" customHeight="1">
      <c r="A1216" s="7" t="s">
        <v>2394</v>
      </c>
      <c r="B1216" s="4" t="s">
        <v>2395</v>
      </c>
      <c r="C1216" s="5" t="s">
        <v>6</v>
      </c>
      <c r="D1216" s="6" t="s">
        <v>2077</v>
      </c>
      <c r="E1216" s="6"/>
      <c r="F1216" s="6" t="b">
        <f t="shared" si="1"/>
        <v>0</v>
      </c>
    </row>
    <row r="1217" ht="15.75" customHeight="1">
      <c r="A1217" s="7" t="s">
        <v>2396</v>
      </c>
      <c r="B1217" s="4" t="s">
        <v>2397</v>
      </c>
      <c r="C1217" s="5" t="s">
        <v>16</v>
      </c>
      <c r="D1217" s="6" t="s">
        <v>1738</v>
      </c>
      <c r="E1217" s="6"/>
      <c r="F1217" s="6" t="b">
        <f t="shared" si="1"/>
        <v>0</v>
      </c>
    </row>
    <row r="1218" ht="15.75" customHeight="1">
      <c r="A1218" s="7" t="s">
        <v>2398</v>
      </c>
      <c r="B1218" s="4" t="s">
        <v>2399</v>
      </c>
      <c r="C1218" s="6"/>
      <c r="D1218" s="6" t="s">
        <v>70</v>
      </c>
      <c r="E1218" s="6"/>
      <c r="F1218" s="6" t="b">
        <f t="shared" si="1"/>
        <v>0</v>
      </c>
    </row>
    <row r="1219" ht="15.75" customHeight="1">
      <c r="A1219" s="7" t="s">
        <v>2400</v>
      </c>
      <c r="B1219" s="4" t="s">
        <v>2401</v>
      </c>
      <c r="C1219" s="6"/>
      <c r="D1219" s="6" t="s">
        <v>70</v>
      </c>
      <c r="E1219" s="6"/>
      <c r="F1219" s="6" t="b">
        <f t="shared" si="1"/>
        <v>0</v>
      </c>
    </row>
    <row r="1220" ht="15.75" customHeight="1">
      <c r="A1220" s="7" t="s">
        <v>2402</v>
      </c>
      <c r="B1220" s="4" t="s">
        <v>2403</v>
      </c>
      <c r="C1220" s="6"/>
      <c r="D1220" s="6" t="s">
        <v>70</v>
      </c>
      <c r="E1220" s="6"/>
      <c r="F1220" s="6" t="b">
        <f t="shared" si="1"/>
        <v>0</v>
      </c>
    </row>
    <row r="1221" ht="15.75" customHeight="1">
      <c r="A1221" s="7" t="s">
        <v>2404</v>
      </c>
      <c r="B1221" s="4" t="s">
        <v>2405</v>
      </c>
      <c r="C1221" s="6"/>
      <c r="D1221" s="6" t="s">
        <v>70</v>
      </c>
      <c r="E1221" s="6"/>
      <c r="F1221" s="6" t="b">
        <f t="shared" si="1"/>
        <v>0</v>
      </c>
    </row>
    <row r="1222" ht="15.75" customHeight="1">
      <c r="A1222" s="3" t="s">
        <v>2406</v>
      </c>
      <c r="B1222" s="4"/>
      <c r="C1222" s="5"/>
      <c r="D1222" s="5"/>
      <c r="E1222" s="6"/>
      <c r="F1222" s="6" t="b">
        <f t="shared" si="1"/>
        <v>0</v>
      </c>
    </row>
    <row r="1223" ht="15.75" customHeight="1">
      <c r="A1223" s="3" t="s">
        <v>2407</v>
      </c>
      <c r="B1223" s="4"/>
      <c r="C1223" s="5"/>
      <c r="D1223" s="5"/>
      <c r="E1223" s="6"/>
      <c r="F1223" s="6" t="b">
        <f t="shared" si="1"/>
        <v>0</v>
      </c>
    </row>
    <row r="1224" ht="15.75" customHeight="1">
      <c r="A1224" s="3" t="s">
        <v>2408</v>
      </c>
      <c r="B1224" s="4"/>
      <c r="C1224" s="5"/>
      <c r="D1224" s="5"/>
      <c r="E1224" s="6"/>
      <c r="F1224" s="6" t="b">
        <f t="shared" si="1"/>
        <v>0</v>
      </c>
    </row>
    <row r="1225" ht="15.75" customHeight="1">
      <c r="A1225" s="3" t="s">
        <v>2409</v>
      </c>
      <c r="B1225" s="4"/>
      <c r="C1225" s="5"/>
      <c r="D1225" s="5"/>
      <c r="E1225" s="6"/>
      <c r="F1225" s="6" t="b">
        <f t="shared" si="1"/>
        <v>0</v>
      </c>
    </row>
    <row r="1226" ht="15.75" customHeight="1">
      <c r="A1226" s="3" t="s">
        <v>2410</v>
      </c>
      <c r="B1226" s="4"/>
      <c r="C1226" s="5"/>
      <c r="D1226" s="5"/>
      <c r="E1226" s="6"/>
      <c r="F1226" s="6" t="b">
        <f t="shared" si="1"/>
        <v>0</v>
      </c>
    </row>
    <row r="1227" ht="15.75" customHeight="1">
      <c r="A1227" s="3" t="s">
        <v>2411</v>
      </c>
      <c r="B1227" s="4"/>
      <c r="C1227" s="5"/>
      <c r="D1227" s="5"/>
      <c r="E1227" s="6"/>
      <c r="F1227" s="6" t="b">
        <f t="shared" si="1"/>
        <v>0</v>
      </c>
    </row>
    <row r="1228" ht="15.75" customHeight="1">
      <c r="A1228" s="3" t="s">
        <v>2412</v>
      </c>
      <c r="B1228" s="4"/>
      <c r="C1228" s="5"/>
      <c r="D1228" s="5"/>
      <c r="E1228" s="6"/>
      <c r="F1228" s="6" t="b">
        <f t="shared" si="1"/>
        <v>0</v>
      </c>
    </row>
    <row r="1229" ht="15.75" customHeight="1">
      <c r="A1229" s="3" t="s">
        <v>2413</v>
      </c>
      <c r="B1229" s="4"/>
      <c r="C1229" s="5"/>
      <c r="D1229" s="5"/>
      <c r="E1229" s="6"/>
      <c r="F1229" s="6" t="b">
        <f t="shared" si="1"/>
        <v>0</v>
      </c>
    </row>
    <row r="1230" ht="15.75" customHeight="1">
      <c r="A1230" s="3" t="s">
        <v>2414</v>
      </c>
      <c r="B1230" s="4"/>
      <c r="C1230" s="5"/>
      <c r="D1230" s="5"/>
      <c r="E1230" s="6"/>
      <c r="F1230" s="6" t="b">
        <f t="shared" si="1"/>
        <v>0</v>
      </c>
    </row>
    <row r="1231" ht="15.75" customHeight="1">
      <c r="A1231" s="7" t="s">
        <v>2415</v>
      </c>
      <c r="B1231" s="4" t="s">
        <v>2416</v>
      </c>
      <c r="C1231" s="5" t="s">
        <v>6</v>
      </c>
      <c r="D1231" s="6" t="s">
        <v>256</v>
      </c>
      <c r="E1231" s="6"/>
      <c r="F1231" s="6" t="b">
        <f t="shared" si="1"/>
        <v>0</v>
      </c>
    </row>
    <row r="1232" ht="15.75" customHeight="1">
      <c r="A1232" s="3" t="s">
        <v>2417</v>
      </c>
      <c r="B1232" s="4"/>
      <c r="C1232" s="5"/>
      <c r="D1232" s="5"/>
      <c r="E1232" s="6"/>
      <c r="F1232" s="6" t="b">
        <f t="shared" si="1"/>
        <v>0</v>
      </c>
    </row>
    <row r="1233" ht="15.75" customHeight="1">
      <c r="A1233" s="3" t="s">
        <v>2418</v>
      </c>
      <c r="B1233" s="4"/>
      <c r="C1233" s="5"/>
      <c r="D1233" s="5"/>
      <c r="E1233" s="6"/>
      <c r="F1233" s="6" t="b">
        <f t="shared" si="1"/>
        <v>0</v>
      </c>
    </row>
    <row r="1234" ht="15.75" customHeight="1">
      <c r="A1234" s="3" t="s">
        <v>2419</v>
      </c>
      <c r="B1234" s="4"/>
      <c r="C1234" s="5"/>
      <c r="D1234" s="5"/>
      <c r="E1234" s="6"/>
      <c r="F1234" s="6" t="b">
        <f t="shared" si="1"/>
        <v>0</v>
      </c>
    </row>
    <row r="1235" ht="15.75" customHeight="1">
      <c r="A1235" s="3" t="s">
        <v>2420</v>
      </c>
      <c r="B1235" s="4"/>
      <c r="C1235" s="5"/>
      <c r="D1235" s="5"/>
      <c r="E1235" s="6"/>
      <c r="F1235" s="6" t="b">
        <f t="shared" si="1"/>
        <v>0</v>
      </c>
    </row>
    <row r="1236" ht="15.75" customHeight="1">
      <c r="A1236" s="3" t="s">
        <v>2421</v>
      </c>
      <c r="B1236" s="4"/>
      <c r="C1236" s="5"/>
      <c r="D1236" s="5"/>
      <c r="E1236" s="6"/>
      <c r="F1236" s="6" t="b">
        <f t="shared" si="1"/>
        <v>0</v>
      </c>
    </row>
    <row r="1237" ht="15.75" customHeight="1">
      <c r="A1237" s="3" t="s">
        <v>2422</v>
      </c>
      <c r="B1237" s="4"/>
      <c r="C1237" s="5"/>
      <c r="D1237" s="5"/>
      <c r="E1237" s="6"/>
      <c r="F1237" s="6" t="b">
        <f t="shared" si="1"/>
        <v>0</v>
      </c>
    </row>
    <row r="1238" ht="15.75" customHeight="1">
      <c r="A1238" s="7" t="s">
        <v>2423</v>
      </c>
      <c r="B1238" s="4" t="s">
        <v>2424</v>
      </c>
      <c r="C1238" s="5" t="s">
        <v>6</v>
      </c>
      <c r="D1238" s="6" t="s">
        <v>92</v>
      </c>
      <c r="E1238" s="6"/>
      <c r="F1238" s="6" t="b">
        <f t="shared" si="1"/>
        <v>0</v>
      </c>
    </row>
    <row r="1239" ht="15.75" customHeight="1">
      <c r="A1239" s="3" t="s">
        <v>2425</v>
      </c>
      <c r="B1239" s="4"/>
      <c r="C1239" s="5"/>
      <c r="D1239" s="5"/>
      <c r="E1239" s="6"/>
      <c r="F1239" s="6" t="b">
        <f t="shared" si="1"/>
        <v>0</v>
      </c>
    </row>
    <row r="1240" ht="15.75" customHeight="1">
      <c r="A1240" s="3" t="s">
        <v>2426</v>
      </c>
      <c r="B1240" s="4"/>
      <c r="C1240" s="5"/>
      <c r="D1240" s="5"/>
      <c r="E1240" s="6"/>
      <c r="F1240" s="6" t="b">
        <f t="shared" si="1"/>
        <v>0</v>
      </c>
    </row>
    <row r="1241" ht="15.75" customHeight="1">
      <c r="A1241" s="3" t="s">
        <v>2427</v>
      </c>
      <c r="B1241" s="4"/>
      <c r="C1241" s="5"/>
      <c r="D1241" s="5"/>
      <c r="E1241" s="6"/>
      <c r="F1241" s="6" t="b">
        <f t="shared" si="1"/>
        <v>0</v>
      </c>
    </row>
    <row r="1242" ht="15.75" customHeight="1">
      <c r="A1242" s="3" t="s">
        <v>2428</v>
      </c>
      <c r="B1242" s="4"/>
      <c r="C1242" s="5"/>
      <c r="D1242" s="5"/>
      <c r="E1242" s="6"/>
      <c r="F1242" s="6" t="b">
        <f t="shared" si="1"/>
        <v>0</v>
      </c>
    </row>
    <row r="1243" ht="15.75" customHeight="1">
      <c r="A1243" s="3" t="s">
        <v>2429</v>
      </c>
      <c r="B1243" s="4"/>
      <c r="C1243" s="5"/>
      <c r="D1243" s="5"/>
      <c r="E1243" s="6"/>
      <c r="F1243" s="6" t="b">
        <f t="shared" si="1"/>
        <v>0</v>
      </c>
    </row>
    <row r="1244" ht="15.75" customHeight="1">
      <c r="A1244" s="3" t="s">
        <v>2430</v>
      </c>
      <c r="B1244" s="4"/>
      <c r="C1244" s="5"/>
      <c r="D1244" s="5"/>
      <c r="E1244" s="6"/>
      <c r="F1244" s="6" t="b">
        <f t="shared" si="1"/>
        <v>0</v>
      </c>
    </row>
    <row r="1245" ht="15.75" customHeight="1">
      <c r="A1245" s="3" t="s">
        <v>2431</v>
      </c>
      <c r="B1245" s="4"/>
      <c r="C1245" s="5"/>
      <c r="D1245" s="5"/>
      <c r="E1245" s="6"/>
      <c r="F1245" s="6" t="b">
        <f t="shared" si="1"/>
        <v>0</v>
      </c>
    </row>
    <row r="1246" ht="15.75" customHeight="1">
      <c r="A1246" s="7" t="s">
        <v>2432</v>
      </c>
      <c r="B1246" s="4" t="s">
        <v>2433</v>
      </c>
      <c r="C1246" s="5" t="s">
        <v>16</v>
      </c>
      <c r="D1246" s="6" t="s">
        <v>2434</v>
      </c>
      <c r="E1246" s="6"/>
      <c r="F1246" s="6" t="b">
        <f t="shared" si="1"/>
        <v>0</v>
      </c>
    </row>
    <row r="1247" ht="15.75" customHeight="1">
      <c r="A1247" s="3" t="s">
        <v>2435</v>
      </c>
      <c r="B1247" s="4"/>
      <c r="C1247" s="5"/>
      <c r="D1247" s="5"/>
      <c r="E1247" s="6"/>
      <c r="F1247" s="6" t="b">
        <f t="shared" si="1"/>
        <v>0</v>
      </c>
    </row>
    <row r="1248" ht="15.75" customHeight="1">
      <c r="A1248" s="3" t="s">
        <v>2436</v>
      </c>
      <c r="B1248" s="4"/>
      <c r="C1248" s="5"/>
      <c r="D1248" s="5"/>
      <c r="E1248" s="6"/>
      <c r="F1248" s="6" t="b">
        <f t="shared" si="1"/>
        <v>0</v>
      </c>
    </row>
    <row r="1249" ht="15.75" customHeight="1">
      <c r="A1249" s="3" t="s">
        <v>2437</v>
      </c>
      <c r="B1249" s="4"/>
      <c r="C1249" s="5"/>
      <c r="D1249" s="5"/>
      <c r="E1249" s="6"/>
      <c r="F1249" s="6" t="b">
        <f t="shared" si="1"/>
        <v>0</v>
      </c>
    </row>
    <row r="1250" ht="15.75" customHeight="1">
      <c r="A1250" s="3" t="s">
        <v>2438</v>
      </c>
      <c r="B1250" s="4"/>
      <c r="C1250" s="5"/>
      <c r="D1250" s="5"/>
      <c r="E1250" s="6"/>
      <c r="F1250" s="6" t="b">
        <f t="shared" si="1"/>
        <v>0</v>
      </c>
    </row>
    <row r="1251" ht="15.75" customHeight="1">
      <c r="A1251" s="3" t="s">
        <v>2439</v>
      </c>
      <c r="B1251" s="4"/>
      <c r="C1251" s="5"/>
      <c r="D1251" s="5"/>
      <c r="E1251" s="6"/>
      <c r="F1251" s="6" t="b">
        <f t="shared" si="1"/>
        <v>0</v>
      </c>
    </row>
    <row r="1252" ht="15.75" customHeight="1">
      <c r="A1252" s="3" t="s">
        <v>2440</v>
      </c>
      <c r="B1252" s="4"/>
      <c r="C1252" s="5"/>
      <c r="D1252" s="5"/>
      <c r="E1252" s="6"/>
      <c r="F1252" s="6" t="b">
        <f t="shared" si="1"/>
        <v>0</v>
      </c>
    </row>
    <row r="1253" ht="15.75" customHeight="1">
      <c r="A1253" s="3" t="s">
        <v>2441</v>
      </c>
      <c r="B1253" s="4"/>
      <c r="C1253" s="5"/>
      <c r="D1253" s="5"/>
      <c r="E1253" s="6"/>
      <c r="F1253" s="6" t="b">
        <f t="shared" si="1"/>
        <v>0</v>
      </c>
    </row>
    <row r="1254" ht="15.75" customHeight="1">
      <c r="A1254" s="3" t="s">
        <v>2442</v>
      </c>
      <c r="B1254" s="4"/>
      <c r="C1254" s="5"/>
      <c r="D1254" s="5"/>
      <c r="E1254" s="6"/>
      <c r="F1254" s="6" t="b">
        <f t="shared" si="1"/>
        <v>0</v>
      </c>
    </row>
    <row r="1255" ht="15.75" customHeight="1">
      <c r="A1255" s="3" t="s">
        <v>2443</v>
      </c>
      <c r="B1255" s="4"/>
      <c r="C1255" s="5"/>
      <c r="D1255" s="5"/>
      <c r="E1255" s="6"/>
      <c r="F1255" s="6" t="b">
        <f t="shared" si="1"/>
        <v>0</v>
      </c>
    </row>
    <row r="1256" ht="15.75" customHeight="1">
      <c r="A1256" s="3" t="s">
        <v>2444</v>
      </c>
      <c r="B1256" s="4"/>
      <c r="C1256" s="5"/>
      <c r="D1256" s="5"/>
      <c r="E1256" s="6"/>
      <c r="F1256" s="6" t="b">
        <f t="shared" si="1"/>
        <v>0</v>
      </c>
    </row>
    <row r="1257" ht="15.75" customHeight="1">
      <c r="A1257" s="3" t="s">
        <v>2445</v>
      </c>
      <c r="B1257" s="4"/>
      <c r="C1257" s="5"/>
      <c r="D1257" s="5"/>
      <c r="E1257" s="6"/>
      <c r="F1257" s="6" t="b">
        <f t="shared" si="1"/>
        <v>0</v>
      </c>
    </row>
    <row r="1258" ht="15.75" customHeight="1">
      <c r="A1258" s="7" t="s">
        <v>2446</v>
      </c>
      <c r="B1258" s="4" t="s">
        <v>2447</v>
      </c>
      <c r="C1258" s="5" t="s">
        <v>6</v>
      </c>
      <c r="D1258" s="6" t="s">
        <v>264</v>
      </c>
      <c r="E1258" s="6"/>
      <c r="F1258" s="6" t="b">
        <f t="shared" si="1"/>
        <v>0</v>
      </c>
    </row>
    <row r="1259" ht="15.75" customHeight="1">
      <c r="A1259" s="7" t="s">
        <v>2448</v>
      </c>
      <c r="B1259" s="4" t="s">
        <v>406</v>
      </c>
      <c r="C1259" s="5" t="s">
        <v>16</v>
      </c>
      <c r="D1259" s="6" t="s">
        <v>2434</v>
      </c>
      <c r="E1259" s="6"/>
      <c r="F1259" s="6" t="b">
        <f t="shared" si="1"/>
        <v>0</v>
      </c>
    </row>
    <row r="1260" ht="15.75" customHeight="1">
      <c r="A1260" s="7" t="s">
        <v>2449</v>
      </c>
      <c r="B1260" s="4" t="s">
        <v>2450</v>
      </c>
      <c r="C1260" s="5" t="s">
        <v>6</v>
      </c>
      <c r="D1260" s="6" t="s">
        <v>2451</v>
      </c>
      <c r="E1260" s="6"/>
      <c r="F1260" s="6" t="b">
        <f t="shared" si="1"/>
        <v>0</v>
      </c>
    </row>
    <row r="1261" ht="15.75" customHeight="1">
      <c r="A1261" s="3" t="s">
        <v>2452</v>
      </c>
      <c r="B1261" s="4"/>
      <c r="C1261" s="5"/>
      <c r="D1261" s="5"/>
      <c r="E1261" s="6"/>
      <c r="F1261" s="6" t="b">
        <f t="shared" si="1"/>
        <v>0</v>
      </c>
    </row>
    <row r="1262" ht="15.75" customHeight="1">
      <c r="A1262" s="3" t="s">
        <v>2453</v>
      </c>
      <c r="B1262" s="4"/>
      <c r="C1262" s="5"/>
      <c r="D1262" s="5"/>
      <c r="E1262" s="6"/>
      <c r="F1262" s="6" t="b">
        <f t="shared" si="1"/>
        <v>0</v>
      </c>
    </row>
    <row r="1263" ht="15.75" customHeight="1">
      <c r="A1263" s="3" t="s">
        <v>2454</v>
      </c>
      <c r="B1263" s="4"/>
      <c r="C1263" s="5"/>
      <c r="D1263" s="5"/>
      <c r="E1263" s="6"/>
      <c r="F1263" s="6" t="b">
        <f t="shared" si="1"/>
        <v>0</v>
      </c>
    </row>
    <row r="1264" ht="15.75" customHeight="1">
      <c r="A1264" s="3" t="s">
        <v>2455</v>
      </c>
      <c r="B1264" s="4"/>
      <c r="C1264" s="5"/>
      <c r="D1264" s="5"/>
      <c r="E1264" s="6"/>
      <c r="F1264" s="6" t="b">
        <f t="shared" si="1"/>
        <v>0</v>
      </c>
    </row>
    <row r="1265" ht="15.75" customHeight="1">
      <c r="A1265" s="3" t="s">
        <v>2456</v>
      </c>
      <c r="B1265" s="4"/>
      <c r="C1265" s="5"/>
      <c r="D1265" s="5"/>
      <c r="E1265" s="6"/>
      <c r="F1265" s="6" t="b">
        <f t="shared" si="1"/>
        <v>0</v>
      </c>
    </row>
    <row r="1266" ht="15.75" customHeight="1">
      <c r="A1266" s="3" t="s">
        <v>2457</v>
      </c>
      <c r="B1266" s="4"/>
      <c r="C1266" s="5"/>
      <c r="D1266" s="5"/>
      <c r="E1266" s="6"/>
      <c r="F1266" s="6" t="b">
        <f t="shared" si="1"/>
        <v>0</v>
      </c>
    </row>
    <row r="1267" ht="15.75" customHeight="1">
      <c r="A1267" s="7" t="s">
        <v>2458</v>
      </c>
      <c r="B1267" s="4" t="s">
        <v>2459</v>
      </c>
      <c r="C1267" s="5" t="s">
        <v>6</v>
      </c>
      <c r="D1267" s="6" t="s">
        <v>281</v>
      </c>
      <c r="E1267" s="6"/>
      <c r="F1267" s="6" t="b">
        <f t="shared" si="1"/>
        <v>0</v>
      </c>
    </row>
    <row r="1268" ht="15.75" customHeight="1">
      <c r="A1268" s="3" t="s">
        <v>2460</v>
      </c>
      <c r="B1268" s="4"/>
      <c r="C1268" s="5"/>
      <c r="D1268" s="5"/>
      <c r="E1268" s="6"/>
      <c r="F1268" s="6" t="b">
        <f t="shared" si="1"/>
        <v>0</v>
      </c>
    </row>
    <row r="1269" ht="15.75" customHeight="1">
      <c r="A1269" s="3" t="s">
        <v>2461</v>
      </c>
      <c r="B1269" s="4"/>
      <c r="C1269" s="5"/>
      <c r="D1269" s="5"/>
      <c r="E1269" s="6"/>
      <c r="F1269" s="6" t="b">
        <f t="shared" si="1"/>
        <v>0</v>
      </c>
    </row>
    <row r="1270" ht="15.75" customHeight="1">
      <c r="A1270" s="7" t="s">
        <v>2462</v>
      </c>
      <c r="B1270" s="9" t="s">
        <v>2463</v>
      </c>
      <c r="C1270" s="5" t="s">
        <v>6</v>
      </c>
      <c r="D1270" s="6" t="s">
        <v>2451</v>
      </c>
      <c r="E1270" s="6"/>
      <c r="F1270" s="6" t="b">
        <f t="shared" si="1"/>
        <v>0</v>
      </c>
    </row>
    <row r="1271" ht="15.75" customHeight="1">
      <c r="A1271" s="3" t="s">
        <v>2464</v>
      </c>
      <c r="B1271" s="4"/>
      <c r="C1271" s="5"/>
      <c r="D1271" s="5"/>
      <c r="E1271" s="6"/>
      <c r="F1271" s="6" t="b">
        <f t="shared" si="1"/>
        <v>0</v>
      </c>
    </row>
    <row r="1272" ht="15.75" customHeight="1">
      <c r="A1272" s="3" t="s">
        <v>2465</v>
      </c>
      <c r="B1272" s="4"/>
      <c r="C1272" s="5"/>
      <c r="D1272" s="5"/>
      <c r="E1272" s="6"/>
      <c r="F1272" s="6" t="b">
        <f t="shared" si="1"/>
        <v>0</v>
      </c>
    </row>
    <row r="1273" ht="15.75" customHeight="1">
      <c r="A1273" s="3" t="s">
        <v>2466</v>
      </c>
      <c r="B1273" s="4"/>
      <c r="C1273" s="5"/>
      <c r="D1273" s="5"/>
      <c r="E1273" s="6"/>
      <c r="F1273" s="6" t="b">
        <f t="shared" si="1"/>
        <v>0</v>
      </c>
    </row>
    <row r="1274" ht="15.75" customHeight="1">
      <c r="A1274" s="3" t="s">
        <v>2467</v>
      </c>
      <c r="B1274" s="4"/>
      <c r="C1274" s="5"/>
      <c r="D1274" s="5"/>
      <c r="E1274" s="6"/>
      <c r="F1274" s="6" t="b">
        <f t="shared" si="1"/>
        <v>0</v>
      </c>
    </row>
    <row r="1275" ht="15.75" customHeight="1">
      <c r="A1275" s="3" t="s">
        <v>2468</v>
      </c>
      <c r="B1275" s="4"/>
      <c r="C1275" s="5"/>
      <c r="D1275" s="5"/>
      <c r="E1275" s="6"/>
      <c r="F1275" s="6" t="b">
        <f t="shared" si="1"/>
        <v>0</v>
      </c>
    </row>
    <row r="1276" ht="15.75" customHeight="1">
      <c r="A1276" s="7" t="s">
        <v>2469</v>
      </c>
      <c r="B1276" s="4" t="s">
        <v>2470</v>
      </c>
      <c r="C1276" s="5" t="s">
        <v>6</v>
      </c>
      <c r="D1276" s="6" t="s">
        <v>2471</v>
      </c>
      <c r="E1276" s="6"/>
      <c r="F1276" s="6" t="b">
        <f t="shared" si="1"/>
        <v>0</v>
      </c>
    </row>
    <row r="1277" ht="15.75" customHeight="1">
      <c r="A1277" s="7" t="s">
        <v>2472</v>
      </c>
      <c r="B1277" s="4" t="s">
        <v>2473</v>
      </c>
      <c r="C1277" s="5" t="s">
        <v>6</v>
      </c>
      <c r="D1277" s="6" t="s">
        <v>281</v>
      </c>
      <c r="E1277" s="6"/>
      <c r="F1277" s="6" t="b">
        <f t="shared" si="1"/>
        <v>0</v>
      </c>
    </row>
    <row r="1278" ht="15.75" customHeight="1">
      <c r="A1278" s="3" t="s">
        <v>2474</v>
      </c>
      <c r="B1278" s="4"/>
      <c r="C1278" s="5"/>
      <c r="D1278" s="5"/>
      <c r="E1278" s="6"/>
      <c r="F1278" s="6" t="b">
        <f t="shared" si="1"/>
        <v>0</v>
      </c>
    </row>
    <row r="1279" ht="15.75" customHeight="1">
      <c r="A1279" s="3" t="s">
        <v>2475</v>
      </c>
      <c r="B1279" s="4"/>
      <c r="C1279" s="5"/>
      <c r="D1279" s="5"/>
      <c r="E1279" s="6"/>
      <c r="F1279" s="6" t="b">
        <f t="shared" si="1"/>
        <v>0</v>
      </c>
    </row>
    <row r="1280" ht="15.75" customHeight="1">
      <c r="A1280" s="3" t="s">
        <v>2476</v>
      </c>
      <c r="B1280" s="4"/>
      <c r="C1280" s="5"/>
      <c r="D1280" s="5"/>
      <c r="E1280" s="6"/>
      <c r="F1280" s="6" t="b">
        <f t="shared" si="1"/>
        <v>0</v>
      </c>
    </row>
    <row r="1281" ht="15.75" customHeight="1">
      <c r="A1281" s="7" t="s">
        <v>2477</v>
      </c>
      <c r="B1281" s="9" t="s">
        <v>2478</v>
      </c>
      <c r="C1281" s="5" t="s">
        <v>6</v>
      </c>
      <c r="D1281" s="6" t="s">
        <v>2451</v>
      </c>
      <c r="E1281" s="6"/>
      <c r="F1281" s="6" t="b">
        <f t="shared" si="1"/>
        <v>0</v>
      </c>
    </row>
    <row r="1282" ht="15.75" customHeight="1">
      <c r="A1282" s="3" t="s">
        <v>2479</v>
      </c>
      <c r="B1282" s="4"/>
      <c r="C1282" s="5"/>
      <c r="D1282" s="5"/>
      <c r="E1282" s="6"/>
      <c r="F1282" s="6" t="b">
        <f t="shared" si="1"/>
        <v>0</v>
      </c>
    </row>
    <row r="1283" ht="15.75" customHeight="1">
      <c r="A1283" s="3" t="s">
        <v>2480</v>
      </c>
      <c r="B1283" s="4"/>
      <c r="C1283" s="5"/>
      <c r="D1283" s="5"/>
      <c r="E1283" s="6"/>
      <c r="F1283" s="6" t="b">
        <f t="shared" si="1"/>
        <v>0</v>
      </c>
    </row>
    <row r="1284" ht="15.75" customHeight="1">
      <c r="A1284" s="7" t="s">
        <v>2481</v>
      </c>
      <c r="B1284" s="9" t="s">
        <v>2482</v>
      </c>
      <c r="C1284" s="5" t="s">
        <v>6</v>
      </c>
      <c r="D1284" s="6" t="s">
        <v>281</v>
      </c>
      <c r="E1284" s="6"/>
      <c r="F1284" s="6" t="b">
        <f t="shared" si="1"/>
        <v>0</v>
      </c>
    </row>
    <row r="1285" ht="15.75" customHeight="1">
      <c r="A1285" s="3" t="s">
        <v>2483</v>
      </c>
      <c r="B1285" s="4"/>
      <c r="C1285" s="5"/>
      <c r="D1285" s="5"/>
      <c r="E1285" s="6"/>
      <c r="F1285" s="6" t="b">
        <f t="shared" si="1"/>
        <v>0</v>
      </c>
    </row>
    <row r="1286" ht="15.75" customHeight="1">
      <c r="A1286" s="7" t="s">
        <v>2484</v>
      </c>
      <c r="B1286" s="4" t="s">
        <v>2485</v>
      </c>
      <c r="C1286" s="5" t="s">
        <v>6</v>
      </c>
      <c r="D1286" s="6" t="s">
        <v>517</v>
      </c>
      <c r="E1286" s="6"/>
      <c r="F1286" s="6" t="b">
        <f t="shared" si="1"/>
        <v>0</v>
      </c>
    </row>
    <row r="1287" ht="15.75" customHeight="1">
      <c r="A1287" s="3" t="s">
        <v>2486</v>
      </c>
      <c r="B1287" s="4"/>
      <c r="C1287" s="5"/>
      <c r="D1287" s="5"/>
      <c r="E1287" s="6"/>
      <c r="F1287" s="6" t="b">
        <f t="shared" si="1"/>
        <v>0</v>
      </c>
    </row>
    <row r="1288" ht="15.75" customHeight="1">
      <c r="A1288" s="7" t="s">
        <v>2487</v>
      </c>
      <c r="B1288" s="4" t="s">
        <v>685</v>
      </c>
      <c r="C1288" s="5" t="s">
        <v>16</v>
      </c>
      <c r="D1288" s="6" t="s">
        <v>2434</v>
      </c>
      <c r="E1288" s="6"/>
      <c r="F1288" s="6" t="b">
        <f t="shared" si="1"/>
        <v>0</v>
      </c>
    </row>
    <row r="1289" ht="15.75" customHeight="1">
      <c r="A1289" s="7" t="s">
        <v>2488</v>
      </c>
      <c r="B1289" s="9" t="s">
        <v>2489</v>
      </c>
      <c r="C1289" s="5" t="s">
        <v>6</v>
      </c>
      <c r="D1289" s="6" t="s">
        <v>281</v>
      </c>
      <c r="E1289" s="6"/>
      <c r="F1289" s="6" t="b">
        <f t="shared" si="1"/>
        <v>0</v>
      </c>
    </row>
    <row r="1290" ht="15.75" customHeight="1">
      <c r="A1290" s="3" t="s">
        <v>2490</v>
      </c>
      <c r="B1290" s="4"/>
      <c r="C1290" s="5"/>
      <c r="D1290" s="5"/>
      <c r="E1290" s="6"/>
      <c r="F1290" s="6" t="b">
        <f t="shared" si="1"/>
        <v>0</v>
      </c>
    </row>
    <row r="1291" ht="15.75" customHeight="1">
      <c r="A1291" s="3" t="s">
        <v>2491</v>
      </c>
      <c r="B1291" s="4"/>
      <c r="C1291" s="5"/>
      <c r="D1291" s="5"/>
      <c r="E1291" s="6"/>
      <c r="F1291" s="6" t="b">
        <f t="shared" si="1"/>
        <v>0</v>
      </c>
    </row>
    <row r="1292" ht="15.75" customHeight="1">
      <c r="A1292" s="3" t="s">
        <v>2492</v>
      </c>
      <c r="B1292" s="4"/>
      <c r="C1292" s="5"/>
      <c r="D1292" s="5"/>
      <c r="E1292" s="6"/>
      <c r="F1292" s="6" t="b">
        <f t="shared" si="1"/>
        <v>0</v>
      </c>
    </row>
    <row r="1293" ht="15.75" customHeight="1">
      <c r="A1293" s="7" t="s">
        <v>2493</v>
      </c>
      <c r="B1293" s="9" t="s">
        <v>2494</v>
      </c>
      <c r="C1293" s="5" t="s">
        <v>6</v>
      </c>
      <c r="D1293" s="6" t="s">
        <v>281</v>
      </c>
      <c r="E1293" s="6"/>
      <c r="F1293" s="6" t="b">
        <f t="shared" si="1"/>
        <v>0</v>
      </c>
    </row>
    <row r="1294" ht="15.75" customHeight="1">
      <c r="A1294" s="3" t="s">
        <v>2495</v>
      </c>
      <c r="B1294" s="4"/>
      <c r="C1294" s="5"/>
      <c r="D1294" s="5"/>
      <c r="E1294" s="6"/>
      <c r="F1294" s="6" t="b">
        <f t="shared" si="1"/>
        <v>0</v>
      </c>
    </row>
    <row r="1295" ht="15.75" customHeight="1">
      <c r="A1295" s="3" t="s">
        <v>2496</v>
      </c>
      <c r="B1295" s="4"/>
      <c r="C1295" s="5"/>
      <c r="D1295" s="5"/>
      <c r="E1295" s="6"/>
      <c r="F1295" s="6" t="b">
        <f t="shared" si="1"/>
        <v>0</v>
      </c>
    </row>
    <row r="1296" ht="15.75" customHeight="1">
      <c r="A1296" s="3" t="s">
        <v>2497</v>
      </c>
      <c r="B1296" s="4"/>
      <c r="C1296" s="5"/>
      <c r="D1296" s="5"/>
      <c r="E1296" s="6"/>
      <c r="F1296" s="6" t="b">
        <f t="shared" si="1"/>
        <v>0</v>
      </c>
    </row>
    <row r="1297" ht="15.75" customHeight="1">
      <c r="A1297" s="3" t="s">
        <v>2498</v>
      </c>
      <c r="B1297" s="4"/>
      <c r="C1297" s="5"/>
      <c r="D1297" s="5"/>
      <c r="E1297" s="6"/>
      <c r="F1297" s="6" t="b">
        <f t="shared" si="1"/>
        <v>0</v>
      </c>
    </row>
    <row r="1298" ht="15.75" customHeight="1">
      <c r="A1298" s="3" t="s">
        <v>2499</v>
      </c>
      <c r="B1298" s="4"/>
      <c r="C1298" s="5"/>
      <c r="D1298" s="5"/>
      <c r="E1298" s="6"/>
      <c r="F1298" s="6" t="b">
        <f t="shared" si="1"/>
        <v>0</v>
      </c>
    </row>
    <row r="1299" ht="15.75" customHeight="1">
      <c r="A1299" s="3" t="s">
        <v>2500</v>
      </c>
      <c r="B1299" s="4"/>
      <c r="C1299" s="5"/>
      <c r="D1299" s="5"/>
      <c r="E1299" s="6"/>
      <c r="F1299" s="6" t="b">
        <f t="shared" si="1"/>
        <v>0</v>
      </c>
    </row>
    <row r="1300" ht="15.75" customHeight="1">
      <c r="A1300" s="3" t="s">
        <v>2501</v>
      </c>
      <c r="B1300" s="4"/>
      <c r="C1300" s="5"/>
      <c r="D1300" s="5"/>
      <c r="E1300" s="6"/>
      <c r="F1300" s="6" t="b">
        <f t="shared" si="1"/>
        <v>0</v>
      </c>
    </row>
    <row r="1301" ht="15.75" customHeight="1">
      <c r="A1301" s="3" t="s">
        <v>2502</v>
      </c>
      <c r="B1301" s="4"/>
      <c r="C1301" s="5"/>
      <c r="D1301" s="5"/>
      <c r="E1301" s="6"/>
      <c r="F1301" s="6" t="b">
        <f t="shared" si="1"/>
        <v>0</v>
      </c>
    </row>
    <row r="1302" ht="15.75" customHeight="1">
      <c r="A1302" s="3" t="s">
        <v>2503</v>
      </c>
      <c r="B1302" s="4"/>
      <c r="C1302" s="5"/>
      <c r="D1302" s="5"/>
      <c r="E1302" s="6"/>
      <c r="F1302" s="6" t="b">
        <f t="shared" si="1"/>
        <v>0</v>
      </c>
    </row>
    <row r="1303" ht="15.75" customHeight="1">
      <c r="A1303" s="7" t="s">
        <v>2504</v>
      </c>
      <c r="B1303" s="4" t="s">
        <v>2505</v>
      </c>
      <c r="C1303" s="5" t="s">
        <v>6</v>
      </c>
      <c r="D1303" s="6" t="s">
        <v>713</v>
      </c>
      <c r="E1303" s="6"/>
      <c r="F1303" s="6" t="b">
        <f t="shared" si="1"/>
        <v>0</v>
      </c>
    </row>
    <row r="1304" ht="15.75" customHeight="1">
      <c r="A1304" s="3" t="s">
        <v>2506</v>
      </c>
      <c r="B1304" s="4"/>
      <c r="C1304" s="5"/>
      <c r="D1304" s="5"/>
      <c r="E1304" s="6"/>
      <c r="F1304" s="6" t="b">
        <f t="shared" si="1"/>
        <v>0</v>
      </c>
    </row>
    <row r="1305" ht="15.75" customHeight="1">
      <c r="A1305" s="3" t="s">
        <v>2507</v>
      </c>
      <c r="B1305" s="4"/>
      <c r="C1305" s="5"/>
      <c r="D1305" s="5"/>
      <c r="E1305" s="6"/>
      <c r="F1305" s="6" t="b">
        <f t="shared" si="1"/>
        <v>0</v>
      </c>
    </row>
    <row r="1306" ht="15.75" customHeight="1">
      <c r="A1306" s="3" t="s">
        <v>2508</v>
      </c>
      <c r="B1306" s="4"/>
      <c r="C1306" s="5"/>
      <c r="D1306" s="5"/>
      <c r="E1306" s="6"/>
      <c r="F1306" s="6" t="b">
        <f t="shared" si="1"/>
        <v>0</v>
      </c>
    </row>
    <row r="1307" ht="15.75" customHeight="1">
      <c r="A1307" s="3" t="s">
        <v>2509</v>
      </c>
      <c r="B1307" s="4"/>
      <c r="C1307" s="5"/>
      <c r="D1307" s="5"/>
      <c r="E1307" s="6"/>
      <c r="F1307" s="6" t="b">
        <f t="shared" si="1"/>
        <v>0</v>
      </c>
    </row>
    <row r="1308" ht="15.75" customHeight="1">
      <c r="A1308" s="3" t="s">
        <v>2510</v>
      </c>
      <c r="B1308" s="4"/>
      <c r="C1308" s="5"/>
      <c r="D1308" s="5"/>
      <c r="E1308" s="6"/>
      <c r="F1308" s="6" t="b">
        <f t="shared" si="1"/>
        <v>0</v>
      </c>
    </row>
    <row r="1309" ht="15.75" customHeight="1">
      <c r="A1309" s="3" t="s">
        <v>2511</v>
      </c>
      <c r="B1309" s="4"/>
      <c r="C1309" s="5"/>
      <c r="D1309" s="5"/>
      <c r="E1309" s="6"/>
      <c r="F1309" s="6" t="b">
        <f t="shared" si="1"/>
        <v>0</v>
      </c>
    </row>
    <row r="1310" ht="15.75" customHeight="1">
      <c r="A1310" s="3" t="s">
        <v>2512</v>
      </c>
      <c r="B1310" s="4"/>
      <c r="C1310" s="5"/>
      <c r="D1310" s="5"/>
      <c r="E1310" s="6"/>
      <c r="F1310" s="6" t="b">
        <f t="shared" si="1"/>
        <v>0</v>
      </c>
    </row>
    <row r="1311" ht="15.75" customHeight="1">
      <c r="A1311" s="3" t="s">
        <v>2513</v>
      </c>
      <c r="B1311" s="4"/>
      <c r="C1311" s="5"/>
      <c r="D1311" s="5"/>
      <c r="E1311" s="6"/>
      <c r="F1311" s="6" t="b">
        <f t="shared" si="1"/>
        <v>0</v>
      </c>
    </row>
    <row r="1312" ht="15.75" customHeight="1">
      <c r="A1312" s="3" t="s">
        <v>2514</v>
      </c>
      <c r="B1312" s="4"/>
      <c r="C1312" s="5"/>
      <c r="D1312" s="5"/>
      <c r="E1312" s="6"/>
      <c r="F1312" s="6" t="b">
        <f t="shared" si="1"/>
        <v>0</v>
      </c>
    </row>
    <row r="1313" ht="15.75" customHeight="1">
      <c r="A1313" s="3" t="s">
        <v>2515</v>
      </c>
      <c r="B1313" s="4"/>
      <c r="C1313" s="5"/>
      <c r="D1313" s="5"/>
      <c r="E1313" s="6"/>
      <c r="F1313" s="6" t="b">
        <f t="shared" si="1"/>
        <v>0</v>
      </c>
    </row>
    <row r="1314" ht="15.75" customHeight="1">
      <c r="A1314" s="3" t="s">
        <v>2516</v>
      </c>
      <c r="B1314" s="4"/>
      <c r="C1314" s="5"/>
      <c r="D1314" s="5"/>
      <c r="E1314" s="6"/>
      <c r="F1314" s="6" t="b">
        <f t="shared" si="1"/>
        <v>0</v>
      </c>
    </row>
    <row r="1315" ht="15.75" customHeight="1">
      <c r="A1315" s="3" t="s">
        <v>2517</v>
      </c>
      <c r="B1315" s="4"/>
      <c r="C1315" s="5"/>
      <c r="D1315" s="5"/>
      <c r="E1315" s="6"/>
      <c r="F1315" s="6" t="b">
        <f t="shared" si="1"/>
        <v>0</v>
      </c>
    </row>
    <row r="1316" ht="15.75" customHeight="1">
      <c r="A1316" s="3" t="s">
        <v>2518</v>
      </c>
      <c r="B1316" s="4"/>
      <c r="C1316" s="5"/>
      <c r="D1316" s="5"/>
      <c r="E1316" s="6"/>
      <c r="F1316" s="6" t="b">
        <f t="shared" si="1"/>
        <v>0</v>
      </c>
    </row>
    <row r="1317" ht="15.75" customHeight="1">
      <c r="A1317" s="3" t="s">
        <v>2519</v>
      </c>
      <c r="B1317" s="4"/>
      <c r="C1317" s="5"/>
      <c r="D1317" s="5"/>
      <c r="E1317" s="6"/>
      <c r="F1317" s="6" t="b">
        <f t="shared" si="1"/>
        <v>0</v>
      </c>
    </row>
    <row r="1318" ht="15.75" customHeight="1">
      <c r="A1318" s="3" t="s">
        <v>2520</v>
      </c>
      <c r="B1318" s="4"/>
      <c r="C1318" s="5"/>
      <c r="D1318" s="5"/>
      <c r="E1318" s="6"/>
      <c r="F1318" s="6" t="b">
        <f t="shared" si="1"/>
        <v>0</v>
      </c>
    </row>
    <row r="1319" ht="15.75" customHeight="1">
      <c r="A1319" s="3" t="s">
        <v>2521</v>
      </c>
      <c r="B1319" s="4"/>
      <c r="C1319" s="5"/>
      <c r="D1319" s="5"/>
      <c r="E1319" s="6"/>
      <c r="F1319" s="6" t="b">
        <f t="shared" si="1"/>
        <v>0</v>
      </c>
    </row>
    <row r="1320" ht="15.75" customHeight="1">
      <c r="A1320" s="3" t="s">
        <v>2522</v>
      </c>
      <c r="B1320" s="4"/>
      <c r="C1320" s="5"/>
      <c r="D1320" s="5"/>
      <c r="E1320" s="6"/>
      <c r="F1320" s="6" t="b">
        <f t="shared" si="1"/>
        <v>0</v>
      </c>
    </row>
    <row r="1321" ht="15.75" customHeight="1">
      <c r="A1321" s="3" t="s">
        <v>2523</v>
      </c>
      <c r="B1321" s="4"/>
      <c r="C1321" s="5"/>
      <c r="D1321" s="5"/>
      <c r="E1321" s="6"/>
      <c r="F1321" s="6" t="b">
        <f t="shared" si="1"/>
        <v>0</v>
      </c>
    </row>
    <row r="1322" ht="15.75" customHeight="1">
      <c r="A1322" s="7" t="s">
        <v>2524</v>
      </c>
      <c r="B1322" s="4" t="s">
        <v>2525</v>
      </c>
      <c r="C1322" s="5" t="s">
        <v>6</v>
      </c>
      <c r="D1322" s="6" t="s">
        <v>7</v>
      </c>
      <c r="E1322" s="6"/>
      <c r="F1322" s="6" t="b">
        <f t="shared" si="1"/>
        <v>0</v>
      </c>
    </row>
    <row r="1323" ht="15.75" customHeight="1">
      <c r="A1323" s="7" t="s">
        <v>2526</v>
      </c>
      <c r="B1323" s="4" t="s">
        <v>2527</v>
      </c>
      <c r="C1323" s="5" t="s">
        <v>6</v>
      </c>
      <c r="D1323" s="6" t="s">
        <v>1020</v>
      </c>
      <c r="E1323" s="6"/>
      <c r="F1323" s="6" t="b">
        <f t="shared" si="1"/>
        <v>0</v>
      </c>
    </row>
    <row r="1324" ht="15.75" customHeight="1">
      <c r="A1324" s="3" t="s">
        <v>2528</v>
      </c>
      <c r="B1324" s="4"/>
      <c r="C1324" s="5"/>
      <c r="D1324" s="5"/>
      <c r="E1324" s="6"/>
      <c r="F1324" s="6" t="b">
        <f t="shared" si="1"/>
        <v>0</v>
      </c>
    </row>
    <row r="1325" ht="15.75" customHeight="1">
      <c r="A1325" s="3" t="s">
        <v>2529</v>
      </c>
      <c r="B1325" s="4"/>
      <c r="C1325" s="5"/>
      <c r="D1325" s="5"/>
      <c r="E1325" s="6"/>
      <c r="F1325" s="6" t="b">
        <f t="shared" si="1"/>
        <v>0</v>
      </c>
    </row>
    <row r="1326" ht="15.75" customHeight="1">
      <c r="A1326" s="3" t="s">
        <v>2530</v>
      </c>
      <c r="B1326" s="4"/>
      <c r="C1326" s="5"/>
      <c r="D1326" s="5"/>
      <c r="E1326" s="6"/>
      <c r="F1326" s="6" t="b">
        <f t="shared" si="1"/>
        <v>0</v>
      </c>
    </row>
    <row r="1327" ht="15.75" customHeight="1">
      <c r="A1327" s="3" t="s">
        <v>2531</v>
      </c>
      <c r="B1327" s="4"/>
      <c r="C1327" s="5"/>
      <c r="D1327" s="5"/>
      <c r="E1327" s="6"/>
      <c r="F1327" s="6" t="b">
        <f t="shared" si="1"/>
        <v>0</v>
      </c>
    </row>
    <row r="1328" ht="15.75" customHeight="1">
      <c r="A1328" s="3" t="s">
        <v>2532</v>
      </c>
      <c r="B1328" s="4"/>
      <c r="C1328" s="5"/>
      <c r="D1328" s="5"/>
      <c r="E1328" s="6"/>
      <c r="F1328" s="6" t="b">
        <f t="shared" si="1"/>
        <v>0</v>
      </c>
    </row>
    <row r="1329" ht="15.75" customHeight="1">
      <c r="A1329" s="7" t="s">
        <v>2533</v>
      </c>
      <c r="B1329" s="4" t="s">
        <v>2534</v>
      </c>
      <c r="C1329" s="5" t="s">
        <v>6</v>
      </c>
      <c r="D1329" s="6" t="s">
        <v>10</v>
      </c>
      <c r="E1329" s="6"/>
      <c r="F1329" s="6" t="b">
        <f t="shared" si="1"/>
        <v>0</v>
      </c>
    </row>
    <row r="1330" ht="15.75" customHeight="1">
      <c r="A1330" s="10" t="s">
        <v>2535</v>
      </c>
      <c r="B1330" s="11"/>
      <c r="C1330" s="5"/>
      <c r="D1330" s="8"/>
      <c r="E1330" s="6"/>
      <c r="F1330" s="6" t="b">
        <f t="shared" si="1"/>
        <v>0</v>
      </c>
    </row>
    <row r="1331" ht="15.75" customHeight="1">
      <c r="A1331" s="3" t="s">
        <v>2536</v>
      </c>
      <c r="B1331" s="4"/>
      <c r="C1331" s="5"/>
      <c r="D1331" s="5"/>
      <c r="E1331" s="6"/>
      <c r="F1331" s="6" t="b">
        <f t="shared" si="1"/>
        <v>0</v>
      </c>
    </row>
    <row r="1332" ht="15.75" customHeight="1">
      <c r="A1332" s="3" t="s">
        <v>2537</v>
      </c>
      <c r="B1332" s="4"/>
      <c r="C1332" s="5"/>
      <c r="D1332" s="5"/>
      <c r="E1332" s="6"/>
      <c r="F1332" s="6" t="b">
        <f t="shared" si="1"/>
        <v>0</v>
      </c>
    </row>
    <row r="1333" ht="15.75" customHeight="1">
      <c r="A1333" s="3" t="s">
        <v>2538</v>
      </c>
      <c r="B1333" s="4"/>
      <c r="C1333" s="5"/>
      <c r="D1333" s="5"/>
      <c r="E1333" s="6"/>
      <c r="F1333" s="6" t="b">
        <f t="shared" si="1"/>
        <v>0</v>
      </c>
    </row>
    <row r="1334" ht="15.75" customHeight="1">
      <c r="A1334" s="3" t="s">
        <v>2539</v>
      </c>
      <c r="B1334" s="4"/>
      <c r="C1334" s="5"/>
      <c r="D1334" s="5"/>
      <c r="E1334" s="6"/>
      <c r="F1334" s="6" t="b">
        <f t="shared" si="1"/>
        <v>0</v>
      </c>
    </row>
    <row r="1335" ht="15.75" customHeight="1">
      <c r="A1335" s="3" t="s">
        <v>2540</v>
      </c>
      <c r="B1335" s="4"/>
      <c r="C1335" s="5"/>
      <c r="D1335" s="5"/>
      <c r="E1335" s="6"/>
      <c r="F1335" s="6" t="b">
        <f t="shared" si="1"/>
        <v>0</v>
      </c>
    </row>
    <row r="1336" ht="15.75" customHeight="1">
      <c r="A1336" s="3" t="s">
        <v>2541</v>
      </c>
      <c r="B1336" s="4"/>
      <c r="C1336" s="5"/>
      <c r="D1336" s="5"/>
      <c r="E1336" s="6"/>
      <c r="F1336" s="6" t="b">
        <f t="shared" si="1"/>
        <v>0</v>
      </c>
    </row>
    <row r="1337" ht="15.75" customHeight="1">
      <c r="A1337" s="3" t="s">
        <v>2542</v>
      </c>
      <c r="B1337" s="4"/>
      <c r="C1337" s="5"/>
      <c r="D1337" s="5"/>
      <c r="E1337" s="6"/>
      <c r="F1337" s="6" t="b">
        <f t="shared" si="1"/>
        <v>0</v>
      </c>
    </row>
    <row r="1338" ht="15.75" customHeight="1">
      <c r="A1338" s="3" t="s">
        <v>2543</v>
      </c>
      <c r="B1338" s="4"/>
      <c r="C1338" s="5"/>
      <c r="D1338" s="5"/>
      <c r="E1338" s="6"/>
      <c r="F1338" s="6" t="b">
        <f t="shared" si="1"/>
        <v>0</v>
      </c>
    </row>
    <row r="1339" ht="15.75" customHeight="1">
      <c r="A1339" s="3" t="s">
        <v>2544</v>
      </c>
      <c r="B1339" s="4"/>
      <c r="C1339" s="5"/>
      <c r="D1339" s="5"/>
      <c r="E1339" s="6"/>
      <c r="F1339" s="6" t="b">
        <f t="shared" si="1"/>
        <v>0</v>
      </c>
    </row>
    <row r="1340" ht="15.75" customHeight="1">
      <c r="A1340" s="3" t="s">
        <v>2545</v>
      </c>
      <c r="B1340" s="4"/>
      <c r="C1340" s="5"/>
      <c r="D1340" s="5"/>
      <c r="E1340" s="6"/>
      <c r="F1340" s="6" t="b">
        <f t="shared" si="1"/>
        <v>0</v>
      </c>
    </row>
    <row r="1341" ht="15.75" customHeight="1">
      <c r="A1341" s="7" t="s">
        <v>2546</v>
      </c>
      <c r="B1341" s="4" t="s">
        <v>2547</v>
      </c>
      <c r="C1341" s="5" t="s">
        <v>6</v>
      </c>
      <c r="D1341" s="6" t="s">
        <v>42</v>
      </c>
      <c r="E1341" s="6"/>
      <c r="F1341" s="6" t="b">
        <f t="shared" si="1"/>
        <v>0</v>
      </c>
    </row>
    <row r="1342" ht="15.75" customHeight="1">
      <c r="A1342" s="3" t="s">
        <v>2548</v>
      </c>
      <c r="B1342" s="4"/>
      <c r="C1342" s="5"/>
      <c r="D1342" s="5"/>
      <c r="E1342" s="6"/>
      <c r="F1342" s="6" t="b">
        <f t="shared" si="1"/>
        <v>0</v>
      </c>
    </row>
    <row r="1343" ht="15.75" customHeight="1">
      <c r="A1343" s="7" t="s">
        <v>2549</v>
      </c>
      <c r="B1343" s="4" t="s">
        <v>2550</v>
      </c>
      <c r="C1343" s="5" t="s">
        <v>6</v>
      </c>
      <c r="D1343" s="6" t="s">
        <v>2551</v>
      </c>
      <c r="E1343" s="6"/>
      <c r="F1343" s="6" t="b">
        <f t="shared" si="1"/>
        <v>0</v>
      </c>
    </row>
    <row r="1344" ht="15.75" customHeight="1">
      <c r="A1344" s="3" t="s">
        <v>2552</v>
      </c>
      <c r="B1344" s="4"/>
      <c r="C1344" s="5"/>
      <c r="D1344" s="5"/>
      <c r="E1344" s="6"/>
      <c r="F1344" s="6" t="b">
        <f t="shared" si="1"/>
        <v>0</v>
      </c>
    </row>
    <row r="1345" ht="15.75" customHeight="1">
      <c r="A1345" s="3" t="s">
        <v>2553</v>
      </c>
      <c r="B1345" s="4"/>
      <c r="C1345" s="5"/>
      <c r="D1345" s="5"/>
      <c r="E1345" s="6"/>
      <c r="F1345" s="6" t="b">
        <f t="shared" si="1"/>
        <v>0</v>
      </c>
    </row>
    <row r="1346" ht="15.75" customHeight="1">
      <c r="A1346" s="3" t="s">
        <v>2554</v>
      </c>
      <c r="B1346" s="4"/>
      <c r="C1346" s="5"/>
      <c r="D1346" s="5"/>
      <c r="E1346" s="6"/>
      <c r="F1346" s="6" t="b">
        <f t="shared" si="1"/>
        <v>0</v>
      </c>
    </row>
    <row r="1347" ht="15.75" customHeight="1">
      <c r="A1347" s="3" t="s">
        <v>2555</v>
      </c>
      <c r="B1347" s="4"/>
      <c r="C1347" s="5"/>
      <c r="D1347" s="5"/>
      <c r="E1347" s="6"/>
      <c r="F1347" s="6" t="b">
        <f t="shared" si="1"/>
        <v>0</v>
      </c>
    </row>
    <row r="1348" ht="15.75" customHeight="1">
      <c r="A1348" s="7" t="s">
        <v>2556</v>
      </c>
      <c r="B1348" s="4" t="s">
        <v>2557</v>
      </c>
      <c r="C1348" s="5" t="s">
        <v>6</v>
      </c>
      <c r="D1348" s="6" t="s">
        <v>1067</v>
      </c>
      <c r="E1348" s="6"/>
      <c r="F1348" s="6" t="b">
        <f t="shared" si="1"/>
        <v>0</v>
      </c>
    </row>
    <row r="1349" ht="15.75" customHeight="1">
      <c r="A1349" s="7" t="s">
        <v>2558</v>
      </c>
      <c r="B1349" s="4" t="s">
        <v>2559</v>
      </c>
      <c r="C1349" s="5" t="s">
        <v>16</v>
      </c>
      <c r="D1349" s="6" t="s">
        <v>2560</v>
      </c>
      <c r="E1349" s="6"/>
      <c r="F1349" s="6" t="b">
        <f t="shared" si="1"/>
        <v>0</v>
      </c>
    </row>
    <row r="1350" ht="15.75" customHeight="1">
      <c r="A1350" s="3" t="s">
        <v>2561</v>
      </c>
      <c r="B1350" s="4"/>
      <c r="C1350" s="5"/>
      <c r="D1350" s="5"/>
      <c r="E1350" s="6"/>
      <c r="F1350" s="6" t="b">
        <f t="shared" si="1"/>
        <v>0</v>
      </c>
    </row>
    <row r="1351" ht="15.75" customHeight="1">
      <c r="A1351" s="3" t="s">
        <v>2562</v>
      </c>
      <c r="B1351" s="4"/>
      <c r="C1351" s="5"/>
      <c r="D1351" s="5"/>
      <c r="E1351" s="6"/>
      <c r="F1351" s="6" t="b">
        <f t="shared" si="1"/>
        <v>0</v>
      </c>
    </row>
    <row r="1352" ht="15.75" customHeight="1">
      <c r="A1352" s="7" t="s">
        <v>2563</v>
      </c>
      <c r="B1352" s="4" t="s">
        <v>2564</v>
      </c>
      <c r="C1352" s="8"/>
      <c r="D1352" s="6" t="s">
        <v>55</v>
      </c>
      <c r="E1352" s="6"/>
      <c r="F1352" s="6" t="b">
        <f t="shared" si="1"/>
        <v>0</v>
      </c>
    </row>
    <row r="1353" ht="15.75" customHeight="1">
      <c r="A1353" s="3" t="s">
        <v>2565</v>
      </c>
      <c r="B1353" s="4"/>
      <c r="C1353" s="5"/>
      <c r="D1353" s="5"/>
      <c r="E1353" s="6"/>
      <c r="F1353" s="6" t="b">
        <f t="shared" si="1"/>
        <v>0</v>
      </c>
    </row>
    <row r="1354" ht="15.75" customHeight="1">
      <c r="A1354" s="3" t="s">
        <v>2566</v>
      </c>
      <c r="B1354" s="4"/>
      <c r="C1354" s="5"/>
      <c r="D1354" s="5"/>
      <c r="E1354" s="6"/>
      <c r="F1354" s="6" t="b">
        <f t="shared" si="1"/>
        <v>0</v>
      </c>
    </row>
    <row r="1355" ht="15.75" customHeight="1">
      <c r="A1355" s="3" t="s">
        <v>2567</v>
      </c>
      <c r="B1355" s="4"/>
      <c r="C1355" s="5"/>
      <c r="D1355" s="5"/>
      <c r="E1355" s="6"/>
      <c r="F1355" s="6" t="b">
        <f t="shared" si="1"/>
        <v>0</v>
      </c>
    </row>
    <row r="1356" ht="15.75" customHeight="1">
      <c r="A1356" s="7" t="s">
        <v>2568</v>
      </c>
      <c r="B1356" s="4" t="s">
        <v>2569</v>
      </c>
      <c r="C1356" s="6"/>
      <c r="D1356" s="6" t="s">
        <v>55</v>
      </c>
      <c r="E1356" s="6"/>
      <c r="F1356" s="6" t="b">
        <f t="shared" si="1"/>
        <v>0</v>
      </c>
    </row>
    <row r="1357" ht="15.75" customHeight="1">
      <c r="A1357" s="7" t="s">
        <v>2570</v>
      </c>
      <c r="B1357" s="4" t="s">
        <v>2571</v>
      </c>
      <c r="C1357" s="5" t="s">
        <v>6</v>
      </c>
      <c r="D1357" s="6" t="s">
        <v>1118</v>
      </c>
      <c r="E1357" s="6"/>
      <c r="F1357" s="6" t="b">
        <f t="shared" si="1"/>
        <v>0</v>
      </c>
    </row>
    <row r="1358" ht="15.75" customHeight="1">
      <c r="A1358" s="7" t="s">
        <v>2572</v>
      </c>
      <c r="B1358" s="4" t="s">
        <v>2573</v>
      </c>
      <c r="C1358" s="6"/>
      <c r="D1358" s="6" t="s">
        <v>55</v>
      </c>
      <c r="E1358" s="6"/>
      <c r="F1358" s="6" t="b">
        <f t="shared" si="1"/>
        <v>0</v>
      </c>
    </row>
    <row r="1359" ht="15.75" customHeight="1">
      <c r="A1359" s="7" t="s">
        <v>2574</v>
      </c>
      <c r="B1359" s="4" t="s">
        <v>2575</v>
      </c>
      <c r="C1359" s="5" t="s">
        <v>16</v>
      </c>
      <c r="D1359" s="6" t="s">
        <v>1429</v>
      </c>
      <c r="E1359" s="6"/>
      <c r="F1359" s="6" t="b">
        <f t="shared" si="1"/>
        <v>0</v>
      </c>
    </row>
    <row r="1360" ht="15.75" customHeight="1">
      <c r="A1360" s="3" t="s">
        <v>2576</v>
      </c>
      <c r="B1360" s="4"/>
      <c r="C1360" s="5"/>
      <c r="D1360" s="5"/>
      <c r="E1360" s="6"/>
      <c r="F1360" s="6" t="b">
        <f t="shared" si="1"/>
        <v>0</v>
      </c>
    </row>
    <row r="1361" ht="15.75" customHeight="1">
      <c r="A1361" s="7" t="s">
        <v>2577</v>
      </c>
      <c r="B1361" s="4" t="s">
        <v>2578</v>
      </c>
      <c r="C1361" s="5" t="s">
        <v>6</v>
      </c>
      <c r="D1361" s="6" t="s">
        <v>2579</v>
      </c>
      <c r="E1361" s="6"/>
      <c r="F1361" s="6" t="b">
        <f t="shared" si="1"/>
        <v>0</v>
      </c>
    </row>
    <row r="1362" ht="15.75" customHeight="1">
      <c r="A1362" s="7" t="s">
        <v>2580</v>
      </c>
      <c r="B1362" s="4" t="s">
        <v>2581</v>
      </c>
      <c r="C1362" s="8"/>
      <c r="D1362" s="6" t="s">
        <v>55</v>
      </c>
      <c r="E1362" s="6"/>
      <c r="F1362" s="6" t="b">
        <f t="shared" si="1"/>
        <v>0</v>
      </c>
    </row>
    <row r="1363" ht="15.75" customHeight="1">
      <c r="A1363" s="7" t="s">
        <v>2582</v>
      </c>
      <c r="B1363" s="4" t="s">
        <v>2583</v>
      </c>
      <c r="C1363" s="6"/>
      <c r="D1363" s="6" t="s">
        <v>55</v>
      </c>
      <c r="E1363" s="6"/>
      <c r="F1363" s="6" t="b">
        <f t="shared" si="1"/>
        <v>0</v>
      </c>
    </row>
    <row r="1364" ht="15.75" customHeight="1">
      <c r="A1364" s="3" t="s">
        <v>2584</v>
      </c>
      <c r="B1364" s="4"/>
      <c r="C1364" s="5"/>
      <c r="D1364" s="5"/>
      <c r="E1364" s="6"/>
      <c r="F1364" s="6" t="b">
        <f t="shared" si="1"/>
        <v>0</v>
      </c>
    </row>
    <row r="1365" ht="15.75" customHeight="1">
      <c r="A1365" s="3" t="s">
        <v>2585</v>
      </c>
      <c r="B1365" s="4"/>
      <c r="C1365" s="5"/>
      <c r="D1365" s="5"/>
      <c r="E1365" s="6"/>
      <c r="F1365" s="6" t="b">
        <f t="shared" si="1"/>
        <v>0</v>
      </c>
    </row>
    <row r="1366" ht="15.75" customHeight="1">
      <c r="A1366" s="7" t="s">
        <v>2586</v>
      </c>
      <c r="B1366" s="4" t="s">
        <v>2587</v>
      </c>
      <c r="C1366" s="5" t="s">
        <v>6</v>
      </c>
      <c r="D1366" s="6" t="s">
        <v>2588</v>
      </c>
      <c r="E1366" s="6"/>
      <c r="F1366" s="6" t="b">
        <f t="shared" si="1"/>
        <v>0</v>
      </c>
    </row>
    <row r="1367" ht="15.75" customHeight="1">
      <c r="A1367" s="3" t="s">
        <v>2589</v>
      </c>
      <c r="B1367" s="4"/>
      <c r="C1367" s="5"/>
      <c r="D1367" s="5"/>
      <c r="E1367" s="6"/>
      <c r="F1367" s="6" t="b">
        <f t="shared" si="1"/>
        <v>0</v>
      </c>
    </row>
    <row r="1368" ht="15.75" customHeight="1">
      <c r="A1368" s="3" t="s">
        <v>2590</v>
      </c>
      <c r="B1368" s="4"/>
      <c r="C1368" s="5"/>
      <c r="D1368" s="5"/>
      <c r="E1368" s="6"/>
      <c r="F1368" s="6" t="b">
        <f t="shared" si="1"/>
        <v>0</v>
      </c>
    </row>
    <row r="1369" ht="15.75" customHeight="1">
      <c r="A1369" s="3" t="s">
        <v>2591</v>
      </c>
      <c r="B1369" s="4"/>
      <c r="C1369" s="5"/>
      <c r="D1369" s="5"/>
      <c r="E1369" s="6"/>
      <c r="F1369" s="6" t="b">
        <f t="shared" si="1"/>
        <v>0</v>
      </c>
    </row>
    <row r="1370" ht="15.75" customHeight="1">
      <c r="A1370" s="3" t="s">
        <v>2592</v>
      </c>
      <c r="B1370" s="4"/>
      <c r="C1370" s="5"/>
      <c r="D1370" s="5"/>
      <c r="E1370" s="6"/>
      <c r="F1370" s="6" t="b">
        <f t="shared" si="1"/>
        <v>0</v>
      </c>
    </row>
    <row r="1371" ht="15.75" customHeight="1">
      <c r="A1371" s="7" t="s">
        <v>2593</v>
      </c>
      <c r="B1371" s="4" t="s">
        <v>2594</v>
      </c>
      <c r="C1371" s="6"/>
      <c r="D1371" s="6" t="s">
        <v>55</v>
      </c>
      <c r="E1371" s="6"/>
      <c r="F1371" s="6" t="b">
        <f t="shared" si="1"/>
        <v>0</v>
      </c>
    </row>
    <row r="1372" ht="15.75" customHeight="1">
      <c r="A1372" s="7" t="s">
        <v>2595</v>
      </c>
      <c r="B1372" s="4" t="s">
        <v>2596</v>
      </c>
      <c r="C1372" s="5" t="s">
        <v>6</v>
      </c>
      <c r="D1372" s="6" t="s">
        <v>1518</v>
      </c>
      <c r="E1372" s="6"/>
      <c r="F1372" s="6" t="b">
        <f t="shared" si="1"/>
        <v>0</v>
      </c>
    </row>
    <row r="1373" ht="15.75" customHeight="1">
      <c r="A1373" s="3" t="s">
        <v>2597</v>
      </c>
      <c r="B1373" s="4"/>
      <c r="C1373" s="5"/>
      <c r="D1373" s="5"/>
      <c r="E1373" s="6"/>
      <c r="F1373" s="6" t="b">
        <f t="shared" si="1"/>
        <v>0</v>
      </c>
    </row>
    <row r="1374" ht="15.75" customHeight="1">
      <c r="A1374" s="3" t="s">
        <v>2598</v>
      </c>
      <c r="B1374" s="4"/>
      <c r="C1374" s="5"/>
      <c r="D1374" s="5"/>
      <c r="E1374" s="6"/>
      <c r="F1374" s="6" t="b">
        <f t="shared" si="1"/>
        <v>0</v>
      </c>
    </row>
    <row r="1375" ht="15.75" customHeight="1">
      <c r="A1375" s="3" t="s">
        <v>2599</v>
      </c>
      <c r="B1375" s="4"/>
      <c r="C1375" s="5"/>
      <c r="D1375" s="5"/>
      <c r="E1375" s="6"/>
      <c r="F1375" s="6" t="b">
        <f t="shared" si="1"/>
        <v>0</v>
      </c>
    </row>
    <row r="1376" ht="15.75" customHeight="1">
      <c r="A1376" s="3" t="s">
        <v>2600</v>
      </c>
      <c r="B1376" s="4"/>
      <c r="C1376" s="5"/>
      <c r="D1376" s="5"/>
      <c r="E1376" s="6"/>
      <c r="F1376" s="6" t="b">
        <f t="shared" si="1"/>
        <v>0</v>
      </c>
    </row>
    <row r="1377" ht="15.75" customHeight="1">
      <c r="A1377" s="3" t="s">
        <v>2601</v>
      </c>
      <c r="B1377" s="4"/>
      <c r="C1377" s="5"/>
      <c r="D1377" s="5"/>
      <c r="E1377" s="6"/>
      <c r="F1377" s="6" t="b">
        <f t="shared" si="1"/>
        <v>0</v>
      </c>
    </row>
    <row r="1378" ht="15.75" customHeight="1">
      <c r="A1378" s="7" t="s">
        <v>2602</v>
      </c>
      <c r="B1378" s="4" t="s">
        <v>2603</v>
      </c>
      <c r="C1378" s="5" t="s">
        <v>16</v>
      </c>
      <c r="D1378" s="6" t="s">
        <v>2604</v>
      </c>
      <c r="E1378" s="6"/>
      <c r="F1378" s="6" t="b">
        <f t="shared" si="1"/>
        <v>0</v>
      </c>
    </row>
    <row r="1379" ht="15.75" customHeight="1">
      <c r="A1379" s="3" t="s">
        <v>2605</v>
      </c>
      <c r="B1379" s="4"/>
      <c r="C1379" s="5"/>
      <c r="D1379" s="5"/>
      <c r="E1379" s="6"/>
      <c r="F1379" s="6" t="b">
        <f t="shared" si="1"/>
        <v>0</v>
      </c>
    </row>
    <row r="1380" ht="15.75" customHeight="1">
      <c r="A1380" s="3" t="s">
        <v>2606</v>
      </c>
      <c r="B1380" s="4"/>
      <c r="C1380" s="5"/>
      <c r="D1380" s="5"/>
      <c r="E1380" s="6"/>
      <c r="F1380" s="6" t="b">
        <f t="shared" si="1"/>
        <v>0</v>
      </c>
    </row>
    <row r="1381" ht="15.75" customHeight="1">
      <c r="A1381" s="3" t="s">
        <v>2607</v>
      </c>
      <c r="B1381" s="4"/>
      <c r="C1381" s="5"/>
      <c r="D1381" s="5"/>
      <c r="E1381" s="6"/>
      <c r="F1381" s="6" t="b">
        <f t="shared" si="1"/>
        <v>0</v>
      </c>
    </row>
    <row r="1382" ht="15.75" customHeight="1">
      <c r="A1382" s="7" t="s">
        <v>2608</v>
      </c>
      <c r="B1382" s="4" t="s">
        <v>2609</v>
      </c>
      <c r="C1382" s="6"/>
      <c r="D1382" s="6" t="s">
        <v>150</v>
      </c>
      <c r="E1382" s="6"/>
      <c r="F1382" s="6" t="b">
        <f t="shared" si="1"/>
        <v>0</v>
      </c>
    </row>
    <row r="1383" ht="15.75" customHeight="1">
      <c r="A1383" s="7" t="s">
        <v>2610</v>
      </c>
      <c r="B1383" s="4" t="s">
        <v>2611</v>
      </c>
      <c r="C1383" s="8"/>
      <c r="D1383" s="6" t="s">
        <v>150</v>
      </c>
      <c r="E1383" s="6"/>
      <c r="F1383" s="6" t="b">
        <f t="shared" si="1"/>
        <v>0</v>
      </c>
    </row>
    <row r="1384" ht="15.75" customHeight="1">
      <c r="A1384" s="7" t="s">
        <v>2612</v>
      </c>
      <c r="B1384" s="4" t="s">
        <v>2613</v>
      </c>
      <c r="C1384" s="6"/>
      <c r="D1384" s="6" t="s">
        <v>150</v>
      </c>
      <c r="E1384" s="6"/>
      <c r="F1384" s="6" t="b">
        <f t="shared" si="1"/>
        <v>0</v>
      </c>
    </row>
    <row r="1385" ht="15.75" customHeight="1">
      <c r="A1385" s="7" t="s">
        <v>2614</v>
      </c>
      <c r="B1385" s="4" t="s">
        <v>2615</v>
      </c>
      <c r="C1385" s="6"/>
      <c r="D1385" s="6" t="s">
        <v>150</v>
      </c>
      <c r="E1385" s="6"/>
      <c r="F1385" s="6" t="b">
        <f t="shared" si="1"/>
        <v>0</v>
      </c>
    </row>
    <row r="1386" ht="15.75" customHeight="1">
      <c r="A1386" s="7" t="s">
        <v>2616</v>
      </c>
      <c r="B1386" s="4" t="s">
        <v>2617</v>
      </c>
      <c r="C1386" s="5" t="s">
        <v>16</v>
      </c>
      <c r="D1386" s="6" t="s">
        <v>1367</v>
      </c>
      <c r="E1386" s="6"/>
      <c r="F1386" s="6" t="b">
        <f t="shared" si="1"/>
        <v>0</v>
      </c>
    </row>
    <row r="1387" ht="15.75" customHeight="1">
      <c r="A1387" s="3" t="s">
        <v>2618</v>
      </c>
      <c r="B1387" s="4"/>
      <c r="C1387" s="5"/>
      <c r="D1387" s="5"/>
      <c r="E1387" s="6"/>
      <c r="F1387" s="6" t="b">
        <f t="shared" si="1"/>
        <v>0</v>
      </c>
    </row>
    <row r="1388" ht="15.75" customHeight="1">
      <c r="A1388" s="3" t="s">
        <v>2619</v>
      </c>
      <c r="B1388" s="4"/>
      <c r="C1388" s="5"/>
      <c r="D1388" s="5"/>
      <c r="E1388" s="6"/>
      <c r="F1388" s="6" t="b">
        <f t="shared" si="1"/>
        <v>0</v>
      </c>
    </row>
    <row r="1389" ht="15.75" customHeight="1">
      <c r="A1389" s="7" t="s">
        <v>2620</v>
      </c>
      <c r="B1389" s="4" t="s">
        <v>2621</v>
      </c>
      <c r="C1389" s="8"/>
      <c r="D1389" s="6" t="s">
        <v>150</v>
      </c>
      <c r="E1389" s="6"/>
      <c r="F1389" s="6" t="b">
        <f t="shared" si="1"/>
        <v>0</v>
      </c>
    </row>
    <row r="1390" ht="15.75" customHeight="1">
      <c r="A1390" s="3" t="s">
        <v>2622</v>
      </c>
      <c r="B1390" s="4"/>
      <c r="C1390" s="5"/>
      <c r="D1390" s="5"/>
      <c r="E1390" s="6"/>
      <c r="F1390" s="6" t="b">
        <f t="shared" si="1"/>
        <v>0</v>
      </c>
    </row>
    <row r="1391" ht="15.75" customHeight="1">
      <c r="A1391" s="3" t="s">
        <v>2623</v>
      </c>
      <c r="B1391" s="4"/>
      <c r="C1391" s="5"/>
      <c r="D1391" s="5"/>
      <c r="E1391" s="6"/>
      <c r="F1391" s="6" t="b">
        <f t="shared" si="1"/>
        <v>0</v>
      </c>
    </row>
    <row r="1392" ht="15.75" customHeight="1">
      <c r="A1392" s="7" t="s">
        <v>2624</v>
      </c>
      <c r="B1392" s="4" t="s">
        <v>2625</v>
      </c>
      <c r="C1392" s="6"/>
      <c r="D1392" s="6" t="s">
        <v>150</v>
      </c>
      <c r="E1392" s="6"/>
      <c r="F1392" s="6" t="b">
        <f t="shared" si="1"/>
        <v>0</v>
      </c>
    </row>
    <row r="1393" ht="15.75" customHeight="1">
      <c r="A1393" s="3" t="s">
        <v>2626</v>
      </c>
      <c r="B1393" s="4"/>
      <c r="C1393" s="5"/>
      <c r="D1393" s="5"/>
      <c r="E1393" s="6"/>
      <c r="F1393" s="6" t="b">
        <f t="shared" si="1"/>
        <v>0</v>
      </c>
    </row>
    <row r="1394" ht="15.75" customHeight="1">
      <c r="A1394" s="3" t="s">
        <v>2627</v>
      </c>
      <c r="B1394" s="4"/>
      <c r="C1394" s="5"/>
      <c r="D1394" s="5"/>
      <c r="E1394" s="6"/>
      <c r="F1394" s="6" t="b">
        <f t="shared" si="1"/>
        <v>0</v>
      </c>
    </row>
    <row r="1395" ht="15.75" customHeight="1">
      <c r="A1395" s="7" t="s">
        <v>2628</v>
      </c>
      <c r="B1395" s="4" t="s">
        <v>2629</v>
      </c>
      <c r="C1395" s="6"/>
      <c r="D1395" s="6" t="s">
        <v>150</v>
      </c>
      <c r="E1395" s="6"/>
      <c r="F1395" s="6" t="b">
        <f t="shared" si="1"/>
        <v>0</v>
      </c>
    </row>
    <row r="1396" ht="15.75" customHeight="1">
      <c r="A1396" s="7" t="s">
        <v>2630</v>
      </c>
      <c r="B1396" s="4" t="s">
        <v>2631</v>
      </c>
      <c r="C1396" s="5" t="s">
        <v>6</v>
      </c>
      <c r="D1396" s="6" t="s">
        <v>2632</v>
      </c>
      <c r="E1396" s="6"/>
      <c r="F1396" s="6" t="b">
        <f t="shared" si="1"/>
        <v>0</v>
      </c>
    </row>
    <row r="1397" ht="15.75" customHeight="1">
      <c r="A1397" s="3" t="s">
        <v>2633</v>
      </c>
      <c r="B1397" s="4"/>
      <c r="C1397" s="5"/>
      <c r="D1397" s="5"/>
      <c r="E1397" s="6"/>
      <c r="F1397" s="6" t="b">
        <f t="shared" si="1"/>
        <v>0</v>
      </c>
    </row>
    <row r="1398" ht="15.75" customHeight="1">
      <c r="A1398" s="7" t="s">
        <v>2634</v>
      </c>
      <c r="B1398" s="4" t="s">
        <v>2635</v>
      </c>
      <c r="C1398" s="5" t="s">
        <v>6</v>
      </c>
      <c r="D1398" s="6" t="s">
        <v>477</v>
      </c>
      <c r="E1398" s="6"/>
      <c r="F1398" s="6" t="b">
        <f t="shared" si="1"/>
        <v>0</v>
      </c>
    </row>
    <row r="1399" ht="15.75" customHeight="1">
      <c r="A1399" s="3" t="s">
        <v>2636</v>
      </c>
      <c r="B1399" s="4"/>
      <c r="C1399" s="5"/>
      <c r="D1399" s="5"/>
      <c r="E1399" s="6"/>
      <c r="F1399" s="6" t="b">
        <f t="shared" si="1"/>
        <v>0</v>
      </c>
    </row>
    <row r="1400" ht="15.75" customHeight="1">
      <c r="A1400" s="3" t="s">
        <v>2637</v>
      </c>
      <c r="B1400" s="4"/>
      <c r="C1400" s="5"/>
      <c r="D1400" s="5"/>
      <c r="E1400" s="6"/>
      <c r="F1400" s="6" t="b">
        <f t="shared" si="1"/>
        <v>0</v>
      </c>
    </row>
    <row r="1401" ht="15.75" customHeight="1">
      <c r="A1401" s="3" t="s">
        <v>2638</v>
      </c>
      <c r="B1401" s="4"/>
      <c r="C1401" s="5"/>
      <c r="D1401" s="5"/>
      <c r="E1401" s="6"/>
      <c r="F1401" s="6" t="b">
        <f t="shared" si="1"/>
        <v>0</v>
      </c>
    </row>
    <row r="1402" ht="15.75" customHeight="1">
      <c r="A1402" s="3" t="s">
        <v>2639</v>
      </c>
      <c r="B1402" s="4"/>
      <c r="C1402" s="5"/>
      <c r="D1402" s="5"/>
      <c r="E1402" s="6"/>
      <c r="F1402" s="6" t="b">
        <f t="shared" si="1"/>
        <v>0</v>
      </c>
    </row>
    <row r="1403" ht="15.75" customHeight="1">
      <c r="A1403" s="7" t="s">
        <v>2640</v>
      </c>
      <c r="B1403" s="4" t="s">
        <v>2641</v>
      </c>
      <c r="C1403" s="5" t="s">
        <v>6</v>
      </c>
      <c r="D1403" s="6" t="s">
        <v>1413</v>
      </c>
      <c r="E1403" s="6"/>
      <c r="F1403" s="6" t="b">
        <f t="shared" si="1"/>
        <v>0</v>
      </c>
    </row>
    <row r="1404" ht="15.75" customHeight="1">
      <c r="A1404" s="3" t="s">
        <v>2642</v>
      </c>
      <c r="B1404" s="4"/>
      <c r="C1404" s="5"/>
      <c r="D1404" s="5"/>
      <c r="E1404" s="6"/>
      <c r="F1404" s="6" t="b">
        <f t="shared" si="1"/>
        <v>0</v>
      </c>
    </row>
    <row r="1405" ht="15.75" customHeight="1">
      <c r="A1405" s="7" t="s">
        <v>2643</v>
      </c>
      <c r="B1405" s="4" t="s">
        <v>2644</v>
      </c>
      <c r="C1405" s="6"/>
      <c r="D1405" s="6" t="s">
        <v>150</v>
      </c>
      <c r="E1405" s="6"/>
      <c r="F1405" s="6" t="b">
        <f t="shared" si="1"/>
        <v>0</v>
      </c>
    </row>
    <row r="1406" ht="15.75" customHeight="1">
      <c r="A1406" s="7" t="s">
        <v>2645</v>
      </c>
      <c r="B1406" s="4" t="s">
        <v>2646</v>
      </c>
      <c r="C1406" s="5" t="s">
        <v>6</v>
      </c>
      <c r="D1406" s="6" t="s">
        <v>1372</v>
      </c>
      <c r="E1406" s="6"/>
      <c r="F1406" s="6" t="b">
        <f t="shared" si="1"/>
        <v>0</v>
      </c>
    </row>
    <row r="1407" ht="15.75" customHeight="1">
      <c r="A1407" s="7" t="s">
        <v>2647</v>
      </c>
      <c r="B1407" s="4" t="s">
        <v>2648</v>
      </c>
      <c r="C1407" s="5" t="s">
        <v>6</v>
      </c>
      <c r="D1407" s="6" t="s">
        <v>1372</v>
      </c>
      <c r="E1407" s="6"/>
      <c r="F1407" s="6" t="b">
        <f t="shared" si="1"/>
        <v>0</v>
      </c>
    </row>
    <row r="1408" ht="15.75" customHeight="1">
      <c r="A1408" s="7" t="s">
        <v>2649</v>
      </c>
      <c r="B1408" s="4" t="s">
        <v>2650</v>
      </c>
      <c r="C1408" s="5" t="s">
        <v>6</v>
      </c>
      <c r="D1408" s="6" t="s">
        <v>1413</v>
      </c>
      <c r="E1408" s="6"/>
      <c r="F1408" s="6" t="b">
        <f t="shared" si="1"/>
        <v>0</v>
      </c>
    </row>
    <row r="1409" ht="15.75" customHeight="1">
      <c r="A1409" s="7" t="s">
        <v>2651</v>
      </c>
      <c r="B1409" s="4" t="s">
        <v>2652</v>
      </c>
      <c r="C1409" s="5" t="s">
        <v>16</v>
      </c>
      <c r="D1409" s="6" t="s">
        <v>1761</v>
      </c>
      <c r="E1409" s="6"/>
      <c r="F1409" s="6" t="b">
        <f t="shared" si="1"/>
        <v>0</v>
      </c>
    </row>
    <row r="1410" ht="15.75" customHeight="1">
      <c r="A1410" s="7" t="s">
        <v>2653</v>
      </c>
      <c r="B1410" s="4" t="s">
        <v>2654</v>
      </c>
      <c r="C1410" s="8"/>
      <c r="D1410" s="6" t="s">
        <v>150</v>
      </c>
      <c r="E1410" s="6"/>
      <c r="F1410" s="6" t="b">
        <f t="shared" si="1"/>
        <v>0</v>
      </c>
    </row>
    <row r="1411" ht="15.75" customHeight="1">
      <c r="A1411" s="7" t="s">
        <v>2655</v>
      </c>
      <c r="B1411" s="4" t="s">
        <v>2656</v>
      </c>
      <c r="C1411" s="8"/>
      <c r="D1411" s="6" t="s">
        <v>150</v>
      </c>
      <c r="E1411" s="6"/>
      <c r="F1411" s="6" t="b">
        <f t="shared" si="1"/>
        <v>0</v>
      </c>
    </row>
    <row r="1412" ht="15.75" customHeight="1">
      <c r="A1412" s="7" t="s">
        <v>2657</v>
      </c>
      <c r="B1412" s="4" t="s">
        <v>2658</v>
      </c>
      <c r="C1412" s="5" t="s">
        <v>6</v>
      </c>
      <c r="D1412" s="6" t="s">
        <v>1372</v>
      </c>
      <c r="E1412" s="6"/>
      <c r="F1412" s="6" t="b">
        <f t="shared" si="1"/>
        <v>0</v>
      </c>
    </row>
    <row r="1413" ht="15.75" customHeight="1">
      <c r="A1413" s="3" t="s">
        <v>2659</v>
      </c>
      <c r="B1413" s="4"/>
      <c r="C1413" s="5"/>
      <c r="D1413" s="5"/>
      <c r="E1413" s="6"/>
      <c r="F1413" s="6" t="b">
        <f t="shared" si="1"/>
        <v>0</v>
      </c>
    </row>
    <row r="1414" ht="15.75" customHeight="1">
      <c r="A1414" s="7" t="s">
        <v>2660</v>
      </c>
      <c r="B1414" s="4" t="s">
        <v>2661</v>
      </c>
      <c r="C1414" s="5" t="s">
        <v>6</v>
      </c>
      <c r="D1414" s="6" t="s">
        <v>2662</v>
      </c>
      <c r="E1414" s="6"/>
      <c r="F1414" s="6" t="b">
        <f t="shared" si="1"/>
        <v>0</v>
      </c>
    </row>
    <row r="1415" ht="15.75" customHeight="1">
      <c r="A1415" s="7" t="s">
        <v>2663</v>
      </c>
      <c r="B1415" s="4" t="s">
        <v>2664</v>
      </c>
      <c r="C1415" s="6"/>
      <c r="D1415" s="6" t="s">
        <v>150</v>
      </c>
      <c r="E1415" s="6"/>
      <c r="F1415" s="6" t="b">
        <f t="shared" si="1"/>
        <v>0</v>
      </c>
    </row>
    <row r="1416" ht="15.75" customHeight="1">
      <c r="A1416" s="3" t="s">
        <v>2665</v>
      </c>
      <c r="B1416" s="4"/>
      <c r="C1416" s="5"/>
      <c r="D1416" s="5"/>
      <c r="E1416" s="6"/>
      <c r="F1416" s="6" t="b">
        <f t="shared" si="1"/>
        <v>0</v>
      </c>
    </row>
    <row r="1417" ht="15.75" customHeight="1">
      <c r="A1417" s="3" t="s">
        <v>2666</v>
      </c>
      <c r="B1417" s="4"/>
      <c r="C1417" s="5"/>
      <c r="D1417" s="5"/>
      <c r="E1417" s="6"/>
      <c r="F1417" s="6" t="b">
        <f t="shared" si="1"/>
        <v>0</v>
      </c>
    </row>
    <row r="1418" ht="15.75" customHeight="1">
      <c r="A1418" s="7" t="s">
        <v>2667</v>
      </c>
      <c r="B1418" s="4" t="s">
        <v>2668</v>
      </c>
      <c r="C1418" s="6"/>
      <c r="D1418" s="6" t="s">
        <v>150</v>
      </c>
      <c r="E1418" s="6"/>
      <c r="F1418" s="6" t="b">
        <f t="shared" si="1"/>
        <v>0</v>
      </c>
    </row>
    <row r="1419" ht="15.75" customHeight="1">
      <c r="A1419" s="3" t="s">
        <v>2669</v>
      </c>
      <c r="B1419" s="4"/>
      <c r="C1419" s="5"/>
      <c r="D1419" s="5"/>
      <c r="E1419" s="6"/>
      <c r="F1419" s="6" t="b">
        <f t="shared" si="1"/>
        <v>0</v>
      </c>
    </row>
    <row r="1420" ht="15.75" customHeight="1">
      <c r="A1420" s="7" t="s">
        <v>2670</v>
      </c>
      <c r="B1420" s="4" t="s">
        <v>2671</v>
      </c>
      <c r="C1420" s="5" t="s">
        <v>6</v>
      </c>
      <c r="D1420" s="6" t="s">
        <v>1998</v>
      </c>
      <c r="E1420" s="6"/>
      <c r="F1420" s="6" t="b">
        <f t="shared" si="1"/>
        <v>0</v>
      </c>
    </row>
    <row r="1421" ht="15.75" customHeight="1">
      <c r="A1421" s="7" t="s">
        <v>2672</v>
      </c>
      <c r="B1421" s="4" t="s">
        <v>2673</v>
      </c>
      <c r="C1421" s="5" t="s">
        <v>6</v>
      </c>
      <c r="D1421" s="6" t="s">
        <v>2674</v>
      </c>
      <c r="E1421" s="6"/>
      <c r="F1421" s="6" t="b">
        <f t="shared" si="1"/>
        <v>0</v>
      </c>
    </row>
    <row r="1422" ht="15.75" customHeight="1">
      <c r="A1422" s="7" t="s">
        <v>2675</v>
      </c>
      <c r="B1422" s="4" t="s">
        <v>2676</v>
      </c>
      <c r="C1422" s="6"/>
      <c r="D1422" s="6" t="s">
        <v>150</v>
      </c>
      <c r="E1422" s="6"/>
      <c r="F1422" s="6" t="b">
        <f t="shared" si="1"/>
        <v>0</v>
      </c>
    </row>
    <row r="1423" ht="15.75" customHeight="1">
      <c r="A1423" s="7" t="s">
        <v>2677</v>
      </c>
      <c r="B1423" s="4" t="s">
        <v>2678</v>
      </c>
      <c r="C1423" s="5" t="s">
        <v>6</v>
      </c>
      <c r="D1423" s="6" t="s">
        <v>1741</v>
      </c>
      <c r="E1423" s="6"/>
      <c r="F1423" s="6" t="b">
        <f t="shared" si="1"/>
        <v>0</v>
      </c>
    </row>
    <row r="1424" ht="15.75" customHeight="1">
      <c r="A1424" s="7" t="s">
        <v>2679</v>
      </c>
      <c r="B1424" s="4" t="s">
        <v>2680</v>
      </c>
      <c r="C1424" s="6"/>
      <c r="D1424" s="6" t="s">
        <v>150</v>
      </c>
      <c r="E1424" s="6"/>
      <c r="F1424" s="6" t="b">
        <f t="shared" si="1"/>
        <v>0</v>
      </c>
    </row>
    <row r="1425" ht="15.75" customHeight="1">
      <c r="A1425" s="7" t="s">
        <v>2681</v>
      </c>
      <c r="B1425" s="4" t="s">
        <v>2682</v>
      </c>
      <c r="C1425" s="5" t="s">
        <v>6</v>
      </c>
      <c r="D1425" s="6" t="s">
        <v>1741</v>
      </c>
      <c r="E1425" s="6"/>
      <c r="F1425" s="6" t="b">
        <f t="shared" si="1"/>
        <v>0</v>
      </c>
    </row>
    <row r="1426" ht="15.75" customHeight="1">
      <c r="A1426" s="7" t="s">
        <v>2683</v>
      </c>
      <c r="B1426" s="4" t="s">
        <v>2684</v>
      </c>
      <c r="C1426" s="5" t="s">
        <v>16</v>
      </c>
      <c r="D1426" s="6" t="s">
        <v>1429</v>
      </c>
      <c r="E1426" s="6"/>
      <c r="F1426" s="6" t="b">
        <f t="shared" si="1"/>
        <v>0</v>
      </c>
    </row>
    <row r="1427" ht="15.75" customHeight="1">
      <c r="A1427" s="7" t="s">
        <v>2685</v>
      </c>
      <c r="B1427" s="4" t="s">
        <v>2686</v>
      </c>
      <c r="C1427" s="5" t="s">
        <v>6</v>
      </c>
      <c r="D1427" s="6" t="s">
        <v>1741</v>
      </c>
      <c r="E1427" s="6"/>
      <c r="F1427" s="6" t="b">
        <f t="shared" si="1"/>
        <v>0</v>
      </c>
    </row>
    <row r="1428" ht="15.75" customHeight="1">
      <c r="A1428" s="7" t="s">
        <v>2687</v>
      </c>
      <c r="B1428" s="4" t="s">
        <v>2688</v>
      </c>
      <c r="C1428" s="6"/>
      <c r="D1428" s="6" t="s">
        <v>150</v>
      </c>
      <c r="E1428" s="6"/>
      <c r="F1428" s="6" t="b">
        <f t="shared" si="1"/>
        <v>0</v>
      </c>
    </row>
    <row r="1429" ht="15.75" customHeight="1">
      <c r="A1429" s="7" t="s">
        <v>2689</v>
      </c>
      <c r="B1429" s="4" t="s">
        <v>2690</v>
      </c>
      <c r="C1429" s="6"/>
      <c r="D1429" s="6" t="s">
        <v>150</v>
      </c>
      <c r="E1429" s="6"/>
      <c r="F1429" s="6" t="b">
        <f t="shared" si="1"/>
        <v>0</v>
      </c>
    </row>
    <row r="1430" ht="15.75" customHeight="1">
      <c r="A1430" s="7" t="s">
        <v>2691</v>
      </c>
      <c r="B1430" s="4" t="s">
        <v>2692</v>
      </c>
      <c r="C1430" s="6"/>
      <c r="D1430" s="6" t="s">
        <v>150</v>
      </c>
      <c r="E1430" s="6"/>
      <c r="F1430" s="6" t="b">
        <f t="shared" si="1"/>
        <v>0</v>
      </c>
    </row>
    <row r="1431" ht="15.75" customHeight="1">
      <c r="A1431" s="7" t="s">
        <v>2693</v>
      </c>
      <c r="B1431" s="4" t="s">
        <v>2694</v>
      </c>
      <c r="C1431" s="5" t="s">
        <v>16</v>
      </c>
      <c r="D1431" s="6" t="s">
        <v>1738</v>
      </c>
      <c r="E1431" s="6"/>
      <c r="F1431" s="6" t="b">
        <f t="shared" si="1"/>
        <v>0</v>
      </c>
    </row>
    <row r="1432" ht="15.75" customHeight="1">
      <c r="A1432" s="7" t="s">
        <v>2695</v>
      </c>
      <c r="B1432" s="4" t="s">
        <v>2696</v>
      </c>
      <c r="C1432" s="6"/>
      <c r="D1432" s="6" t="s">
        <v>150</v>
      </c>
      <c r="E1432" s="6"/>
      <c r="F1432" s="6" t="b">
        <f t="shared" si="1"/>
        <v>0</v>
      </c>
    </row>
    <row r="1433" ht="15.75" customHeight="1">
      <c r="A1433" s="7" t="s">
        <v>2697</v>
      </c>
      <c r="B1433" s="4" t="s">
        <v>2698</v>
      </c>
      <c r="C1433" s="6"/>
      <c r="D1433" s="6" t="s">
        <v>150</v>
      </c>
      <c r="E1433" s="6"/>
      <c r="F1433" s="6" t="b">
        <f t="shared" si="1"/>
        <v>0</v>
      </c>
    </row>
    <row r="1434" ht="15.75" customHeight="1">
      <c r="A1434" s="7" t="s">
        <v>2699</v>
      </c>
      <c r="B1434" s="4" t="s">
        <v>2700</v>
      </c>
      <c r="C1434" s="6"/>
      <c r="D1434" s="6" t="s">
        <v>150</v>
      </c>
      <c r="E1434" s="6"/>
      <c r="F1434" s="6" t="b">
        <f t="shared" si="1"/>
        <v>0</v>
      </c>
    </row>
    <row r="1435" ht="15.75" customHeight="1">
      <c r="A1435" s="7" t="s">
        <v>2701</v>
      </c>
      <c r="B1435" s="4" t="s">
        <v>2702</v>
      </c>
      <c r="C1435" s="6"/>
      <c r="D1435" s="6" t="s">
        <v>150</v>
      </c>
      <c r="E1435" s="6"/>
      <c r="F1435" s="6" t="b">
        <f t="shared" si="1"/>
        <v>0</v>
      </c>
    </row>
    <row r="1436" ht="15.75" customHeight="1">
      <c r="A1436" s="7" t="s">
        <v>2703</v>
      </c>
      <c r="B1436" s="4" t="s">
        <v>2704</v>
      </c>
      <c r="C1436" s="6"/>
      <c r="D1436" s="6" t="s">
        <v>150</v>
      </c>
      <c r="E1436" s="6"/>
      <c r="F1436" s="6" t="b">
        <f t="shared" si="1"/>
        <v>0</v>
      </c>
    </row>
    <row r="1437" ht="15.75" customHeight="1">
      <c r="A1437" s="7" t="s">
        <v>2705</v>
      </c>
      <c r="B1437" s="4" t="s">
        <v>2706</v>
      </c>
      <c r="C1437" s="6"/>
      <c r="D1437" s="6" t="s">
        <v>150</v>
      </c>
      <c r="E1437" s="6"/>
      <c r="F1437" s="6" t="b">
        <f t="shared" si="1"/>
        <v>0</v>
      </c>
    </row>
    <row r="1438" ht="15.75" customHeight="1">
      <c r="A1438" s="7" t="s">
        <v>2707</v>
      </c>
      <c r="B1438" s="4" t="s">
        <v>2708</v>
      </c>
      <c r="C1438" s="6"/>
      <c r="D1438" s="6" t="s">
        <v>70</v>
      </c>
      <c r="E1438" s="6"/>
      <c r="F1438" s="6" t="b">
        <f t="shared" si="1"/>
        <v>0</v>
      </c>
    </row>
    <row r="1439" ht="15.75" customHeight="1">
      <c r="A1439" s="7" t="s">
        <v>2709</v>
      </c>
      <c r="B1439" s="4" t="s">
        <v>2710</v>
      </c>
      <c r="C1439" s="8"/>
      <c r="D1439" s="6" t="s">
        <v>70</v>
      </c>
      <c r="E1439" s="6"/>
      <c r="F1439" s="6" t="b">
        <f t="shared" si="1"/>
        <v>0</v>
      </c>
    </row>
    <row r="1440" ht="15.75" customHeight="1">
      <c r="A1440" s="3" t="s">
        <v>2711</v>
      </c>
      <c r="B1440" s="4"/>
      <c r="C1440" s="5"/>
      <c r="D1440" s="5"/>
      <c r="E1440" s="6"/>
      <c r="F1440" s="6" t="b">
        <f t="shared" si="1"/>
        <v>0</v>
      </c>
    </row>
    <row r="1441" ht="15.75" customHeight="1">
      <c r="A1441" s="3" t="s">
        <v>2712</v>
      </c>
      <c r="B1441" s="4"/>
      <c r="C1441" s="5"/>
      <c r="D1441" s="5"/>
      <c r="E1441" s="6"/>
      <c r="F1441" s="6" t="b">
        <f t="shared" si="1"/>
        <v>0</v>
      </c>
    </row>
    <row r="1442" ht="15.75" customHeight="1">
      <c r="A1442" s="7" t="s">
        <v>2713</v>
      </c>
      <c r="B1442" s="4" t="s">
        <v>2714</v>
      </c>
      <c r="C1442" s="5" t="s">
        <v>6</v>
      </c>
      <c r="D1442" s="6" t="s">
        <v>86</v>
      </c>
      <c r="E1442" s="6"/>
      <c r="F1442" s="6" t="b">
        <f t="shared" si="1"/>
        <v>0</v>
      </c>
    </row>
    <row r="1443" ht="15.75" customHeight="1">
      <c r="A1443" s="7" t="s">
        <v>2715</v>
      </c>
      <c r="B1443" s="4" t="s">
        <v>2716</v>
      </c>
      <c r="C1443" s="5" t="s">
        <v>6</v>
      </c>
      <c r="D1443" s="6" t="s">
        <v>86</v>
      </c>
      <c r="E1443" s="6"/>
      <c r="F1443" s="6" t="b">
        <f t="shared" si="1"/>
        <v>0</v>
      </c>
    </row>
    <row r="1444" ht="15.75" customHeight="1">
      <c r="A1444" s="7" t="s">
        <v>2717</v>
      </c>
      <c r="B1444" s="4" t="s">
        <v>2718</v>
      </c>
      <c r="C1444" s="5" t="s">
        <v>6</v>
      </c>
      <c r="D1444" s="6" t="s">
        <v>86</v>
      </c>
      <c r="E1444" s="6"/>
      <c r="F1444" s="6" t="b">
        <f t="shared" si="1"/>
        <v>0</v>
      </c>
    </row>
    <row r="1445" ht="15.75" customHeight="1">
      <c r="A1445" s="7" t="s">
        <v>2719</v>
      </c>
      <c r="B1445" s="4" t="s">
        <v>2720</v>
      </c>
      <c r="C1445" s="5" t="s">
        <v>6</v>
      </c>
      <c r="D1445" s="6" t="s">
        <v>86</v>
      </c>
      <c r="E1445" s="6"/>
      <c r="F1445" s="6" t="b">
        <f t="shared" si="1"/>
        <v>0</v>
      </c>
    </row>
    <row r="1446" ht="15.75" customHeight="1">
      <c r="A1446" s="3" t="s">
        <v>2721</v>
      </c>
      <c r="B1446" s="4"/>
      <c r="C1446" s="5"/>
      <c r="D1446" s="5"/>
      <c r="E1446" s="6"/>
      <c r="F1446" s="6" t="b">
        <f t="shared" si="1"/>
        <v>0</v>
      </c>
    </row>
    <row r="1447" ht="15.75" customHeight="1">
      <c r="A1447" s="3" t="s">
        <v>2722</v>
      </c>
      <c r="B1447" s="4"/>
      <c r="C1447" s="5"/>
      <c r="D1447" s="5"/>
      <c r="E1447" s="6"/>
      <c r="F1447" s="6" t="b">
        <f t="shared" si="1"/>
        <v>0</v>
      </c>
    </row>
    <row r="1448" ht="15.75" customHeight="1">
      <c r="A1448" s="7" t="s">
        <v>2723</v>
      </c>
      <c r="B1448" s="4" t="s">
        <v>2724</v>
      </c>
      <c r="C1448" s="6"/>
      <c r="D1448" s="6" t="s">
        <v>70</v>
      </c>
      <c r="E1448" s="6"/>
      <c r="F1448" s="6" t="b">
        <f t="shared" si="1"/>
        <v>0</v>
      </c>
    </row>
    <row r="1449" ht="15.75" customHeight="1">
      <c r="A1449" s="7" t="s">
        <v>2725</v>
      </c>
      <c r="B1449" s="4" t="s">
        <v>2726</v>
      </c>
      <c r="C1449" s="6"/>
      <c r="D1449" s="6" t="s">
        <v>70</v>
      </c>
      <c r="E1449" s="6"/>
      <c r="F1449" s="6" t="b">
        <f t="shared" si="1"/>
        <v>0</v>
      </c>
    </row>
    <row r="1450" ht="15.75" customHeight="1">
      <c r="A1450" s="7" t="s">
        <v>2727</v>
      </c>
      <c r="B1450" s="4" t="s">
        <v>2728</v>
      </c>
      <c r="C1450" s="5" t="s">
        <v>6</v>
      </c>
      <c r="D1450" s="6" t="s">
        <v>2032</v>
      </c>
      <c r="E1450" s="6"/>
      <c r="F1450" s="6" t="b">
        <f t="shared" si="1"/>
        <v>0</v>
      </c>
    </row>
    <row r="1451" ht="15.75" customHeight="1">
      <c r="A1451" s="3" t="s">
        <v>2729</v>
      </c>
      <c r="B1451" s="4"/>
      <c r="C1451" s="5"/>
      <c r="D1451" s="5"/>
      <c r="E1451" s="6"/>
      <c r="F1451" s="6" t="b">
        <f t="shared" si="1"/>
        <v>0</v>
      </c>
    </row>
    <row r="1452" ht="15.75" customHeight="1">
      <c r="A1452" s="3" t="s">
        <v>2730</v>
      </c>
      <c r="B1452" s="4"/>
      <c r="C1452" s="5"/>
      <c r="D1452" s="5"/>
      <c r="E1452" s="6"/>
      <c r="F1452" s="6" t="b">
        <f t="shared" si="1"/>
        <v>0</v>
      </c>
    </row>
    <row r="1453" ht="15.75" customHeight="1">
      <c r="A1453" s="7" t="s">
        <v>2731</v>
      </c>
      <c r="B1453" s="4" t="s">
        <v>2732</v>
      </c>
      <c r="C1453" s="5" t="s">
        <v>6</v>
      </c>
      <c r="D1453" s="6" t="s">
        <v>1998</v>
      </c>
      <c r="E1453" s="6"/>
      <c r="F1453" s="6" t="b">
        <f t="shared" si="1"/>
        <v>0</v>
      </c>
    </row>
    <row r="1454" ht="15.75" customHeight="1">
      <c r="A1454" s="7" t="s">
        <v>2733</v>
      </c>
      <c r="B1454" s="4" t="s">
        <v>2734</v>
      </c>
      <c r="C1454" s="6"/>
      <c r="D1454" s="6" t="s">
        <v>70</v>
      </c>
      <c r="E1454" s="6"/>
      <c r="F1454" s="6" t="b">
        <f t="shared" si="1"/>
        <v>0</v>
      </c>
    </row>
    <row r="1455" ht="15.75" customHeight="1">
      <c r="A1455" s="7" t="s">
        <v>2735</v>
      </c>
      <c r="B1455" s="4" t="s">
        <v>2736</v>
      </c>
      <c r="C1455" s="6"/>
      <c r="D1455" s="6" t="s">
        <v>70</v>
      </c>
      <c r="E1455" s="6"/>
      <c r="F1455" s="6" t="b">
        <f t="shared" si="1"/>
        <v>0</v>
      </c>
    </row>
    <row r="1456" ht="15.75" customHeight="1">
      <c r="A1456" s="7" t="s">
        <v>2737</v>
      </c>
      <c r="B1456" s="4" t="s">
        <v>2738</v>
      </c>
      <c r="C1456" s="5" t="s">
        <v>6</v>
      </c>
      <c r="D1456" s="6" t="s">
        <v>1998</v>
      </c>
      <c r="E1456" s="6"/>
      <c r="F1456" s="6" t="b">
        <f t="shared" si="1"/>
        <v>0</v>
      </c>
    </row>
    <row r="1457" ht="15.75" customHeight="1">
      <c r="A1457" s="7" t="s">
        <v>2739</v>
      </c>
      <c r="B1457" s="4" t="s">
        <v>2740</v>
      </c>
      <c r="C1457" s="6"/>
      <c r="D1457" s="6" t="s">
        <v>70</v>
      </c>
      <c r="E1457" s="6"/>
      <c r="F1457" s="6" t="b">
        <f t="shared" si="1"/>
        <v>0</v>
      </c>
    </row>
    <row r="1458" ht="15.75" customHeight="1">
      <c r="A1458" s="3" t="s">
        <v>2741</v>
      </c>
      <c r="B1458" s="4"/>
      <c r="C1458" s="5"/>
      <c r="D1458" s="5"/>
      <c r="E1458" s="6"/>
      <c r="F1458" s="6" t="b">
        <f t="shared" si="1"/>
        <v>0</v>
      </c>
    </row>
    <row r="1459" ht="15.75" customHeight="1">
      <c r="A1459" s="7" t="s">
        <v>2742</v>
      </c>
      <c r="B1459" s="4" t="s">
        <v>2743</v>
      </c>
      <c r="C1459" s="5" t="s">
        <v>6</v>
      </c>
      <c r="D1459" s="6" t="s">
        <v>2744</v>
      </c>
      <c r="E1459" s="6"/>
      <c r="F1459" s="6" t="b">
        <f t="shared" si="1"/>
        <v>0</v>
      </c>
    </row>
    <row r="1460" ht="15.75" customHeight="1">
      <c r="A1460" s="3" t="s">
        <v>2745</v>
      </c>
      <c r="B1460" s="4"/>
      <c r="C1460" s="5"/>
      <c r="D1460" s="5"/>
      <c r="E1460" s="6"/>
      <c r="F1460" s="6" t="b">
        <f t="shared" si="1"/>
        <v>0</v>
      </c>
    </row>
    <row r="1461" ht="15.75" customHeight="1">
      <c r="A1461" s="7" t="s">
        <v>2746</v>
      </c>
      <c r="B1461" s="4" t="s">
        <v>2747</v>
      </c>
      <c r="C1461" s="8"/>
      <c r="D1461" s="6" t="s">
        <v>70</v>
      </c>
      <c r="E1461" s="6"/>
      <c r="F1461" s="6" t="b">
        <f t="shared" si="1"/>
        <v>0</v>
      </c>
    </row>
    <row r="1462" ht="15.75" customHeight="1">
      <c r="A1462" s="7" t="s">
        <v>2748</v>
      </c>
      <c r="B1462" s="4" t="s">
        <v>2749</v>
      </c>
      <c r="C1462" s="6"/>
      <c r="D1462" s="6" t="s">
        <v>70</v>
      </c>
      <c r="E1462" s="6"/>
      <c r="F1462" s="6" t="b">
        <f t="shared" si="1"/>
        <v>0</v>
      </c>
    </row>
    <row r="1463" ht="15.75" customHeight="1">
      <c r="A1463" s="7" t="s">
        <v>2750</v>
      </c>
      <c r="B1463" s="4" t="s">
        <v>2751</v>
      </c>
      <c r="C1463" s="6"/>
      <c r="D1463" s="6" t="s">
        <v>70</v>
      </c>
      <c r="E1463" s="6"/>
      <c r="F1463" s="6" t="b">
        <f t="shared" si="1"/>
        <v>0</v>
      </c>
    </row>
    <row r="1464" ht="15.75" customHeight="1">
      <c r="A1464" s="7" t="s">
        <v>2752</v>
      </c>
      <c r="B1464" s="4" t="s">
        <v>2753</v>
      </c>
      <c r="C1464" s="6"/>
      <c r="D1464" s="6" t="s">
        <v>70</v>
      </c>
      <c r="E1464" s="6"/>
      <c r="F1464" s="6" t="b">
        <f t="shared" si="1"/>
        <v>0</v>
      </c>
    </row>
    <row r="1465" ht="15.75" customHeight="1">
      <c r="A1465" s="7" t="s">
        <v>2754</v>
      </c>
      <c r="B1465" s="4" t="s">
        <v>2755</v>
      </c>
      <c r="C1465" s="6"/>
      <c r="D1465" s="6" t="s">
        <v>70</v>
      </c>
      <c r="E1465" s="6"/>
      <c r="F1465" s="6" t="b">
        <f t="shared" si="1"/>
        <v>0</v>
      </c>
    </row>
    <row r="1466" ht="15.75" customHeight="1">
      <c r="A1466" s="7" t="s">
        <v>2756</v>
      </c>
      <c r="B1466" s="4" t="s">
        <v>2757</v>
      </c>
      <c r="C1466" s="6"/>
      <c r="D1466" s="6" t="s">
        <v>70</v>
      </c>
      <c r="E1466" s="6"/>
      <c r="F1466" s="6" t="b">
        <f t="shared" si="1"/>
        <v>0</v>
      </c>
    </row>
    <row r="1467" ht="15.75" customHeight="1">
      <c r="A1467" s="7" t="s">
        <v>2758</v>
      </c>
      <c r="B1467" s="4" t="s">
        <v>2759</v>
      </c>
      <c r="C1467" s="6"/>
      <c r="D1467" s="6" t="s">
        <v>70</v>
      </c>
      <c r="E1467" s="6"/>
      <c r="F1467" s="6" t="b">
        <f t="shared" si="1"/>
        <v>0</v>
      </c>
    </row>
    <row r="1468" ht="15.75" customHeight="1">
      <c r="A1468" s="7" t="s">
        <v>2760</v>
      </c>
      <c r="B1468" s="4" t="s">
        <v>2761</v>
      </c>
      <c r="C1468" s="6"/>
      <c r="D1468" s="6" t="s">
        <v>70</v>
      </c>
      <c r="E1468" s="6"/>
      <c r="F1468" s="6" t="b">
        <f t="shared" si="1"/>
        <v>0</v>
      </c>
    </row>
    <row r="1469" ht="15.75" customHeight="1">
      <c r="A1469" s="7" t="s">
        <v>2762</v>
      </c>
      <c r="B1469" s="4" t="s">
        <v>2763</v>
      </c>
      <c r="C1469" s="6"/>
      <c r="D1469" s="6" t="s">
        <v>2282</v>
      </c>
      <c r="E1469" s="6"/>
      <c r="F1469" s="6" t="b">
        <f t="shared" si="1"/>
        <v>0</v>
      </c>
    </row>
    <row r="1470" ht="15.75" customHeight="1">
      <c r="A1470" s="7" t="s">
        <v>2764</v>
      </c>
      <c r="B1470" s="4" t="s">
        <v>2765</v>
      </c>
      <c r="C1470" s="5" t="s">
        <v>6</v>
      </c>
      <c r="D1470" s="6" t="s">
        <v>2766</v>
      </c>
      <c r="E1470" s="6"/>
      <c r="F1470" s="6" t="b">
        <f t="shared" si="1"/>
        <v>0</v>
      </c>
    </row>
    <row r="1471" ht="15.75" customHeight="1">
      <c r="A1471" s="7" t="s">
        <v>2767</v>
      </c>
      <c r="B1471" s="4" t="s">
        <v>2768</v>
      </c>
      <c r="C1471" s="5" t="s">
        <v>6</v>
      </c>
      <c r="D1471" s="6" t="s">
        <v>2766</v>
      </c>
      <c r="E1471" s="6"/>
      <c r="F1471" s="6" t="b">
        <f t="shared" si="1"/>
        <v>0</v>
      </c>
    </row>
    <row r="1472" ht="15.75" customHeight="1">
      <c r="A1472" s="7" t="s">
        <v>2769</v>
      </c>
      <c r="B1472" s="11"/>
      <c r="C1472" s="5"/>
      <c r="D1472" s="8"/>
      <c r="E1472" s="6"/>
      <c r="F1472" s="6" t="b">
        <f t="shared" si="1"/>
        <v>0</v>
      </c>
    </row>
    <row r="1473" ht="15.75" customHeight="1">
      <c r="A1473" s="7" t="s">
        <v>2770</v>
      </c>
      <c r="B1473" s="4" t="s">
        <v>2771</v>
      </c>
      <c r="C1473" s="6"/>
      <c r="D1473" s="6" t="s">
        <v>150</v>
      </c>
      <c r="E1473" s="6"/>
      <c r="F1473" s="6" t="b">
        <f t="shared" si="1"/>
        <v>0</v>
      </c>
    </row>
    <row r="1474" ht="15.75" customHeight="1">
      <c r="A1474" s="3" t="s">
        <v>2772</v>
      </c>
      <c r="B1474" s="4"/>
      <c r="C1474" s="5"/>
      <c r="D1474" s="5"/>
      <c r="E1474" s="6"/>
      <c r="F1474" s="6" t="b">
        <f t="shared" si="1"/>
        <v>0</v>
      </c>
    </row>
    <row r="1475" ht="15.75" customHeight="1">
      <c r="A1475" s="3" t="s">
        <v>2773</v>
      </c>
      <c r="B1475" s="4"/>
      <c r="C1475" s="5"/>
      <c r="D1475" s="5"/>
      <c r="E1475" s="6"/>
      <c r="F1475" s="6" t="b">
        <f t="shared" si="1"/>
        <v>0</v>
      </c>
    </row>
    <row r="1476" ht="15.75" customHeight="1">
      <c r="A1476" s="10" t="s">
        <v>2774</v>
      </c>
      <c r="B1476" s="11"/>
      <c r="C1476" s="5"/>
      <c r="D1476" s="8"/>
      <c r="E1476" s="6"/>
      <c r="F1476" s="6" t="b">
        <f t="shared" si="1"/>
        <v>0</v>
      </c>
    </row>
    <row r="1477" ht="15.75" customHeight="1">
      <c r="A1477" s="3" t="s">
        <v>2775</v>
      </c>
      <c r="B1477" s="4"/>
      <c r="C1477" s="5"/>
      <c r="D1477" s="5"/>
      <c r="E1477" s="6"/>
      <c r="F1477" s="6" t="b">
        <f t="shared" si="1"/>
        <v>0</v>
      </c>
    </row>
    <row r="1478" ht="15.75" customHeight="1">
      <c r="A1478" s="3" t="s">
        <v>2776</v>
      </c>
      <c r="B1478" s="4"/>
      <c r="C1478" s="5"/>
      <c r="D1478" s="5"/>
      <c r="E1478" s="6"/>
      <c r="F1478" s="6" t="b">
        <f t="shared" si="1"/>
        <v>0</v>
      </c>
    </row>
    <row r="1479" ht="15.75" customHeight="1">
      <c r="A1479" s="7" t="s">
        <v>2777</v>
      </c>
      <c r="B1479" s="4" t="s">
        <v>2778</v>
      </c>
      <c r="C1479" s="5" t="s">
        <v>6</v>
      </c>
      <c r="D1479" s="6" t="s">
        <v>2779</v>
      </c>
      <c r="E1479" s="6"/>
      <c r="F1479" s="6" t="b">
        <f t="shared" si="1"/>
        <v>0</v>
      </c>
    </row>
    <row r="1480" ht="15.75" customHeight="1">
      <c r="A1480" s="3" t="s">
        <v>2780</v>
      </c>
      <c r="B1480" s="4"/>
      <c r="C1480" s="5"/>
      <c r="D1480" s="5"/>
      <c r="E1480" s="6"/>
      <c r="F1480" s="6" t="b">
        <f t="shared" si="1"/>
        <v>0</v>
      </c>
    </row>
    <row r="1481" ht="15.75" customHeight="1">
      <c r="A1481" s="3" t="s">
        <v>2781</v>
      </c>
      <c r="B1481" s="4"/>
      <c r="C1481" s="5"/>
      <c r="D1481" s="5"/>
      <c r="E1481" s="6"/>
      <c r="F1481" s="6" t="b">
        <f t="shared" si="1"/>
        <v>0</v>
      </c>
    </row>
    <row r="1482" ht="15.75" customHeight="1">
      <c r="A1482" s="3" t="s">
        <v>2782</v>
      </c>
      <c r="B1482" s="4"/>
      <c r="C1482" s="5"/>
      <c r="D1482" s="5"/>
      <c r="E1482" s="6"/>
      <c r="F1482" s="6" t="b">
        <f t="shared" si="1"/>
        <v>0</v>
      </c>
    </row>
    <row r="1483" ht="15.75" customHeight="1">
      <c r="A1483" s="7" t="s">
        <v>2783</v>
      </c>
      <c r="B1483" s="4" t="s">
        <v>2784</v>
      </c>
      <c r="C1483" s="5" t="s">
        <v>6</v>
      </c>
      <c r="D1483" s="6" t="s">
        <v>944</v>
      </c>
      <c r="E1483" s="6"/>
      <c r="F1483" s="6" t="b">
        <f t="shared" si="1"/>
        <v>0</v>
      </c>
    </row>
    <row r="1484" ht="15.75" customHeight="1">
      <c r="A1484" s="7" t="s">
        <v>2785</v>
      </c>
      <c r="B1484" s="4" t="s">
        <v>2786</v>
      </c>
      <c r="C1484" s="5" t="s">
        <v>6</v>
      </c>
      <c r="D1484" s="6" t="s">
        <v>944</v>
      </c>
      <c r="E1484" s="6"/>
      <c r="F1484" s="6" t="b">
        <f t="shared" si="1"/>
        <v>0</v>
      </c>
    </row>
    <row r="1485" ht="15.75" customHeight="1">
      <c r="A1485" s="3" t="s">
        <v>2787</v>
      </c>
      <c r="B1485" s="4"/>
      <c r="C1485" s="5"/>
      <c r="D1485" s="5"/>
      <c r="E1485" s="6"/>
      <c r="F1485" s="6" t="b">
        <f t="shared" si="1"/>
        <v>0</v>
      </c>
    </row>
    <row r="1486" ht="15.75" customHeight="1">
      <c r="A1486" s="7" t="s">
        <v>2788</v>
      </c>
      <c r="B1486" s="4" t="s">
        <v>2789</v>
      </c>
      <c r="C1486" s="5" t="s">
        <v>6</v>
      </c>
      <c r="D1486" s="6" t="s">
        <v>944</v>
      </c>
      <c r="E1486" s="6"/>
      <c r="F1486" s="6" t="b">
        <f t="shared" si="1"/>
        <v>0</v>
      </c>
    </row>
    <row r="1487" ht="15.75" customHeight="1">
      <c r="A1487" s="7" t="s">
        <v>2790</v>
      </c>
      <c r="B1487" s="4" t="s">
        <v>2791</v>
      </c>
      <c r="C1487" s="5" t="s">
        <v>6</v>
      </c>
      <c r="D1487" s="6" t="s">
        <v>944</v>
      </c>
      <c r="E1487" s="6"/>
      <c r="F1487" s="6" t="b">
        <f t="shared" si="1"/>
        <v>0</v>
      </c>
    </row>
    <row r="1488" ht="15.75" customHeight="1">
      <c r="A1488" s="7" t="s">
        <v>2792</v>
      </c>
      <c r="B1488" s="4" t="s">
        <v>2793</v>
      </c>
      <c r="C1488" s="8"/>
      <c r="D1488" s="6" t="s">
        <v>36</v>
      </c>
      <c r="E1488" s="6"/>
      <c r="F1488" s="6" t="b">
        <f t="shared" si="1"/>
        <v>0</v>
      </c>
    </row>
    <row r="1489" ht="15.75" customHeight="1">
      <c r="A1489" s="3" t="s">
        <v>2794</v>
      </c>
      <c r="B1489" s="4"/>
      <c r="C1489" s="5"/>
      <c r="D1489" s="5"/>
      <c r="E1489" s="6"/>
      <c r="F1489" s="6" t="b">
        <f t="shared" si="1"/>
        <v>0</v>
      </c>
    </row>
    <row r="1490" ht="15.75" customHeight="1">
      <c r="A1490" s="3" t="s">
        <v>2795</v>
      </c>
      <c r="B1490" s="4"/>
      <c r="C1490" s="5"/>
      <c r="D1490" s="5"/>
      <c r="E1490" s="6"/>
      <c r="F1490" s="6" t="b">
        <f t="shared" si="1"/>
        <v>0</v>
      </c>
    </row>
    <row r="1491" ht="15.75" customHeight="1">
      <c r="A1491" s="3" t="s">
        <v>2796</v>
      </c>
      <c r="B1491" s="4"/>
      <c r="C1491" s="5"/>
      <c r="D1491" s="5"/>
      <c r="E1491" s="6"/>
      <c r="F1491" s="6" t="b">
        <f t="shared" si="1"/>
        <v>0</v>
      </c>
    </row>
    <row r="1492" ht="15.75" customHeight="1">
      <c r="A1492" s="3" t="s">
        <v>2797</v>
      </c>
      <c r="B1492" s="4"/>
      <c r="C1492" s="5"/>
      <c r="D1492" s="5"/>
      <c r="E1492" s="6"/>
      <c r="F1492" s="6" t="b">
        <f t="shared" si="1"/>
        <v>0</v>
      </c>
    </row>
    <row r="1493" ht="15.75" customHeight="1">
      <c r="A1493" s="3" t="s">
        <v>2798</v>
      </c>
      <c r="B1493" s="4"/>
      <c r="C1493" s="5"/>
      <c r="D1493" s="5"/>
      <c r="E1493" s="6"/>
      <c r="F1493" s="6" t="b">
        <f t="shared" si="1"/>
        <v>0</v>
      </c>
    </row>
    <row r="1494" ht="15.75" customHeight="1">
      <c r="A1494" s="3" t="s">
        <v>2799</v>
      </c>
      <c r="B1494" s="4"/>
      <c r="C1494" s="5"/>
      <c r="D1494" s="5"/>
      <c r="E1494" s="6"/>
      <c r="F1494" s="6" t="b">
        <f t="shared" si="1"/>
        <v>0</v>
      </c>
    </row>
    <row r="1495" ht="15.75" customHeight="1">
      <c r="A1495" s="7" t="s">
        <v>2800</v>
      </c>
      <c r="B1495" s="4" t="s">
        <v>2801</v>
      </c>
      <c r="C1495" s="5" t="s">
        <v>6</v>
      </c>
      <c r="D1495" s="6" t="s">
        <v>318</v>
      </c>
      <c r="E1495" s="6"/>
      <c r="F1495" s="6" t="b">
        <f t="shared" si="1"/>
        <v>0</v>
      </c>
    </row>
    <row r="1496" ht="15.75" customHeight="1">
      <c r="A1496" s="7" t="s">
        <v>2802</v>
      </c>
      <c r="B1496" s="4" t="s">
        <v>2803</v>
      </c>
      <c r="C1496" s="5" t="s">
        <v>6</v>
      </c>
      <c r="D1496" s="6" t="s">
        <v>2804</v>
      </c>
      <c r="E1496" s="6"/>
      <c r="F1496" s="6" t="b">
        <f t="shared" si="1"/>
        <v>0</v>
      </c>
    </row>
    <row r="1497" ht="15.75" customHeight="1">
      <c r="A1497" s="3" t="s">
        <v>2805</v>
      </c>
      <c r="B1497" s="4"/>
      <c r="C1497" s="5"/>
      <c r="D1497" s="5"/>
      <c r="E1497" s="6"/>
      <c r="F1497" s="6" t="b">
        <f t="shared" si="1"/>
        <v>0</v>
      </c>
    </row>
    <row r="1498" ht="15.75" customHeight="1">
      <c r="A1498" s="3" t="s">
        <v>2806</v>
      </c>
      <c r="B1498" s="4"/>
      <c r="C1498" s="5"/>
      <c r="D1498" s="5"/>
      <c r="E1498" s="6"/>
      <c r="F1498" s="6" t="b">
        <f t="shared" si="1"/>
        <v>0</v>
      </c>
    </row>
    <row r="1499" ht="15.75" customHeight="1">
      <c r="A1499" s="3" t="s">
        <v>2807</v>
      </c>
      <c r="B1499" s="4"/>
      <c r="C1499" s="5"/>
      <c r="D1499" s="5"/>
      <c r="E1499" s="6"/>
      <c r="F1499" s="6" t="b">
        <f t="shared" si="1"/>
        <v>0</v>
      </c>
    </row>
    <row r="1500" ht="15.75" customHeight="1">
      <c r="A1500" s="7" t="s">
        <v>2808</v>
      </c>
      <c r="B1500" s="4" t="s">
        <v>2809</v>
      </c>
      <c r="C1500" s="5" t="s">
        <v>6</v>
      </c>
      <c r="D1500" s="6" t="s">
        <v>7</v>
      </c>
      <c r="E1500" s="6"/>
      <c r="F1500" s="6" t="b">
        <f t="shared" si="1"/>
        <v>0</v>
      </c>
    </row>
    <row r="1501" ht="15.75" customHeight="1">
      <c r="A1501" s="3" t="s">
        <v>2810</v>
      </c>
      <c r="B1501" s="4"/>
      <c r="C1501" s="5"/>
      <c r="D1501" s="5"/>
      <c r="E1501" s="6"/>
      <c r="F1501" s="6" t="b">
        <f t="shared" si="1"/>
        <v>0</v>
      </c>
    </row>
    <row r="1502" ht="15.75" customHeight="1">
      <c r="A1502" s="3" t="s">
        <v>2811</v>
      </c>
      <c r="B1502" s="4"/>
      <c r="C1502" s="5"/>
      <c r="D1502" s="5"/>
      <c r="E1502" s="6"/>
      <c r="F1502" s="6" t="b">
        <f t="shared" si="1"/>
        <v>0</v>
      </c>
    </row>
    <row r="1503" ht="15.75" customHeight="1">
      <c r="A1503" s="7" t="s">
        <v>2812</v>
      </c>
      <c r="B1503" s="4" t="s">
        <v>2813</v>
      </c>
      <c r="C1503" s="5" t="s">
        <v>16</v>
      </c>
      <c r="D1503" s="6" t="s">
        <v>2814</v>
      </c>
      <c r="E1503" s="6"/>
      <c r="F1503" s="6" t="b">
        <f t="shared" si="1"/>
        <v>0</v>
      </c>
    </row>
    <row r="1504" ht="15.75" customHeight="1">
      <c r="A1504" s="7" t="s">
        <v>2815</v>
      </c>
      <c r="B1504" s="4" t="s">
        <v>2816</v>
      </c>
      <c r="C1504" s="5" t="s">
        <v>6</v>
      </c>
      <c r="D1504" s="6" t="s">
        <v>2817</v>
      </c>
      <c r="E1504" s="6"/>
      <c r="F1504" s="6" t="b">
        <f t="shared" si="1"/>
        <v>0</v>
      </c>
    </row>
    <row r="1505" ht="15.75" customHeight="1">
      <c r="A1505" s="7" t="s">
        <v>2818</v>
      </c>
      <c r="B1505" s="4" t="s">
        <v>2819</v>
      </c>
      <c r="C1505" s="5" t="s">
        <v>6</v>
      </c>
      <c r="D1505" s="6" t="s">
        <v>281</v>
      </c>
      <c r="E1505" s="6"/>
      <c r="F1505" s="6" t="b">
        <f t="shared" si="1"/>
        <v>0</v>
      </c>
    </row>
    <row r="1506" ht="15.75" customHeight="1">
      <c r="A1506" s="3" t="s">
        <v>2820</v>
      </c>
      <c r="B1506" s="4"/>
      <c r="C1506" s="5"/>
      <c r="D1506" s="5"/>
      <c r="E1506" s="6"/>
      <c r="F1506" s="6" t="b">
        <f t="shared" si="1"/>
        <v>0</v>
      </c>
    </row>
    <row r="1507" ht="15.75" customHeight="1">
      <c r="A1507" s="7" t="s">
        <v>2821</v>
      </c>
      <c r="B1507" s="4" t="s">
        <v>2822</v>
      </c>
      <c r="C1507" s="5" t="s">
        <v>6</v>
      </c>
      <c r="D1507" s="6" t="s">
        <v>2823</v>
      </c>
      <c r="E1507" s="6"/>
      <c r="F1507" s="6" t="b">
        <f t="shared" si="1"/>
        <v>0</v>
      </c>
    </row>
    <row r="1508" ht="15.75" customHeight="1">
      <c r="A1508" s="7" t="s">
        <v>2824</v>
      </c>
      <c r="B1508" s="4" t="s">
        <v>2825</v>
      </c>
      <c r="C1508" s="5" t="s">
        <v>6</v>
      </c>
      <c r="D1508" s="6" t="s">
        <v>2826</v>
      </c>
      <c r="E1508" s="6"/>
      <c r="F1508" s="6" t="b">
        <f t="shared" si="1"/>
        <v>0</v>
      </c>
    </row>
    <row r="1509" ht="15.75" customHeight="1">
      <c r="A1509" s="7" t="s">
        <v>2827</v>
      </c>
      <c r="B1509" s="4" t="s">
        <v>2828</v>
      </c>
      <c r="C1509" s="5" t="s">
        <v>6</v>
      </c>
      <c r="D1509" s="6" t="s">
        <v>2826</v>
      </c>
      <c r="E1509" s="6"/>
      <c r="F1509" s="6" t="b">
        <f t="shared" si="1"/>
        <v>0</v>
      </c>
    </row>
    <row r="1510" ht="15.75" customHeight="1">
      <c r="A1510" s="3" t="s">
        <v>2829</v>
      </c>
      <c r="B1510" s="4"/>
      <c r="C1510" s="5"/>
      <c r="D1510" s="5"/>
      <c r="E1510" s="6"/>
      <c r="F1510" s="6" t="b">
        <f t="shared" si="1"/>
        <v>0</v>
      </c>
    </row>
    <row r="1511" ht="15.75" customHeight="1">
      <c r="A1511" s="10" t="s">
        <v>2830</v>
      </c>
      <c r="B1511" s="11"/>
      <c r="C1511" s="5"/>
      <c r="D1511" s="8"/>
      <c r="E1511" s="6"/>
      <c r="F1511" s="6" t="b">
        <f t="shared" si="1"/>
        <v>0</v>
      </c>
    </row>
    <row r="1512" ht="15.75" customHeight="1">
      <c r="A1512" s="7" t="s">
        <v>2831</v>
      </c>
      <c r="B1512" s="4" t="s">
        <v>2832</v>
      </c>
      <c r="C1512" s="5" t="s">
        <v>6</v>
      </c>
      <c r="D1512" s="6" t="s">
        <v>650</v>
      </c>
      <c r="E1512" s="6"/>
      <c r="F1512" s="6" t="b">
        <f t="shared" si="1"/>
        <v>0</v>
      </c>
    </row>
    <row r="1513" ht="15.75" customHeight="1">
      <c r="A1513" s="7" t="s">
        <v>2833</v>
      </c>
      <c r="B1513" s="11"/>
      <c r="C1513" s="5"/>
      <c r="D1513" s="5"/>
      <c r="E1513" s="6"/>
      <c r="F1513" s="6" t="b">
        <f t="shared" si="1"/>
        <v>0</v>
      </c>
    </row>
    <row r="1514" ht="15.75" customHeight="1">
      <c r="A1514" s="7" t="s">
        <v>2834</v>
      </c>
      <c r="B1514" s="11"/>
      <c r="C1514" s="5"/>
      <c r="D1514" s="5"/>
      <c r="E1514" s="6"/>
      <c r="F1514" s="6" t="b">
        <f t="shared" si="1"/>
        <v>0</v>
      </c>
    </row>
    <row r="1515" ht="15.75" customHeight="1">
      <c r="A1515" s="7" t="s">
        <v>2835</v>
      </c>
      <c r="B1515" s="11"/>
      <c r="C1515" s="5"/>
      <c r="D1515" s="5"/>
      <c r="E1515" s="6"/>
      <c r="F1515" s="6" t="b">
        <f t="shared" si="1"/>
        <v>0</v>
      </c>
    </row>
    <row r="1516" ht="15.75" customHeight="1">
      <c r="A1516" s="7" t="s">
        <v>2836</v>
      </c>
      <c r="B1516" s="4" t="s">
        <v>2837</v>
      </c>
      <c r="C1516" s="5" t="s">
        <v>6</v>
      </c>
      <c r="D1516" s="6" t="s">
        <v>1741</v>
      </c>
      <c r="E1516" s="6"/>
      <c r="F1516" s="6" t="b">
        <f t="shared" si="1"/>
        <v>0</v>
      </c>
    </row>
    <row r="1517" ht="15.75" customHeight="1">
      <c r="A1517" s="7" t="s">
        <v>2838</v>
      </c>
      <c r="B1517" s="4" t="s">
        <v>2839</v>
      </c>
      <c r="C1517" s="5" t="s">
        <v>6</v>
      </c>
      <c r="D1517" s="6" t="s">
        <v>1741</v>
      </c>
      <c r="E1517" s="6"/>
      <c r="F1517" s="6" t="b">
        <f t="shared" si="1"/>
        <v>0</v>
      </c>
    </row>
    <row r="1518" ht="15.75" customHeight="1">
      <c r="A1518" s="7" t="s">
        <v>2840</v>
      </c>
      <c r="B1518" s="4" t="s">
        <v>2841</v>
      </c>
      <c r="C1518" s="5" t="s">
        <v>6</v>
      </c>
      <c r="D1518" s="6" t="s">
        <v>1741</v>
      </c>
      <c r="E1518" s="6"/>
      <c r="F1518" s="6" t="b">
        <f t="shared" si="1"/>
        <v>0</v>
      </c>
    </row>
    <row r="1519" ht="15.75" customHeight="1">
      <c r="A1519" s="7" t="s">
        <v>2842</v>
      </c>
      <c r="B1519" s="4" t="s">
        <v>2843</v>
      </c>
      <c r="C1519" s="5" t="s">
        <v>6</v>
      </c>
      <c r="D1519" s="6" t="s">
        <v>1741</v>
      </c>
      <c r="E1519" s="6"/>
      <c r="F1519" s="6" t="b">
        <f t="shared" si="1"/>
        <v>0</v>
      </c>
    </row>
    <row r="1520" ht="15.75" customHeight="1">
      <c r="A1520" s="3" t="s">
        <v>2844</v>
      </c>
      <c r="B1520" s="4"/>
      <c r="C1520" s="5"/>
      <c r="D1520" s="5"/>
      <c r="E1520" s="6"/>
      <c r="F1520" s="6" t="b">
        <f t="shared" si="1"/>
        <v>0</v>
      </c>
    </row>
    <row r="1521" ht="15.75" customHeight="1">
      <c r="A1521" s="3" t="s">
        <v>2845</v>
      </c>
      <c r="B1521" s="4"/>
      <c r="C1521" s="5"/>
      <c r="D1521" s="5"/>
      <c r="E1521" s="6"/>
      <c r="F1521" s="6" t="b">
        <f t="shared" si="1"/>
        <v>0</v>
      </c>
    </row>
    <row r="1522" ht="15.75" customHeight="1">
      <c r="A1522" s="7" t="s">
        <v>2846</v>
      </c>
      <c r="B1522" s="4" t="s">
        <v>2847</v>
      </c>
      <c r="C1522" s="5" t="s">
        <v>6</v>
      </c>
      <c r="D1522" s="6" t="s">
        <v>2848</v>
      </c>
      <c r="E1522" s="6"/>
      <c r="F1522" s="6" t="b">
        <f t="shared" si="1"/>
        <v>0</v>
      </c>
    </row>
    <row r="1523" ht="15.75" customHeight="1">
      <c r="A1523" s="3" t="s">
        <v>2849</v>
      </c>
      <c r="B1523" s="4"/>
      <c r="C1523" s="5"/>
      <c r="D1523" s="5"/>
      <c r="E1523" s="6"/>
      <c r="F1523" s="6" t="b">
        <f t="shared" si="1"/>
        <v>0</v>
      </c>
    </row>
    <row r="1524" ht="15.75" customHeight="1">
      <c r="A1524" s="3" t="s">
        <v>2850</v>
      </c>
      <c r="B1524" s="4"/>
      <c r="C1524" s="5"/>
      <c r="D1524" s="5"/>
      <c r="E1524" s="6"/>
      <c r="F1524" s="6" t="b">
        <f t="shared" si="1"/>
        <v>0</v>
      </c>
    </row>
    <row r="1525" ht="15.75" customHeight="1">
      <c r="A1525" s="7" t="s">
        <v>2851</v>
      </c>
      <c r="B1525" s="4" t="s">
        <v>2852</v>
      </c>
      <c r="C1525" s="5" t="s">
        <v>229</v>
      </c>
      <c r="D1525" s="6" t="s">
        <v>2853</v>
      </c>
      <c r="E1525" s="6"/>
      <c r="F1525" s="6" t="b">
        <f t="shared" si="1"/>
        <v>0</v>
      </c>
    </row>
    <row r="1526" ht="15.75" customHeight="1">
      <c r="A1526" s="10" t="s">
        <v>2854</v>
      </c>
      <c r="B1526" s="11"/>
      <c r="C1526" s="5"/>
      <c r="D1526" s="8"/>
      <c r="E1526" s="6"/>
      <c r="F1526" s="6" t="b">
        <f t="shared" si="1"/>
        <v>0</v>
      </c>
    </row>
    <row r="1527" ht="15.75" customHeight="1">
      <c r="A1527" s="7" t="s">
        <v>2855</v>
      </c>
      <c r="B1527" s="4" t="s">
        <v>2856</v>
      </c>
      <c r="C1527" s="5" t="s">
        <v>6</v>
      </c>
      <c r="D1527" s="6" t="s">
        <v>2857</v>
      </c>
      <c r="E1527" s="6"/>
      <c r="F1527" s="6" t="b">
        <f t="shared" si="1"/>
        <v>0</v>
      </c>
    </row>
    <row r="1528" ht="15.75" customHeight="1">
      <c r="A1528" s="7" t="s">
        <v>2858</v>
      </c>
      <c r="B1528" s="4" t="s">
        <v>2859</v>
      </c>
      <c r="C1528" s="5" t="s">
        <v>16</v>
      </c>
      <c r="D1528" s="6" t="s">
        <v>2860</v>
      </c>
      <c r="E1528" s="6"/>
      <c r="F1528" s="6" t="b">
        <f t="shared" si="1"/>
        <v>0</v>
      </c>
    </row>
    <row r="1529" ht="15.75" customHeight="1">
      <c r="A1529" s="10" t="s">
        <v>2861</v>
      </c>
      <c r="B1529" s="11"/>
      <c r="C1529" s="5"/>
      <c r="D1529" s="8"/>
      <c r="E1529" s="6"/>
      <c r="F1529" s="6" t="b">
        <f t="shared" si="1"/>
        <v>0</v>
      </c>
    </row>
    <row r="1530" ht="15.75" customHeight="1">
      <c r="A1530" s="10" t="s">
        <v>2862</v>
      </c>
      <c r="B1530" s="11"/>
      <c r="C1530" s="5"/>
      <c r="D1530" s="8"/>
      <c r="E1530" s="6"/>
      <c r="F1530" s="6" t="b">
        <f t="shared" si="1"/>
        <v>0</v>
      </c>
    </row>
    <row r="1531" ht="15.75" customHeight="1">
      <c r="A1531" s="10" t="s">
        <v>2863</v>
      </c>
      <c r="B1531" s="11"/>
      <c r="C1531" s="5"/>
      <c r="D1531" s="8"/>
      <c r="E1531" s="6"/>
      <c r="F1531" s="6" t="b">
        <f t="shared" si="1"/>
        <v>0</v>
      </c>
    </row>
    <row r="1532" ht="15.75" customHeight="1">
      <c r="A1532" s="7" t="s">
        <v>2864</v>
      </c>
      <c r="B1532" s="11"/>
      <c r="C1532" s="5"/>
      <c r="D1532" s="8"/>
      <c r="E1532" s="6"/>
      <c r="F1532" s="6" t="b">
        <f t="shared" si="1"/>
        <v>0</v>
      </c>
    </row>
    <row r="1533" ht="15.75" customHeight="1">
      <c r="A1533" s="7" t="s">
        <v>2865</v>
      </c>
      <c r="B1533" s="4" t="s">
        <v>2866</v>
      </c>
      <c r="C1533" s="5" t="s">
        <v>16</v>
      </c>
      <c r="D1533" s="6" t="s">
        <v>2867</v>
      </c>
      <c r="E1533" s="6"/>
      <c r="F1533" s="6" t="b">
        <f t="shared" si="1"/>
        <v>0</v>
      </c>
    </row>
    <row r="1534" ht="15.75" customHeight="1">
      <c r="A1534" s="3" t="s">
        <v>2868</v>
      </c>
      <c r="B1534" s="4"/>
      <c r="C1534" s="5"/>
      <c r="D1534" s="5"/>
      <c r="E1534" s="6"/>
      <c r="F1534" s="6" t="b">
        <f t="shared" si="1"/>
        <v>0</v>
      </c>
    </row>
    <row r="1535" ht="15.75" customHeight="1">
      <c r="A1535" s="3" t="s">
        <v>2869</v>
      </c>
      <c r="B1535" s="4"/>
      <c r="C1535" s="5"/>
      <c r="D1535" s="5"/>
      <c r="E1535" s="6"/>
      <c r="F1535" s="6" t="b">
        <f t="shared" si="1"/>
        <v>0</v>
      </c>
    </row>
    <row r="1536" ht="15.75" customHeight="1">
      <c r="A1536" s="7" t="s">
        <v>2870</v>
      </c>
      <c r="B1536" s="4" t="s">
        <v>2871</v>
      </c>
      <c r="C1536" s="5" t="s">
        <v>6</v>
      </c>
      <c r="D1536" s="6" t="s">
        <v>2872</v>
      </c>
      <c r="E1536" s="6"/>
      <c r="F1536" s="6" t="b">
        <f t="shared" si="1"/>
        <v>0</v>
      </c>
    </row>
    <row r="1537" ht="15.75" customHeight="1">
      <c r="A1537" s="7" t="s">
        <v>2873</v>
      </c>
      <c r="B1537" s="4" t="s">
        <v>2874</v>
      </c>
      <c r="C1537" s="5" t="s">
        <v>6</v>
      </c>
      <c r="D1537" s="6" t="s">
        <v>2875</v>
      </c>
      <c r="E1537" s="6"/>
      <c r="F1537" s="6" t="b">
        <f t="shared" si="1"/>
        <v>0</v>
      </c>
    </row>
    <row r="1538" ht="15.75" customHeight="1">
      <c r="A1538" s="7" t="s">
        <v>2876</v>
      </c>
      <c r="B1538" s="4" t="s">
        <v>2877</v>
      </c>
      <c r="C1538" s="5" t="s">
        <v>6</v>
      </c>
      <c r="D1538" s="6" t="s">
        <v>1060</v>
      </c>
      <c r="E1538" s="6"/>
      <c r="F1538" s="6" t="b">
        <f t="shared" si="1"/>
        <v>0</v>
      </c>
    </row>
    <row r="1539" ht="15.75" customHeight="1">
      <c r="A1539" s="3" t="s">
        <v>2878</v>
      </c>
      <c r="B1539" s="4"/>
      <c r="C1539" s="5"/>
      <c r="D1539" s="5"/>
      <c r="E1539" s="6"/>
      <c r="F1539" s="6" t="b">
        <f t="shared" si="1"/>
        <v>0</v>
      </c>
    </row>
    <row r="1540" ht="15.75" customHeight="1">
      <c r="A1540" s="7" t="s">
        <v>2879</v>
      </c>
      <c r="B1540" s="4" t="s">
        <v>2880</v>
      </c>
      <c r="C1540" s="5" t="s">
        <v>6</v>
      </c>
      <c r="D1540" s="6" t="s">
        <v>1060</v>
      </c>
      <c r="E1540" s="6"/>
      <c r="F1540" s="6" t="b">
        <f t="shared" si="1"/>
        <v>0</v>
      </c>
    </row>
    <row r="1541" ht="15.75" customHeight="1">
      <c r="A1541" s="3" t="s">
        <v>2881</v>
      </c>
      <c r="B1541" s="4"/>
      <c r="C1541" s="5"/>
      <c r="D1541" s="5"/>
      <c r="E1541" s="6"/>
      <c r="F1541" s="6" t="b">
        <f t="shared" si="1"/>
        <v>0</v>
      </c>
    </row>
    <row r="1542" ht="15.75" customHeight="1">
      <c r="A1542" s="7" t="s">
        <v>2882</v>
      </c>
      <c r="B1542" s="4" t="s">
        <v>2883</v>
      </c>
      <c r="C1542" s="5" t="s">
        <v>16</v>
      </c>
      <c r="D1542" s="6" t="s">
        <v>2884</v>
      </c>
      <c r="E1542" s="6"/>
      <c r="F1542" s="6" t="b">
        <f t="shared" si="1"/>
        <v>0</v>
      </c>
    </row>
    <row r="1543" ht="15.75" customHeight="1">
      <c r="A1543" s="7" t="s">
        <v>2885</v>
      </c>
      <c r="B1543" s="4" t="s">
        <v>2886</v>
      </c>
      <c r="C1543" s="5" t="s">
        <v>6</v>
      </c>
      <c r="D1543" s="6" t="s">
        <v>2887</v>
      </c>
      <c r="E1543" s="6"/>
      <c r="F1543" s="6" t="b">
        <f t="shared" si="1"/>
        <v>0</v>
      </c>
    </row>
    <row r="1544" ht="15.75" customHeight="1">
      <c r="A1544" s="3" t="s">
        <v>2888</v>
      </c>
      <c r="B1544" s="4"/>
      <c r="C1544" s="5"/>
      <c r="D1544" s="5"/>
      <c r="E1544" s="6"/>
      <c r="F1544" s="6" t="b">
        <f t="shared" si="1"/>
        <v>0</v>
      </c>
    </row>
    <row r="1545" ht="15.75" customHeight="1">
      <c r="A1545" s="7" t="s">
        <v>2889</v>
      </c>
      <c r="B1545" s="4" t="s">
        <v>2890</v>
      </c>
      <c r="C1545" s="5" t="s">
        <v>16</v>
      </c>
      <c r="D1545" s="6" t="s">
        <v>2891</v>
      </c>
      <c r="E1545" s="6"/>
      <c r="F1545" s="6" t="b">
        <f t="shared" si="1"/>
        <v>0</v>
      </c>
    </row>
    <row r="1546" ht="15.75" customHeight="1">
      <c r="A1546" s="7" t="s">
        <v>2892</v>
      </c>
      <c r="B1546" s="4" t="s">
        <v>2893</v>
      </c>
      <c r="C1546" s="5" t="s">
        <v>6</v>
      </c>
      <c r="D1546" s="6" t="s">
        <v>2894</v>
      </c>
      <c r="E1546" s="6"/>
      <c r="F1546" s="6" t="b">
        <f t="shared" si="1"/>
        <v>0</v>
      </c>
    </row>
    <row r="1547" ht="15.75" customHeight="1">
      <c r="A1547" s="7" t="s">
        <v>2895</v>
      </c>
      <c r="B1547" s="4" t="s">
        <v>2896</v>
      </c>
      <c r="C1547" s="5" t="s">
        <v>6</v>
      </c>
      <c r="D1547" s="6" t="s">
        <v>2897</v>
      </c>
      <c r="E1547" s="6"/>
      <c r="F1547" s="6" t="b">
        <f t="shared" si="1"/>
        <v>0</v>
      </c>
    </row>
    <row r="1548" ht="15.75" customHeight="1">
      <c r="A1548" s="7" t="s">
        <v>2898</v>
      </c>
      <c r="B1548" s="4" t="s">
        <v>2899</v>
      </c>
      <c r="C1548" s="5" t="s">
        <v>6</v>
      </c>
      <c r="D1548" s="6" t="s">
        <v>2900</v>
      </c>
      <c r="E1548" s="6"/>
      <c r="F1548" s="6" t="b">
        <f t="shared" si="1"/>
        <v>0</v>
      </c>
    </row>
    <row r="1549" ht="15.75" customHeight="1">
      <c r="A1549" s="7" t="s">
        <v>2901</v>
      </c>
      <c r="B1549" s="4" t="s">
        <v>2902</v>
      </c>
      <c r="C1549" s="5" t="s">
        <v>6</v>
      </c>
      <c r="D1549" s="6" t="s">
        <v>2903</v>
      </c>
      <c r="E1549" s="6"/>
      <c r="F1549" s="6" t="b">
        <f t="shared" si="1"/>
        <v>0</v>
      </c>
    </row>
    <row r="1550" ht="15.75" customHeight="1">
      <c r="A1550" s="7" t="s">
        <v>2904</v>
      </c>
      <c r="B1550" s="4" t="s">
        <v>2905</v>
      </c>
      <c r="C1550" s="5" t="s">
        <v>6</v>
      </c>
      <c r="D1550" s="6" t="s">
        <v>2579</v>
      </c>
      <c r="E1550" s="6"/>
      <c r="F1550" s="6" t="b">
        <f t="shared" si="1"/>
        <v>0</v>
      </c>
    </row>
    <row r="1551" ht="15.75" customHeight="1">
      <c r="A1551" s="7" t="s">
        <v>2906</v>
      </c>
      <c r="B1551" s="4" t="s">
        <v>2907</v>
      </c>
      <c r="C1551" s="5" t="s">
        <v>6</v>
      </c>
      <c r="D1551" s="6" t="s">
        <v>2908</v>
      </c>
      <c r="E1551" s="6"/>
      <c r="F1551" s="6" t="b">
        <f t="shared" si="1"/>
        <v>0</v>
      </c>
    </row>
    <row r="1552" ht="15.75" customHeight="1">
      <c r="A1552" s="3" t="s">
        <v>2909</v>
      </c>
      <c r="B1552" s="4"/>
      <c r="C1552" s="5"/>
      <c r="D1552" s="5"/>
      <c r="E1552" s="6"/>
      <c r="F1552" s="6" t="b">
        <f t="shared" si="1"/>
        <v>0</v>
      </c>
    </row>
    <row r="1553" ht="15.75" customHeight="1">
      <c r="A1553" s="7" t="s">
        <v>2910</v>
      </c>
      <c r="B1553" s="4" t="s">
        <v>2911</v>
      </c>
      <c r="C1553" s="5" t="s">
        <v>6</v>
      </c>
      <c r="D1553" s="6" t="s">
        <v>2912</v>
      </c>
      <c r="E1553" s="6"/>
      <c r="F1553" s="6" t="b">
        <f t="shared" si="1"/>
        <v>0</v>
      </c>
    </row>
    <row r="1554" ht="15.75" customHeight="1">
      <c r="A1554" s="3" t="s">
        <v>2913</v>
      </c>
      <c r="B1554" s="4"/>
      <c r="C1554" s="5"/>
      <c r="D1554" s="5"/>
      <c r="E1554" s="6"/>
      <c r="F1554" s="6" t="b">
        <f t="shared" si="1"/>
        <v>0</v>
      </c>
    </row>
    <row r="1555" ht="15.75" customHeight="1">
      <c r="A1555" s="7" t="s">
        <v>2914</v>
      </c>
      <c r="B1555" s="4" t="s">
        <v>2915</v>
      </c>
      <c r="C1555" s="5" t="s">
        <v>6</v>
      </c>
      <c r="D1555" s="6" t="s">
        <v>2916</v>
      </c>
      <c r="E1555" s="6"/>
      <c r="F1555" s="6" t="b">
        <f t="shared" si="1"/>
        <v>0</v>
      </c>
    </row>
    <row r="1556" ht="15.75" customHeight="1">
      <c r="A1556" s="7" t="s">
        <v>2917</v>
      </c>
      <c r="B1556" s="4" t="s">
        <v>2918</v>
      </c>
      <c r="C1556" s="5" t="s">
        <v>6</v>
      </c>
      <c r="D1556" s="6" t="s">
        <v>2919</v>
      </c>
      <c r="E1556" s="6"/>
      <c r="F1556" s="6" t="b">
        <f t="shared" si="1"/>
        <v>0</v>
      </c>
    </row>
    <row r="1557" ht="15.75" customHeight="1">
      <c r="A1557" s="3" t="s">
        <v>2920</v>
      </c>
      <c r="B1557" s="4"/>
      <c r="C1557" s="5"/>
      <c r="D1557" s="5"/>
      <c r="E1557" s="6"/>
      <c r="F1557" s="6" t="b">
        <f t="shared" si="1"/>
        <v>0</v>
      </c>
    </row>
    <row r="1558" ht="15.75" customHeight="1">
      <c r="A1558" s="10" t="s">
        <v>2921</v>
      </c>
      <c r="B1558" s="11"/>
      <c r="C1558" s="5"/>
      <c r="D1558" s="8"/>
      <c r="E1558" s="6"/>
      <c r="F1558" s="6" t="b">
        <f t="shared" si="1"/>
        <v>0</v>
      </c>
    </row>
    <row r="1559" ht="15.75" customHeight="1">
      <c r="A1559" s="3" t="s">
        <v>2922</v>
      </c>
      <c r="B1559" s="4"/>
      <c r="C1559" s="5"/>
      <c r="D1559" s="5"/>
      <c r="E1559" s="6"/>
      <c r="F1559" s="6" t="b">
        <f t="shared" si="1"/>
        <v>0</v>
      </c>
    </row>
    <row r="1560" ht="15.75" customHeight="1">
      <c r="A1560" s="3" t="s">
        <v>2923</v>
      </c>
      <c r="B1560" s="4"/>
      <c r="C1560" s="5"/>
      <c r="D1560" s="5"/>
      <c r="E1560" s="6"/>
      <c r="F1560" s="6" t="b">
        <f t="shared" si="1"/>
        <v>0</v>
      </c>
    </row>
    <row r="1561" ht="15.75" customHeight="1">
      <c r="A1561" s="3" t="s">
        <v>2924</v>
      </c>
      <c r="B1561" s="4"/>
      <c r="C1561" s="5"/>
      <c r="D1561" s="5"/>
      <c r="E1561" s="6"/>
      <c r="F1561" s="6" t="b">
        <f t="shared" si="1"/>
        <v>0</v>
      </c>
    </row>
    <row r="1562" ht="15.75" customHeight="1">
      <c r="A1562" s="3" t="s">
        <v>2925</v>
      </c>
      <c r="B1562" s="4"/>
      <c r="C1562" s="5"/>
      <c r="D1562" s="5"/>
      <c r="E1562" s="6"/>
      <c r="F1562" s="6" t="b">
        <f t="shared" si="1"/>
        <v>0</v>
      </c>
    </row>
    <row r="1563" ht="15.75" customHeight="1">
      <c r="A1563" s="3" t="s">
        <v>2926</v>
      </c>
      <c r="B1563" s="4"/>
      <c r="C1563" s="5"/>
      <c r="D1563" s="5"/>
      <c r="E1563" s="6"/>
      <c r="F1563" s="6" t="b">
        <f t="shared" si="1"/>
        <v>0</v>
      </c>
    </row>
    <row r="1564" ht="15.75" customHeight="1">
      <c r="A1564" s="3" t="s">
        <v>2927</v>
      </c>
      <c r="B1564" s="4"/>
      <c r="C1564" s="5"/>
      <c r="D1564" s="5"/>
      <c r="E1564" s="6"/>
      <c r="F1564" s="6" t="b">
        <f t="shared" si="1"/>
        <v>0</v>
      </c>
    </row>
    <row r="1565" ht="15.75" customHeight="1">
      <c r="A1565" s="3" t="s">
        <v>2928</v>
      </c>
      <c r="B1565" s="4"/>
      <c r="C1565" s="5"/>
      <c r="D1565" s="5"/>
      <c r="E1565" s="6"/>
      <c r="F1565" s="6" t="b">
        <f t="shared" si="1"/>
        <v>0</v>
      </c>
    </row>
    <row r="1566" ht="15.75" customHeight="1">
      <c r="A1566" s="3" t="s">
        <v>2929</v>
      </c>
      <c r="B1566" s="4"/>
      <c r="C1566" s="5"/>
      <c r="D1566" s="5"/>
      <c r="E1566" s="6"/>
      <c r="F1566" s="6" t="b">
        <f t="shared" si="1"/>
        <v>0</v>
      </c>
    </row>
    <row r="1567" ht="15.75" customHeight="1">
      <c r="A1567" s="7" t="s">
        <v>2930</v>
      </c>
      <c r="B1567" s="4" t="s">
        <v>2931</v>
      </c>
      <c r="C1567" s="5" t="s">
        <v>6</v>
      </c>
      <c r="D1567" s="6" t="s">
        <v>2141</v>
      </c>
      <c r="E1567" s="6"/>
      <c r="F1567" s="6" t="b">
        <f t="shared" si="1"/>
        <v>0</v>
      </c>
    </row>
    <row r="1568" ht="15.75" customHeight="1">
      <c r="A1568" s="3" t="s">
        <v>2932</v>
      </c>
      <c r="B1568" s="4"/>
      <c r="C1568" s="5"/>
      <c r="D1568" s="5"/>
      <c r="E1568" s="6"/>
      <c r="F1568" s="6" t="b">
        <f t="shared" si="1"/>
        <v>0</v>
      </c>
    </row>
    <row r="1569" ht="15.75" customHeight="1">
      <c r="A1569" s="3" t="s">
        <v>2933</v>
      </c>
      <c r="B1569" s="4"/>
      <c r="C1569" s="5"/>
      <c r="D1569" s="5"/>
      <c r="E1569" s="6"/>
      <c r="F1569" s="6" t="b">
        <f t="shared" si="1"/>
        <v>0</v>
      </c>
    </row>
    <row r="1570" ht="15.75" customHeight="1">
      <c r="A1570" s="10" t="s">
        <v>2934</v>
      </c>
      <c r="B1570" s="11"/>
      <c r="C1570" s="5"/>
      <c r="D1570" s="8"/>
      <c r="E1570" s="6"/>
      <c r="F1570" s="6" t="b">
        <f t="shared" si="1"/>
        <v>0</v>
      </c>
    </row>
    <row r="1571" ht="15.75" customHeight="1">
      <c r="A1571" s="3" t="s">
        <v>2935</v>
      </c>
      <c r="B1571" s="4"/>
      <c r="C1571" s="5"/>
      <c r="D1571" s="5"/>
      <c r="E1571" s="6"/>
      <c r="F1571" s="6" t="b">
        <f t="shared" si="1"/>
        <v>0</v>
      </c>
    </row>
    <row r="1572" ht="15.75" customHeight="1">
      <c r="A1572" s="3" t="s">
        <v>2936</v>
      </c>
      <c r="B1572" s="4"/>
      <c r="C1572" s="5"/>
      <c r="D1572" s="5"/>
      <c r="E1572" s="6"/>
      <c r="F1572" s="6" t="b">
        <f t="shared" si="1"/>
        <v>0</v>
      </c>
    </row>
    <row r="1573" ht="15.75" customHeight="1">
      <c r="A1573" s="10" t="s">
        <v>2937</v>
      </c>
      <c r="B1573" s="11"/>
      <c r="C1573" s="5"/>
      <c r="D1573" s="8"/>
      <c r="E1573" s="6"/>
      <c r="F1573" s="6" t="b">
        <f t="shared" si="1"/>
        <v>0</v>
      </c>
    </row>
    <row r="1574" ht="15.75" customHeight="1">
      <c r="A1574" s="10" t="s">
        <v>2938</v>
      </c>
      <c r="B1574" s="11"/>
      <c r="C1574" s="5"/>
      <c r="D1574" s="8"/>
      <c r="E1574" s="6"/>
      <c r="F1574" s="6" t="b">
        <f t="shared" si="1"/>
        <v>0</v>
      </c>
    </row>
    <row r="1575" ht="15.75" customHeight="1">
      <c r="A1575" s="7" t="s">
        <v>2939</v>
      </c>
      <c r="B1575" s="9" t="s">
        <v>2940</v>
      </c>
      <c r="C1575" s="5" t="s">
        <v>6</v>
      </c>
      <c r="D1575" s="6" t="s">
        <v>2941</v>
      </c>
      <c r="E1575" s="6"/>
      <c r="F1575" s="6" t="b">
        <f t="shared" si="1"/>
        <v>0</v>
      </c>
    </row>
    <row r="1576" ht="15.75" customHeight="1">
      <c r="A1576" s="3" t="s">
        <v>2942</v>
      </c>
      <c r="B1576" s="4"/>
      <c r="C1576" s="5"/>
      <c r="D1576" s="5"/>
      <c r="E1576" s="6"/>
      <c r="F1576" s="6" t="b">
        <f t="shared" si="1"/>
        <v>0</v>
      </c>
    </row>
    <row r="1577" ht="15.75" customHeight="1">
      <c r="A1577" s="7" t="s">
        <v>2943</v>
      </c>
      <c r="B1577" s="4" t="s">
        <v>2944</v>
      </c>
      <c r="C1577" s="5" t="s">
        <v>6</v>
      </c>
      <c r="D1577" s="6" t="s">
        <v>2945</v>
      </c>
      <c r="E1577" s="6"/>
      <c r="F1577" s="6" t="b">
        <f t="shared" si="1"/>
        <v>0</v>
      </c>
    </row>
    <row r="1578" ht="15.75" customHeight="1">
      <c r="A1578" s="7" t="s">
        <v>2946</v>
      </c>
      <c r="B1578" s="4" t="s">
        <v>2947</v>
      </c>
      <c r="C1578" s="5" t="s">
        <v>6</v>
      </c>
      <c r="D1578" s="6" t="s">
        <v>2632</v>
      </c>
      <c r="E1578" s="6"/>
      <c r="F1578" s="6" t="b">
        <f t="shared" si="1"/>
        <v>0</v>
      </c>
    </row>
    <row r="1579" ht="15.75" customHeight="1">
      <c r="A1579" s="7" t="s">
        <v>2948</v>
      </c>
      <c r="B1579" s="4" t="s">
        <v>2949</v>
      </c>
      <c r="C1579" s="5" t="s">
        <v>16</v>
      </c>
      <c r="D1579" s="6" t="s">
        <v>2950</v>
      </c>
      <c r="E1579" s="6"/>
      <c r="F1579" s="6" t="b">
        <f t="shared" si="1"/>
        <v>0</v>
      </c>
    </row>
    <row r="1580" ht="15.75" customHeight="1">
      <c r="A1580" s="3" t="s">
        <v>2951</v>
      </c>
      <c r="B1580" s="4"/>
      <c r="C1580" s="5"/>
      <c r="D1580" s="5"/>
      <c r="E1580" s="6"/>
      <c r="F1580" s="6" t="b">
        <f t="shared" si="1"/>
        <v>0</v>
      </c>
    </row>
    <row r="1581" ht="15.75" customHeight="1">
      <c r="A1581" s="7" t="s">
        <v>2952</v>
      </c>
      <c r="B1581" s="4" t="s">
        <v>2953</v>
      </c>
      <c r="C1581" s="5" t="s">
        <v>16</v>
      </c>
      <c r="D1581" s="6" t="s">
        <v>2954</v>
      </c>
      <c r="E1581" s="6"/>
      <c r="F1581" s="6" t="b">
        <f t="shared" si="1"/>
        <v>0</v>
      </c>
    </row>
    <row r="1582" ht="15.75" customHeight="1">
      <c r="A1582" s="7" t="s">
        <v>2955</v>
      </c>
      <c r="B1582" s="4" t="s">
        <v>2956</v>
      </c>
      <c r="C1582" s="5" t="s">
        <v>16</v>
      </c>
      <c r="D1582" s="6" t="s">
        <v>2957</v>
      </c>
      <c r="E1582" s="6"/>
      <c r="F1582" s="6" t="b">
        <f t="shared" si="1"/>
        <v>0</v>
      </c>
    </row>
    <row r="1583" ht="15.75" customHeight="1">
      <c r="A1583" s="7" t="s">
        <v>2958</v>
      </c>
      <c r="B1583" s="4" t="s">
        <v>2959</v>
      </c>
      <c r="C1583" s="5" t="s">
        <v>16</v>
      </c>
      <c r="D1583" s="6" t="s">
        <v>64</v>
      </c>
      <c r="E1583" s="6"/>
      <c r="F1583" s="6" t="b">
        <f t="shared" si="1"/>
        <v>0</v>
      </c>
    </row>
    <row r="1584" ht="15.75" customHeight="1">
      <c r="A1584" s="7" t="s">
        <v>2960</v>
      </c>
      <c r="B1584" s="4" t="s">
        <v>1062</v>
      </c>
      <c r="C1584" s="5" t="s">
        <v>16</v>
      </c>
      <c r="D1584" s="6" t="s">
        <v>64</v>
      </c>
      <c r="E1584" s="6"/>
      <c r="F1584" s="6" t="b">
        <f t="shared" si="1"/>
        <v>0</v>
      </c>
    </row>
    <row r="1585" ht="15.75" customHeight="1">
      <c r="A1585" s="7" t="s">
        <v>2961</v>
      </c>
      <c r="B1585" s="4" t="s">
        <v>2962</v>
      </c>
      <c r="C1585" s="5" t="s">
        <v>16</v>
      </c>
      <c r="D1585" s="6" t="s">
        <v>2963</v>
      </c>
      <c r="E1585" s="6"/>
      <c r="F1585" s="6" t="b">
        <f t="shared" si="1"/>
        <v>0</v>
      </c>
    </row>
    <row r="1586" ht="15.75" customHeight="1">
      <c r="A1586" s="7" t="s">
        <v>2964</v>
      </c>
      <c r="B1586" s="4" t="s">
        <v>2965</v>
      </c>
      <c r="C1586" s="5" t="s">
        <v>16</v>
      </c>
      <c r="D1586" s="6" t="s">
        <v>2966</v>
      </c>
      <c r="E1586" s="6"/>
      <c r="F1586" s="6" t="b">
        <f t="shared" si="1"/>
        <v>0</v>
      </c>
    </row>
    <row r="1587" ht="15.75" customHeight="1">
      <c r="A1587" s="7" t="s">
        <v>2967</v>
      </c>
      <c r="B1587" s="4" t="s">
        <v>2968</v>
      </c>
      <c r="C1587" s="5" t="s">
        <v>16</v>
      </c>
      <c r="D1587" s="6" t="s">
        <v>2969</v>
      </c>
      <c r="E1587" s="6"/>
      <c r="F1587" s="6" t="b">
        <f t="shared" si="1"/>
        <v>0</v>
      </c>
    </row>
    <row r="1588" ht="15.75" customHeight="1">
      <c r="A1588" s="7" t="s">
        <v>2970</v>
      </c>
      <c r="B1588" s="4" t="s">
        <v>2971</v>
      </c>
      <c r="C1588" s="5" t="s">
        <v>16</v>
      </c>
      <c r="D1588" s="6" t="s">
        <v>2972</v>
      </c>
      <c r="E1588" s="6"/>
      <c r="F1588" s="6" t="b">
        <f t="shared" si="1"/>
        <v>0</v>
      </c>
    </row>
    <row r="1589" ht="15.75" customHeight="1">
      <c r="A1589" s="7" t="s">
        <v>2973</v>
      </c>
      <c r="B1589" s="4" t="s">
        <v>2974</v>
      </c>
      <c r="C1589" s="5" t="s">
        <v>16</v>
      </c>
      <c r="D1589" s="6" t="s">
        <v>2975</v>
      </c>
      <c r="E1589" s="6"/>
      <c r="F1589" s="6" t="b">
        <f t="shared" si="1"/>
        <v>0</v>
      </c>
    </row>
    <row r="1590" ht="15.75" customHeight="1">
      <c r="A1590" s="7" t="s">
        <v>2976</v>
      </c>
      <c r="B1590" s="4" t="s">
        <v>2977</v>
      </c>
      <c r="C1590" s="5" t="s">
        <v>16</v>
      </c>
      <c r="D1590" s="6" t="s">
        <v>2978</v>
      </c>
      <c r="E1590" s="6"/>
      <c r="F1590" s="6" t="b">
        <f t="shared" si="1"/>
        <v>0</v>
      </c>
    </row>
    <row r="1591" ht="15.75" customHeight="1">
      <c r="A1591" s="7" t="s">
        <v>2979</v>
      </c>
      <c r="B1591" s="4" t="s">
        <v>2980</v>
      </c>
      <c r="C1591" s="5" t="s">
        <v>16</v>
      </c>
      <c r="D1591" s="6" t="s">
        <v>2981</v>
      </c>
      <c r="E1591" s="6"/>
      <c r="F1591" s="6" t="b">
        <f t="shared" si="1"/>
        <v>0</v>
      </c>
    </row>
    <row r="1592" ht="16.5" customHeight="1">
      <c r="A1592" s="3" t="s">
        <v>2982</v>
      </c>
      <c r="B1592" s="4"/>
      <c r="C1592" s="5"/>
      <c r="D1592" s="5"/>
      <c r="E1592" s="6"/>
      <c r="F1592" s="6" t="b">
        <f t="shared" si="1"/>
        <v>0</v>
      </c>
    </row>
    <row r="1593" ht="15.75" customHeight="1">
      <c r="A1593" s="3" t="s">
        <v>2983</v>
      </c>
      <c r="B1593" s="4"/>
      <c r="C1593" s="5"/>
      <c r="D1593" s="5"/>
      <c r="E1593" s="6"/>
      <c r="F1593" s="6" t="b">
        <f t="shared" si="1"/>
        <v>0</v>
      </c>
    </row>
    <row r="1594" ht="15.75" customHeight="1">
      <c r="A1594" s="7" t="s">
        <v>2984</v>
      </c>
      <c r="B1594" s="9" t="s">
        <v>2985</v>
      </c>
      <c r="C1594" s="5" t="s">
        <v>6</v>
      </c>
      <c r="D1594" s="6" t="s">
        <v>2986</v>
      </c>
      <c r="E1594" s="6"/>
      <c r="F1594" s="6" t="b">
        <f t="shared" si="1"/>
        <v>0</v>
      </c>
    </row>
    <row r="1595" ht="15.75" customHeight="1">
      <c r="A1595" s="3" t="s">
        <v>2987</v>
      </c>
      <c r="B1595" s="4"/>
      <c r="C1595" s="5"/>
      <c r="D1595" s="5"/>
      <c r="E1595" s="6"/>
      <c r="F1595" s="6" t="b">
        <f t="shared" si="1"/>
        <v>0</v>
      </c>
    </row>
    <row r="1596" ht="15.75" customHeight="1">
      <c r="A1596" s="3" t="s">
        <v>2988</v>
      </c>
      <c r="B1596" s="4"/>
      <c r="C1596" s="5"/>
      <c r="D1596" s="5"/>
      <c r="E1596" s="6"/>
      <c r="F1596" s="6" t="b">
        <f t="shared" si="1"/>
        <v>0</v>
      </c>
    </row>
    <row r="1597" ht="15.75" customHeight="1">
      <c r="A1597" s="3" t="s">
        <v>2989</v>
      </c>
      <c r="B1597" s="4"/>
      <c r="C1597" s="5"/>
      <c r="D1597" s="5"/>
      <c r="E1597" s="6"/>
      <c r="F1597" s="6" t="b">
        <f t="shared" si="1"/>
        <v>0</v>
      </c>
    </row>
    <row r="1598" ht="15.75" customHeight="1">
      <c r="A1598" s="3" t="s">
        <v>2990</v>
      </c>
      <c r="B1598" s="4"/>
      <c r="C1598" s="5"/>
      <c r="D1598" s="5"/>
      <c r="E1598" s="6"/>
      <c r="F1598" s="6" t="b">
        <f t="shared" si="1"/>
        <v>0</v>
      </c>
    </row>
    <row r="1599" ht="15.75" customHeight="1">
      <c r="A1599" s="3" t="s">
        <v>2991</v>
      </c>
      <c r="B1599" s="4"/>
      <c r="C1599" s="5"/>
      <c r="D1599" s="5"/>
      <c r="E1599" s="6"/>
      <c r="F1599" s="6" t="b">
        <f t="shared" si="1"/>
        <v>0</v>
      </c>
    </row>
    <row r="1600" ht="15.75" customHeight="1">
      <c r="A1600" s="7" t="s">
        <v>2992</v>
      </c>
      <c r="B1600" s="4" t="s">
        <v>2993</v>
      </c>
      <c r="C1600" s="5" t="s">
        <v>6</v>
      </c>
      <c r="D1600" s="6" t="s">
        <v>2994</v>
      </c>
      <c r="E1600" s="6"/>
      <c r="F1600" s="6" t="b">
        <f t="shared" si="1"/>
        <v>0</v>
      </c>
    </row>
    <row r="1601" ht="15.75" customHeight="1">
      <c r="A1601" s="7" t="s">
        <v>2995</v>
      </c>
      <c r="B1601" s="4" t="s">
        <v>2996</v>
      </c>
      <c r="C1601" s="5" t="s">
        <v>2997</v>
      </c>
      <c r="D1601" s="6" t="s">
        <v>2998</v>
      </c>
      <c r="E1601" s="6"/>
      <c r="F1601" s="6" t="b">
        <f t="shared" si="1"/>
        <v>0</v>
      </c>
    </row>
    <row r="1602" ht="15.75" customHeight="1">
      <c r="A1602" s="3" t="s">
        <v>2999</v>
      </c>
      <c r="B1602" s="4"/>
      <c r="C1602" s="5"/>
      <c r="D1602" s="5"/>
      <c r="E1602" s="6"/>
      <c r="F1602" s="6" t="b">
        <f t="shared" si="1"/>
        <v>0</v>
      </c>
    </row>
    <row r="1603" ht="15.75" customHeight="1">
      <c r="A1603" s="3" t="s">
        <v>3000</v>
      </c>
      <c r="B1603" s="4"/>
      <c r="C1603" s="5"/>
      <c r="D1603" s="5"/>
      <c r="E1603" s="6"/>
      <c r="F1603" s="6" t="b">
        <f t="shared" si="1"/>
        <v>0</v>
      </c>
    </row>
    <row r="1604" ht="15.75" customHeight="1">
      <c r="A1604" s="7" t="s">
        <v>3001</v>
      </c>
      <c r="B1604" s="4" t="s">
        <v>3002</v>
      </c>
      <c r="C1604" s="5" t="s">
        <v>6</v>
      </c>
      <c r="D1604" s="6" t="s">
        <v>477</v>
      </c>
      <c r="E1604" s="6"/>
      <c r="F1604" s="6" t="b">
        <f t="shared" si="1"/>
        <v>0</v>
      </c>
    </row>
    <row r="1605" ht="15.75" customHeight="1">
      <c r="A1605" s="3" t="s">
        <v>3003</v>
      </c>
      <c r="B1605" s="4"/>
      <c r="C1605" s="5"/>
      <c r="D1605" s="5"/>
      <c r="E1605" s="6"/>
      <c r="F1605" s="6" t="b">
        <f t="shared" si="1"/>
        <v>0</v>
      </c>
    </row>
    <row r="1606" ht="15.75" customHeight="1">
      <c r="A1606" s="3" t="s">
        <v>3004</v>
      </c>
      <c r="B1606" s="4"/>
      <c r="C1606" s="5"/>
      <c r="D1606" s="5"/>
      <c r="E1606" s="6"/>
      <c r="F1606" s="6" t="b">
        <f t="shared" si="1"/>
        <v>0</v>
      </c>
    </row>
    <row r="1607" ht="15.75" customHeight="1">
      <c r="A1607" s="7" t="s">
        <v>3005</v>
      </c>
      <c r="B1607" s="4" t="s">
        <v>3006</v>
      </c>
      <c r="C1607" s="5" t="s">
        <v>6</v>
      </c>
      <c r="D1607" s="6" t="s">
        <v>3007</v>
      </c>
      <c r="E1607" s="6"/>
      <c r="F1607" s="6" t="b">
        <f t="shared" si="1"/>
        <v>0</v>
      </c>
    </row>
    <row r="1608" ht="15.75" customHeight="1">
      <c r="A1608" s="3" t="s">
        <v>3008</v>
      </c>
      <c r="B1608" s="4"/>
      <c r="C1608" s="5"/>
      <c r="D1608" s="5"/>
      <c r="E1608" s="6"/>
      <c r="F1608" s="6" t="b">
        <f t="shared" si="1"/>
        <v>0</v>
      </c>
    </row>
    <row r="1609" ht="15.75" customHeight="1">
      <c r="A1609" s="3" t="s">
        <v>3009</v>
      </c>
      <c r="B1609" s="4"/>
      <c r="C1609" s="5"/>
      <c r="D1609" s="5"/>
      <c r="E1609" s="6"/>
      <c r="F1609" s="6" t="b">
        <f t="shared" si="1"/>
        <v>0</v>
      </c>
    </row>
    <row r="1610" ht="15.75" customHeight="1">
      <c r="A1610" s="7" t="s">
        <v>3010</v>
      </c>
      <c r="B1610" s="4" t="s">
        <v>3011</v>
      </c>
      <c r="C1610" s="5" t="s">
        <v>6</v>
      </c>
      <c r="D1610" s="6" t="s">
        <v>3012</v>
      </c>
      <c r="E1610" s="6"/>
      <c r="F1610" s="6" t="b">
        <f t="shared" si="1"/>
        <v>0</v>
      </c>
    </row>
    <row r="1611" ht="15.75" customHeight="1">
      <c r="A1611" s="7" t="s">
        <v>3013</v>
      </c>
      <c r="B1611" s="4" t="s">
        <v>3014</v>
      </c>
      <c r="C1611" s="5" t="s">
        <v>2997</v>
      </c>
      <c r="D1611" s="6" t="s">
        <v>3015</v>
      </c>
      <c r="E1611" s="6"/>
      <c r="F1611" s="6" t="b">
        <f t="shared" si="1"/>
        <v>0</v>
      </c>
    </row>
    <row r="1612" ht="15.75" customHeight="1">
      <c r="A1612" s="7" t="s">
        <v>3016</v>
      </c>
      <c r="B1612" s="4" t="s">
        <v>3017</v>
      </c>
      <c r="C1612" s="5" t="s">
        <v>6</v>
      </c>
      <c r="D1612" s="6" t="s">
        <v>3018</v>
      </c>
      <c r="E1612" s="6"/>
      <c r="F1612" s="6" t="b">
        <f t="shared" si="1"/>
        <v>0</v>
      </c>
    </row>
    <row r="1613" ht="15.75" customHeight="1">
      <c r="A1613" s="3" t="s">
        <v>3019</v>
      </c>
      <c r="B1613" s="4"/>
      <c r="C1613" s="5"/>
      <c r="D1613" s="5"/>
      <c r="E1613" s="6"/>
      <c r="F1613" s="6" t="b">
        <f t="shared" si="1"/>
        <v>0</v>
      </c>
    </row>
    <row r="1614" ht="15.75" customHeight="1">
      <c r="A1614" s="3" t="s">
        <v>3020</v>
      </c>
      <c r="B1614" s="4"/>
      <c r="C1614" s="5"/>
      <c r="D1614" s="5"/>
      <c r="E1614" s="6"/>
      <c r="F1614" s="6" t="b">
        <f t="shared" si="1"/>
        <v>0</v>
      </c>
    </row>
    <row r="1615" ht="15.75" customHeight="1">
      <c r="A1615" s="3" t="s">
        <v>3021</v>
      </c>
      <c r="B1615" s="4"/>
      <c r="C1615" s="5"/>
      <c r="D1615" s="5"/>
      <c r="E1615" s="6"/>
      <c r="F1615" s="6" t="b">
        <f t="shared" si="1"/>
        <v>0</v>
      </c>
    </row>
    <row r="1616" ht="15.75" customHeight="1">
      <c r="A1616" s="3" t="s">
        <v>3022</v>
      </c>
      <c r="B1616" s="4"/>
      <c r="C1616" s="5"/>
      <c r="D1616" s="5"/>
      <c r="E1616" s="6"/>
      <c r="F1616" s="6" t="b">
        <f t="shared" si="1"/>
        <v>0</v>
      </c>
    </row>
    <row r="1617" ht="15.75" customHeight="1">
      <c r="A1617" s="3" t="s">
        <v>3023</v>
      </c>
      <c r="B1617" s="4"/>
      <c r="C1617" s="5"/>
      <c r="D1617" s="5"/>
      <c r="E1617" s="6"/>
      <c r="F1617" s="6" t="b">
        <f t="shared" si="1"/>
        <v>0</v>
      </c>
    </row>
    <row r="1618" ht="15.75" customHeight="1">
      <c r="A1618" s="3" t="s">
        <v>3024</v>
      </c>
      <c r="B1618" s="4"/>
      <c r="C1618" s="5"/>
      <c r="D1618" s="5"/>
      <c r="E1618" s="6"/>
      <c r="F1618" s="6" t="b">
        <f t="shared" si="1"/>
        <v>0</v>
      </c>
    </row>
    <row r="1619" ht="15.75" customHeight="1">
      <c r="A1619" s="3" t="s">
        <v>3025</v>
      </c>
      <c r="B1619" s="4"/>
      <c r="C1619" s="5"/>
      <c r="D1619" s="5"/>
      <c r="E1619" s="6"/>
      <c r="F1619" s="6" t="b">
        <f t="shared" si="1"/>
        <v>0</v>
      </c>
    </row>
    <row r="1620" ht="15.75" customHeight="1">
      <c r="A1620" s="3" t="s">
        <v>3026</v>
      </c>
      <c r="B1620" s="4"/>
      <c r="C1620" s="5"/>
      <c r="D1620" s="5"/>
      <c r="E1620" s="6"/>
      <c r="F1620" s="6" t="b">
        <f t="shared" si="1"/>
        <v>0</v>
      </c>
    </row>
    <row r="1621" ht="15.75" customHeight="1">
      <c r="A1621" s="3" t="s">
        <v>3027</v>
      </c>
      <c r="B1621" s="4"/>
      <c r="C1621" s="5"/>
      <c r="D1621" s="5"/>
      <c r="E1621" s="6"/>
      <c r="F1621" s="6" t="b">
        <f t="shared" si="1"/>
        <v>0</v>
      </c>
    </row>
    <row r="1622" ht="15.75" customHeight="1">
      <c r="A1622" s="7" t="s">
        <v>3028</v>
      </c>
      <c r="B1622" s="4" t="s">
        <v>3029</v>
      </c>
      <c r="C1622" s="5" t="s">
        <v>2997</v>
      </c>
      <c r="D1622" s="6" t="s">
        <v>3030</v>
      </c>
      <c r="E1622" s="6"/>
      <c r="F1622" s="6" t="b">
        <f t="shared" si="1"/>
        <v>0</v>
      </c>
    </row>
    <row r="1623" ht="15.75" customHeight="1">
      <c r="A1623" s="7" t="s">
        <v>3031</v>
      </c>
      <c r="B1623" s="4" t="s">
        <v>3032</v>
      </c>
      <c r="C1623" s="5" t="s">
        <v>6</v>
      </c>
      <c r="D1623" s="6" t="s">
        <v>2359</v>
      </c>
      <c r="E1623" s="6"/>
      <c r="F1623" s="6" t="b">
        <f t="shared" si="1"/>
        <v>0</v>
      </c>
    </row>
    <row r="1624" ht="15.75" customHeight="1">
      <c r="A1624" s="7" t="s">
        <v>3033</v>
      </c>
      <c r="B1624" s="4" t="s">
        <v>3034</v>
      </c>
      <c r="C1624" s="5" t="s">
        <v>6</v>
      </c>
      <c r="D1624" s="6" t="s">
        <v>3035</v>
      </c>
      <c r="E1624" s="6"/>
      <c r="F1624" s="6" t="b">
        <f t="shared" si="1"/>
        <v>0</v>
      </c>
    </row>
    <row r="1625" ht="15.75" customHeight="1">
      <c r="A1625" s="7" t="s">
        <v>3036</v>
      </c>
      <c r="B1625" s="4" t="s">
        <v>3037</v>
      </c>
      <c r="C1625" s="5" t="s">
        <v>6</v>
      </c>
      <c r="D1625" s="6" t="s">
        <v>3038</v>
      </c>
      <c r="E1625" s="6"/>
      <c r="F1625" s="6" t="b">
        <f t="shared" si="1"/>
        <v>0</v>
      </c>
    </row>
    <row r="1626" ht="15.75" customHeight="1">
      <c r="A1626" s="7" t="s">
        <v>3039</v>
      </c>
      <c r="B1626" s="4" t="s">
        <v>3040</v>
      </c>
      <c r="C1626" s="5" t="s">
        <v>6</v>
      </c>
      <c r="D1626" s="6" t="s">
        <v>3041</v>
      </c>
      <c r="E1626" s="6"/>
      <c r="F1626" s="6" t="b">
        <f t="shared" si="1"/>
        <v>0</v>
      </c>
    </row>
    <row r="1627" ht="15.75" customHeight="1">
      <c r="A1627" s="3" t="s">
        <v>3042</v>
      </c>
      <c r="B1627" s="4"/>
      <c r="C1627" s="5"/>
      <c r="D1627" s="5"/>
      <c r="E1627" s="6"/>
      <c r="F1627" s="6" t="b">
        <f t="shared" si="1"/>
        <v>0</v>
      </c>
    </row>
    <row r="1628" ht="15.75" customHeight="1">
      <c r="A1628" s="7" t="s">
        <v>3043</v>
      </c>
      <c r="B1628" s="4" t="s">
        <v>3044</v>
      </c>
      <c r="C1628" s="5" t="s">
        <v>16</v>
      </c>
      <c r="D1628" s="6" t="s">
        <v>3045</v>
      </c>
      <c r="E1628" s="6"/>
      <c r="F1628" s="6" t="b">
        <f t="shared" si="1"/>
        <v>0</v>
      </c>
    </row>
    <row r="1629" ht="15.75" customHeight="1">
      <c r="A1629" s="7" t="s">
        <v>3046</v>
      </c>
      <c r="B1629" s="4" t="s">
        <v>3047</v>
      </c>
      <c r="C1629" s="5" t="s">
        <v>16</v>
      </c>
      <c r="D1629" s="6" t="s">
        <v>3048</v>
      </c>
      <c r="E1629" s="6"/>
      <c r="F1629" s="6" t="b">
        <f t="shared" si="1"/>
        <v>0</v>
      </c>
    </row>
    <row r="1630" ht="15.75" customHeight="1">
      <c r="A1630" s="7" t="s">
        <v>3049</v>
      </c>
      <c r="B1630" s="4" t="s">
        <v>3050</v>
      </c>
      <c r="C1630" s="5" t="s">
        <v>16</v>
      </c>
      <c r="D1630" s="6" t="s">
        <v>3048</v>
      </c>
      <c r="E1630" s="6"/>
      <c r="F1630" s="6" t="b">
        <f t="shared" si="1"/>
        <v>0</v>
      </c>
    </row>
    <row r="1631" ht="15.75" customHeight="1">
      <c r="A1631" s="7" t="s">
        <v>3051</v>
      </c>
      <c r="B1631" s="4" t="s">
        <v>3052</v>
      </c>
      <c r="C1631" s="5" t="s">
        <v>16</v>
      </c>
      <c r="D1631" s="6" t="s">
        <v>3048</v>
      </c>
      <c r="E1631" s="6"/>
      <c r="F1631" s="6" t="b">
        <f t="shared" si="1"/>
        <v>0</v>
      </c>
    </row>
    <row r="1632" ht="15.75" customHeight="1">
      <c r="A1632" s="7" t="s">
        <v>3053</v>
      </c>
      <c r="B1632" s="4" t="s">
        <v>3054</v>
      </c>
      <c r="C1632" s="5" t="s">
        <v>16</v>
      </c>
      <c r="D1632" s="6" t="s">
        <v>3055</v>
      </c>
      <c r="E1632" s="6"/>
      <c r="F1632" s="6" t="b">
        <f t="shared" si="1"/>
        <v>0</v>
      </c>
    </row>
    <row r="1633" ht="15.75" customHeight="1">
      <c r="A1633" s="3" t="s">
        <v>3056</v>
      </c>
      <c r="B1633" s="4"/>
      <c r="C1633" s="5"/>
      <c r="D1633" s="5"/>
      <c r="E1633" s="6"/>
      <c r="F1633" s="6" t="b">
        <f t="shared" si="1"/>
        <v>0</v>
      </c>
    </row>
    <row r="1634" ht="15.75" customHeight="1">
      <c r="A1634" s="7" t="s">
        <v>3057</v>
      </c>
      <c r="B1634" s="4" t="s">
        <v>3058</v>
      </c>
      <c r="C1634" s="5" t="s">
        <v>16</v>
      </c>
      <c r="D1634" s="6" t="s">
        <v>3059</v>
      </c>
      <c r="E1634" s="6"/>
      <c r="F1634" s="6" t="b">
        <f t="shared" si="1"/>
        <v>0</v>
      </c>
    </row>
    <row r="1635" ht="15.75" customHeight="1">
      <c r="A1635" s="7" t="s">
        <v>3060</v>
      </c>
      <c r="B1635" s="4" t="s">
        <v>3061</v>
      </c>
      <c r="C1635" s="5" t="s">
        <v>16</v>
      </c>
      <c r="D1635" s="6" t="s">
        <v>3062</v>
      </c>
      <c r="E1635" s="6"/>
      <c r="F1635" s="6" t="b">
        <f t="shared" si="1"/>
        <v>0</v>
      </c>
    </row>
    <row r="1636" ht="15.75" customHeight="1">
      <c r="A1636" s="7" t="s">
        <v>3063</v>
      </c>
      <c r="B1636" s="4" t="s">
        <v>3064</v>
      </c>
      <c r="C1636" s="5" t="s">
        <v>16</v>
      </c>
      <c r="D1636" s="6" t="s">
        <v>3065</v>
      </c>
      <c r="E1636" s="6"/>
      <c r="F1636" s="6" t="b">
        <f t="shared" si="1"/>
        <v>0</v>
      </c>
    </row>
    <row r="1637" ht="15.75" customHeight="1">
      <c r="A1637" s="7" t="s">
        <v>3066</v>
      </c>
      <c r="B1637" s="4" t="s">
        <v>3067</v>
      </c>
      <c r="C1637" s="5" t="s">
        <v>16</v>
      </c>
      <c r="D1637" s="6" t="s">
        <v>3068</v>
      </c>
      <c r="E1637" s="6"/>
      <c r="F1637" s="6" t="b">
        <f t="shared" si="1"/>
        <v>0</v>
      </c>
    </row>
    <row r="1638" ht="15.75" customHeight="1">
      <c r="A1638" s="7" t="s">
        <v>3069</v>
      </c>
      <c r="B1638" s="4" t="s">
        <v>3070</v>
      </c>
      <c r="C1638" s="5" t="s">
        <v>16</v>
      </c>
      <c r="D1638" s="6" t="s">
        <v>3071</v>
      </c>
      <c r="E1638" s="6"/>
      <c r="F1638" s="6" t="b">
        <f t="shared" si="1"/>
        <v>0</v>
      </c>
    </row>
    <row r="1639" ht="15.75" customHeight="1">
      <c r="A1639" s="7" t="s">
        <v>3072</v>
      </c>
      <c r="B1639" s="4" t="s">
        <v>3073</v>
      </c>
      <c r="C1639" s="5" t="s">
        <v>16</v>
      </c>
      <c r="D1639" s="6" t="s">
        <v>3074</v>
      </c>
      <c r="E1639" s="6"/>
      <c r="F1639" s="6" t="b">
        <f t="shared" si="1"/>
        <v>0</v>
      </c>
    </row>
    <row r="1640" ht="15.75" customHeight="1">
      <c r="A1640" s="7" t="s">
        <v>3075</v>
      </c>
      <c r="B1640" s="4" t="s">
        <v>3076</v>
      </c>
      <c r="C1640" s="5" t="s">
        <v>16</v>
      </c>
      <c r="D1640" s="6" t="s">
        <v>3077</v>
      </c>
      <c r="E1640" s="6"/>
      <c r="F1640" s="6" t="b">
        <f t="shared" si="1"/>
        <v>0</v>
      </c>
    </row>
    <row r="1641" ht="15.75" customHeight="1">
      <c r="A1641" s="7" t="s">
        <v>3078</v>
      </c>
      <c r="B1641" s="4" t="s">
        <v>3079</v>
      </c>
      <c r="C1641" s="5" t="s">
        <v>16</v>
      </c>
      <c r="D1641" s="6" t="s">
        <v>3080</v>
      </c>
      <c r="E1641" s="6"/>
      <c r="F1641" s="6" t="b">
        <f t="shared" si="1"/>
        <v>0</v>
      </c>
    </row>
    <row r="1642" ht="15.75" customHeight="1">
      <c r="A1642" s="7" t="s">
        <v>3081</v>
      </c>
      <c r="B1642" s="4" t="s">
        <v>3082</v>
      </c>
      <c r="C1642" s="5" t="s">
        <v>16</v>
      </c>
      <c r="D1642" s="6" t="s">
        <v>3083</v>
      </c>
      <c r="E1642" s="6"/>
      <c r="F1642" s="6" t="b">
        <f t="shared" si="1"/>
        <v>0</v>
      </c>
    </row>
    <row r="1643" ht="15.75" customHeight="1">
      <c r="A1643" s="7" t="s">
        <v>3084</v>
      </c>
      <c r="B1643" s="4" t="s">
        <v>500</v>
      </c>
      <c r="C1643" s="5" t="s">
        <v>16</v>
      </c>
      <c r="D1643" s="6" t="s">
        <v>3083</v>
      </c>
      <c r="E1643" s="6"/>
      <c r="F1643" s="6" t="b">
        <f t="shared" si="1"/>
        <v>0</v>
      </c>
    </row>
    <row r="1644" ht="15.75" customHeight="1">
      <c r="A1644" s="3" t="s">
        <v>3085</v>
      </c>
      <c r="B1644" s="4"/>
      <c r="C1644" s="5"/>
      <c r="D1644" s="5"/>
      <c r="E1644" s="6"/>
      <c r="F1644" s="6" t="b">
        <f t="shared" si="1"/>
        <v>0</v>
      </c>
    </row>
    <row r="1645" ht="15.75" customHeight="1">
      <c r="A1645" s="7" t="s">
        <v>3086</v>
      </c>
      <c r="B1645" s="4" t="s">
        <v>3087</v>
      </c>
      <c r="C1645" s="5" t="s">
        <v>16</v>
      </c>
      <c r="D1645" s="6" t="s">
        <v>3088</v>
      </c>
      <c r="E1645" s="6"/>
      <c r="F1645" s="6" t="b">
        <f t="shared" si="1"/>
        <v>0</v>
      </c>
    </row>
    <row r="1646" ht="15.75" customHeight="1">
      <c r="A1646" s="7" t="s">
        <v>3089</v>
      </c>
      <c r="B1646" s="4" t="s">
        <v>3090</v>
      </c>
      <c r="C1646" s="5" t="s">
        <v>16</v>
      </c>
      <c r="D1646" s="6" t="s">
        <v>1823</v>
      </c>
      <c r="E1646" s="6"/>
      <c r="F1646" s="6" t="b">
        <f t="shared" si="1"/>
        <v>0</v>
      </c>
    </row>
    <row r="1647" ht="15.75" customHeight="1">
      <c r="A1647" s="7" t="s">
        <v>3091</v>
      </c>
      <c r="B1647" s="4" t="s">
        <v>3092</v>
      </c>
      <c r="C1647" s="5" t="s">
        <v>16</v>
      </c>
      <c r="D1647" s="6" t="s">
        <v>1823</v>
      </c>
      <c r="E1647" s="6"/>
      <c r="F1647" s="6" t="b">
        <f t="shared" si="1"/>
        <v>0</v>
      </c>
    </row>
    <row r="1648" ht="15.75" customHeight="1">
      <c r="A1648" s="7" t="s">
        <v>3093</v>
      </c>
      <c r="B1648" s="4" t="s">
        <v>3094</v>
      </c>
      <c r="C1648" s="5" t="s">
        <v>16</v>
      </c>
      <c r="D1648" s="6" t="s">
        <v>1823</v>
      </c>
      <c r="E1648" s="6"/>
      <c r="F1648" s="6" t="b">
        <f t="shared" si="1"/>
        <v>0</v>
      </c>
    </row>
    <row r="1649" ht="15.75" customHeight="1">
      <c r="A1649" s="7" t="s">
        <v>3095</v>
      </c>
      <c r="B1649" s="4" t="s">
        <v>3096</v>
      </c>
      <c r="C1649" s="5" t="s">
        <v>16</v>
      </c>
      <c r="D1649" s="6" t="s">
        <v>3097</v>
      </c>
      <c r="E1649" s="6"/>
      <c r="F1649" s="6" t="b">
        <f t="shared" si="1"/>
        <v>0</v>
      </c>
    </row>
    <row r="1650" ht="15.75" customHeight="1">
      <c r="A1650" s="7" t="s">
        <v>3098</v>
      </c>
      <c r="B1650" s="4" t="s">
        <v>3099</v>
      </c>
      <c r="C1650" s="5" t="s">
        <v>16</v>
      </c>
      <c r="D1650" s="6" t="s">
        <v>3097</v>
      </c>
      <c r="E1650" s="6"/>
      <c r="F1650" s="6" t="b">
        <f t="shared" si="1"/>
        <v>0</v>
      </c>
    </row>
    <row r="1651" ht="15.75" customHeight="1">
      <c r="A1651" s="7" t="s">
        <v>3100</v>
      </c>
      <c r="B1651" s="4" t="s">
        <v>3101</v>
      </c>
      <c r="C1651" s="5" t="s">
        <v>16</v>
      </c>
      <c r="D1651" s="6" t="s">
        <v>3102</v>
      </c>
      <c r="E1651" s="6"/>
      <c r="F1651" s="6" t="b">
        <f t="shared" si="1"/>
        <v>0</v>
      </c>
    </row>
    <row r="1652" ht="15.75" customHeight="1">
      <c r="A1652" s="7" t="s">
        <v>3103</v>
      </c>
      <c r="B1652" s="4" t="s">
        <v>3104</v>
      </c>
      <c r="C1652" s="5" t="s">
        <v>16</v>
      </c>
      <c r="D1652" s="6" t="s">
        <v>3105</v>
      </c>
      <c r="E1652" s="6"/>
      <c r="F1652" s="6" t="b">
        <f t="shared" si="1"/>
        <v>0</v>
      </c>
    </row>
    <row r="1653" ht="15.75" customHeight="1">
      <c r="A1653" s="3" t="s">
        <v>3106</v>
      </c>
      <c r="B1653" s="4"/>
      <c r="C1653" s="5"/>
      <c r="D1653" s="5"/>
      <c r="E1653" s="6"/>
      <c r="F1653" s="6" t="b">
        <f t="shared" si="1"/>
        <v>0</v>
      </c>
    </row>
    <row r="1654" ht="15.75" customHeight="1">
      <c r="A1654" s="7" t="s">
        <v>3107</v>
      </c>
      <c r="B1654" s="4" t="s">
        <v>3108</v>
      </c>
      <c r="C1654" s="5" t="s">
        <v>16</v>
      </c>
      <c r="D1654" s="6" t="s">
        <v>3109</v>
      </c>
      <c r="E1654" s="6"/>
      <c r="F1654" s="6" t="b">
        <f t="shared" si="1"/>
        <v>0</v>
      </c>
    </row>
    <row r="1655" ht="15.75" customHeight="1">
      <c r="A1655" s="7" t="s">
        <v>3110</v>
      </c>
      <c r="B1655" s="4" t="s">
        <v>3111</v>
      </c>
      <c r="C1655" s="5" t="s">
        <v>16</v>
      </c>
      <c r="D1655" s="6" t="s">
        <v>3109</v>
      </c>
      <c r="E1655" s="6"/>
      <c r="F1655" s="6" t="b">
        <f t="shared" si="1"/>
        <v>0</v>
      </c>
    </row>
    <row r="1656" ht="15.75" customHeight="1">
      <c r="A1656" s="7" t="s">
        <v>3112</v>
      </c>
      <c r="B1656" s="4" t="s">
        <v>3113</v>
      </c>
      <c r="C1656" s="5" t="s">
        <v>16</v>
      </c>
      <c r="D1656" s="6" t="s">
        <v>3114</v>
      </c>
      <c r="E1656" s="6"/>
      <c r="F1656" s="6" t="b">
        <f t="shared" si="1"/>
        <v>0</v>
      </c>
    </row>
    <row r="1657" ht="15.75" customHeight="1">
      <c r="A1657" s="7" t="s">
        <v>3115</v>
      </c>
      <c r="B1657" s="4" t="s">
        <v>3116</v>
      </c>
      <c r="C1657" s="5" t="s">
        <v>16</v>
      </c>
      <c r="D1657" s="6" t="s">
        <v>3117</v>
      </c>
      <c r="E1657" s="6"/>
      <c r="F1657" s="6" t="b">
        <f t="shared" si="1"/>
        <v>0</v>
      </c>
    </row>
    <row r="1658" ht="15.75" customHeight="1">
      <c r="A1658" s="7" t="s">
        <v>3118</v>
      </c>
      <c r="B1658" s="4" t="s">
        <v>3119</v>
      </c>
      <c r="C1658" s="5" t="s">
        <v>16</v>
      </c>
      <c r="D1658" s="6" t="s">
        <v>3120</v>
      </c>
      <c r="E1658" s="6"/>
      <c r="F1658" s="6" t="b">
        <f t="shared" si="1"/>
        <v>0</v>
      </c>
    </row>
    <row r="1659" ht="15.75" customHeight="1">
      <c r="A1659" s="7" t="s">
        <v>3121</v>
      </c>
      <c r="B1659" s="4" t="s">
        <v>3122</v>
      </c>
      <c r="C1659" s="5" t="s">
        <v>16</v>
      </c>
      <c r="D1659" s="6" t="s">
        <v>3123</v>
      </c>
      <c r="E1659" s="6"/>
      <c r="F1659" s="6" t="b">
        <f t="shared" si="1"/>
        <v>0</v>
      </c>
    </row>
    <row r="1660" ht="15.75" customHeight="1">
      <c r="A1660" s="7" t="s">
        <v>3124</v>
      </c>
      <c r="B1660" s="4" t="s">
        <v>3125</v>
      </c>
      <c r="C1660" s="5" t="s">
        <v>16</v>
      </c>
      <c r="D1660" s="6" t="s">
        <v>3126</v>
      </c>
      <c r="E1660" s="6"/>
      <c r="F1660" s="6" t="b">
        <f t="shared" si="1"/>
        <v>0</v>
      </c>
    </row>
    <row r="1661" ht="15.75" customHeight="1">
      <c r="A1661" s="7" t="s">
        <v>3127</v>
      </c>
      <c r="B1661" s="4" t="s">
        <v>3128</v>
      </c>
      <c r="C1661" s="5" t="s">
        <v>16</v>
      </c>
      <c r="D1661" s="6" t="s">
        <v>3129</v>
      </c>
      <c r="E1661" s="6"/>
      <c r="F1661" s="6" t="b">
        <f t="shared" si="1"/>
        <v>0</v>
      </c>
    </row>
    <row r="1662" ht="15.75" customHeight="1">
      <c r="A1662" s="7" t="s">
        <v>3130</v>
      </c>
      <c r="B1662" s="4" t="s">
        <v>3131</v>
      </c>
      <c r="C1662" s="5" t="s">
        <v>16</v>
      </c>
      <c r="D1662" s="6" t="s">
        <v>3132</v>
      </c>
      <c r="E1662" s="6"/>
      <c r="F1662" s="6" t="b">
        <f t="shared" si="1"/>
        <v>0</v>
      </c>
    </row>
    <row r="1663" ht="15.75" customHeight="1">
      <c r="A1663" s="7" t="s">
        <v>3133</v>
      </c>
      <c r="B1663" s="4" t="s">
        <v>3134</v>
      </c>
      <c r="C1663" s="5" t="s">
        <v>16</v>
      </c>
      <c r="D1663" s="6" t="s">
        <v>3135</v>
      </c>
      <c r="E1663" s="6"/>
      <c r="F1663" s="6" t="b">
        <f t="shared" si="1"/>
        <v>0</v>
      </c>
    </row>
    <row r="1664" ht="15.75" customHeight="1">
      <c r="A1664" s="7" t="s">
        <v>3136</v>
      </c>
      <c r="B1664" s="4" t="s">
        <v>3137</v>
      </c>
      <c r="C1664" s="5" t="s">
        <v>16</v>
      </c>
      <c r="D1664" s="6" t="s">
        <v>3138</v>
      </c>
      <c r="E1664" s="6"/>
      <c r="F1664" s="6" t="b">
        <f t="shared" si="1"/>
        <v>0</v>
      </c>
    </row>
    <row r="1665" ht="15.75" customHeight="1">
      <c r="A1665" s="7" t="s">
        <v>3139</v>
      </c>
      <c r="B1665" s="4" t="s">
        <v>3140</v>
      </c>
      <c r="C1665" s="5" t="s">
        <v>16</v>
      </c>
      <c r="D1665" s="6" t="s">
        <v>3141</v>
      </c>
      <c r="E1665" s="6"/>
      <c r="F1665" s="6" t="b">
        <f t="shared" si="1"/>
        <v>0</v>
      </c>
    </row>
    <row r="1666" ht="15.75" customHeight="1">
      <c r="A1666" s="7" t="s">
        <v>3142</v>
      </c>
      <c r="B1666" s="4" t="s">
        <v>3143</v>
      </c>
      <c r="C1666" s="5" t="s">
        <v>16</v>
      </c>
      <c r="D1666" s="6" t="s">
        <v>3144</v>
      </c>
      <c r="E1666" s="6"/>
      <c r="F1666" s="6" t="b">
        <f t="shared" si="1"/>
        <v>0</v>
      </c>
    </row>
    <row r="1667" ht="15.75" customHeight="1">
      <c r="A1667" s="7" t="s">
        <v>3145</v>
      </c>
      <c r="B1667" s="4" t="s">
        <v>3146</v>
      </c>
      <c r="C1667" s="5" t="s">
        <v>16</v>
      </c>
      <c r="D1667" s="6" t="s">
        <v>3147</v>
      </c>
      <c r="E1667" s="6"/>
      <c r="F1667" s="6" t="b">
        <f t="shared" si="1"/>
        <v>0</v>
      </c>
    </row>
    <row r="1668" ht="15.75" customHeight="1">
      <c r="A1668" s="7" t="s">
        <v>3148</v>
      </c>
      <c r="B1668" s="4" t="s">
        <v>3149</v>
      </c>
      <c r="C1668" s="5" t="s">
        <v>16</v>
      </c>
      <c r="D1668" s="6" t="s">
        <v>3150</v>
      </c>
      <c r="E1668" s="6"/>
      <c r="F1668" s="6" t="b">
        <f t="shared" si="1"/>
        <v>0</v>
      </c>
    </row>
    <row r="1669" ht="15.75" customHeight="1">
      <c r="A1669" s="7" t="s">
        <v>3151</v>
      </c>
      <c r="B1669" s="4" t="s">
        <v>3152</v>
      </c>
      <c r="C1669" s="5" t="s">
        <v>16</v>
      </c>
      <c r="D1669" s="6" t="s">
        <v>3153</v>
      </c>
      <c r="E1669" s="6"/>
      <c r="F1669" s="6" t="b">
        <f t="shared" si="1"/>
        <v>0</v>
      </c>
    </row>
    <row r="1670" ht="15.75" customHeight="1">
      <c r="A1670" s="7" t="s">
        <v>3154</v>
      </c>
      <c r="B1670" s="4" t="s">
        <v>3155</v>
      </c>
      <c r="C1670" s="5" t="s">
        <v>16</v>
      </c>
      <c r="D1670" s="6" t="s">
        <v>3156</v>
      </c>
      <c r="E1670" s="6"/>
      <c r="F1670" s="6" t="b">
        <f t="shared" si="1"/>
        <v>0</v>
      </c>
    </row>
    <row r="1671" ht="15.75" customHeight="1">
      <c r="A1671" s="7" t="s">
        <v>3157</v>
      </c>
      <c r="B1671" s="4" t="s">
        <v>3158</v>
      </c>
      <c r="C1671" s="5" t="s">
        <v>16</v>
      </c>
      <c r="D1671" s="6" t="s">
        <v>3156</v>
      </c>
      <c r="E1671" s="6"/>
      <c r="F1671" s="6" t="b">
        <f t="shared" si="1"/>
        <v>0</v>
      </c>
    </row>
    <row r="1672" ht="15.75" customHeight="1">
      <c r="A1672" s="7" t="s">
        <v>3159</v>
      </c>
      <c r="B1672" s="4" t="s">
        <v>3160</v>
      </c>
      <c r="C1672" s="5" t="s">
        <v>16</v>
      </c>
      <c r="D1672" s="6" t="s">
        <v>3156</v>
      </c>
      <c r="E1672" s="6"/>
      <c r="F1672" s="6" t="b">
        <f t="shared" si="1"/>
        <v>0</v>
      </c>
    </row>
    <row r="1673" ht="15.75" customHeight="1">
      <c r="A1673" s="7" t="s">
        <v>3161</v>
      </c>
      <c r="B1673" s="4" t="s">
        <v>3162</v>
      </c>
      <c r="C1673" s="5" t="s">
        <v>16</v>
      </c>
      <c r="D1673" s="6" t="s">
        <v>3163</v>
      </c>
      <c r="E1673" s="6"/>
      <c r="F1673" s="6" t="b">
        <f t="shared" si="1"/>
        <v>0</v>
      </c>
    </row>
    <row r="1674" ht="15.75" customHeight="1">
      <c r="A1674" s="7" t="s">
        <v>3164</v>
      </c>
      <c r="B1674" s="4" t="s">
        <v>3165</v>
      </c>
      <c r="C1674" s="5" t="s">
        <v>16</v>
      </c>
      <c r="D1674" s="6" t="s">
        <v>3166</v>
      </c>
      <c r="E1674" s="6"/>
      <c r="F1674" s="6" t="b">
        <f t="shared" si="1"/>
        <v>0</v>
      </c>
    </row>
    <row r="1675" ht="15.75" customHeight="1">
      <c r="A1675" s="7" t="s">
        <v>3167</v>
      </c>
      <c r="B1675" s="4" t="s">
        <v>3168</v>
      </c>
      <c r="C1675" s="5" t="s">
        <v>16</v>
      </c>
      <c r="D1675" s="6" t="s">
        <v>3169</v>
      </c>
      <c r="E1675" s="6"/>
      <c r="F1675" s="6" t="b">
        <f t="shared" si="1"/>
        <v>0</v>
      </c>
    </row>
    <row r="1676" ht="15.75" customHeight="1">
      <c r="A1676" s="3" t="s">
        <v>3170</v>
      </c>
      <c r="B1676" s="4"/>
      <c r="C1676" s="5"/>
      <c r="D1676" s="5"/>
      <c r="E1676" s="6"/>
      <c r="F1676" s="6" t="b">
        <f t="shared" si="1"/>
        <v>0</v>
      </c>
    </row>
    <row r="1677" ht="15.75" customHeight="1">
      <c r="A1677" s="3" t="s">
        <v>3171</v>
      </c>
      <c r="B1677" s="4"/>
      <c r="C1677" s="5"/>
      <c r="D1677" s="5"/>
      <c r="E1677" s="6"/>
      <c r="F1677" s="6" t="b">
        <f t="shared" si="1"/>
        <v>0</v>
      </c>
    </row>
    <row r="1678" ht="15.75" customHeight="1">
      <c r="A1678" s="7" t="s">
        <v>3172</v>
      </c>
      <c r="B1678" s="4" t="s">
        <v>3173</v>
      </c>
      <c r="C1678" s="5" t="s">
        <v>16</v>
      </c>
      <c r="D1678" s="6" t="s">
        <v>1682</v>
      </c>
      <c r="E1678" s="6"/>
      <c r="F1678" s="6" t="b">
        <f t="shared" si="1"/>
        <v>0</v>
      </c>
    </row>
    <row r="1679" ht="15.75" customHeight="1">
      <c r="A1679" s="7" t="s">
        <v>3174</v>
      </c>
      <c r="B1679" s="4" t="s">
        <v>3175</v>
      </c>
      <c r="C1679" s="5" t="s">
        <v>16</v>
      </c>
      <c r="D1679" s="6" t="s">
        <v>3176</v>
      </c>
      <c r="E1679" s="6"/>
      <c r="F1679" s="6" t="b">
        <f t="shared" si="1"/>
        <v>0</v>
      </c>
    </row>
    <row r="1680" ht="15.75" customHeight="1">
      <c r="A1680" s="3" t="s">
        <v>3177</v>
      </c>
      <c r="B1680" s="4"/>
      <c r="C1680" s="5"/>
      <c r="D1680" s="5"/>
      <c r="E1680" s="6"/>
      <c r="F1680" s="6" t="b">
        <f t="shared" si="1"/>
        <v>0</v>
      </c>
    </row>
    <row r="1681" ht="15.75" customHeight="1">
      <c r="A1681" s="7" t="s">
        <v>3178</v>
      </c>
      <c r="B1681" s="4" t="s">
        <v>3179</v>
      </c>
      <c r="C1681" s="5" t="s">
        <v>16</v>
      </c>
      <c r="D1681" s="6" t="s">
        <v>3180</v>
      </c>
      <c r="E1681" s="6"/>
      <c r="F1681" s="6" t="b">
        <f t="shared" si="1"/>
        <v>0</v>
      </c>
    </row>
    <row r="1682" ht="15.75" customHeight="1">
      <c r="A1682" s="7" t="s">
        <v>3181</v>
      </c>
      <c r="B1682" s="4" t="s">
        <v>3182</v>
      </c>
      <c r="C1682" s="5" t="s">
        <v>16</v>
      </c>
      <c r="D1682" s="6" t="s">
        <v>3183</v>
      </c>
      <c r="E1682" s="6"/>
      <c r="F1682" s="6" t="b">
        <f t="shared" si="1"/>
        <v>0</v>
      </c>
    </row>
    <row r="1683" ht="15.75" customHeight="1">
      <c r="A1683" s="7" t="s">
        <v>3184</v>
      </c>
      <c r="B1683" s="4" t="s">
        <v>3185</v>
      </c>
      <c r="C1683" s="5" t="s">
        <v>16</v>
      </c>
      <c r="D1683" s="6" t="s">
        <v>3186</v>
      </c>
      <c r="E1683" s="6"/>
      <c r="F1683" s="6" t="b">
        <f t="shared" si="1"/>
        <v>0</v>
      </c>
    </row>
    <row r="1684" ht="15.75" customHeight="1">
      <c r="A1684" s="7" t="s">
        <v>3187</v>
      </c>
      <c r="B1684" s="4" t="s">
        <v>3188</v>
      </c>
      <c r="C1684" s="5" t="s">
        <v>16</v>
      </c>
      <c r="D1684" s="6" t="s">
        <v>3186</v>
      </c>
      <c r="E1684" s="6"/>
      <c r="F1684" s="6" t="b">
        <f t="shared" si="1"/>
        <v>0</v>
      </c>
    </row>
    <row r="1685" ht="15.75" customHeight="1">
      <c r="A1685" s="7" t="s">
        <v>3189</v>
      </c>
      <c r="B1685" s="4" t="s">
        <v>3190</v>
      </c>
      <c r="C1685" s="5" t="s">
        <v>16</v>
      </c>
      <c r="D1685" s="6" t="s">
        <v>3191</v>
      </c>
      <c r="E1685" s="6"/>
      <c r="F1685" s="6" t="b">
        <f t="shared" si="1"/>
        <v>0</v>
      </c>
    </row>
    <row r="1686" ht="15.75" customHeight="1">
      <c r="A1686" s="7" t="s">
        <v>3192</v>
      </c>
      <c r="B1686" s="4" t="s">
        <v>3193</v>
      </c>
      <c r="C1686" s="5" t="s">
        <v>16</v>
      </c>
      <c r="D1686" s="6" t="s">
        <v>3194</v>
      </c>
      <c r="E1686" s="6"/>
      <c r="F1686" s="6" t="b">
        <f t="shared" si="1"/>
        <v>0</v>
      </c>
    </row>
    <row r="1687" ht="15.75" customHeight="1">
      <c r="A1687" s="7" t="s">
        <v>3195</v>
      </c>
      <c r="B1687" s="4" t="s">
        <v>3196</v>
      </c>
      <c r="C1687" s="5" t="s">
        <v>16</v>
      </c>
      <c r="D1687" s="6" t="s">
        <v>3197</v>
      </c>
      <c r="E1687" s="6"/>
      <c r="F1687" s="6" t="b">
        <f t="shared" si="1"/>
        <v>0</v>
      </c>
    </row>
    <row r="1688" ht="15.75" customHeight="1">
      <c r="A1688" s="7" t="s">
        <v>3198</v>
      </c>
      <c r="B1688" s="4" t="s">
        <v>3199</v>
      </c>
      <c r="C1688" s="5" t="s">
        <v>16</v>
      </c>
      <c r="D1688" s="6" t="s">
        <v>3200</v>
      </c>
      <c r="E1688" s="6"/>
      <c r="F1688" s="6" t="b">
        <f t="shared" si="1"/>
        <v>0</v>
      </c>
    </row>
    <row r="1689" ht="15.75" customHeight="1">
      <c r="A1689" s="7" t="s">
        <v>3201</v>
      </c>
      <c r="B1689" s="4" t="s">
        <v>3202</v>
      </c>
      <c r="C1689" s="5" t="s">
        <v>16</v>
      </c>
      <c r="D1689" s="6" t="s">
        <v>3203</v>
      </c>
      <c r="E1689" s="6"/>
      <c r="F1689" s="6" t="b">
        <f t="shared" si="1"/>
        <v>0</v>
      </c>
    </row>
    <row r="1690" ht="15.75" customHeight="1">
      <c r="A1690" s="7" t="s">
        <v>3204</v>
      </c>
      <c r="B1690" s="4" t="s">
        <v>3205</v>
      </c>
      <c r="C1690" s="5" t="s">
        <v>16</v>
      </c>
      <c r="D1690" s="6" t="s">
        <v>3206</v>
      </c>
      <c r="E1690" s="6"/>
      <c r="F1690" s="6" t="b">
        <f t="shared" si="1"/>
        <v>0</v>
      </c>
    </row>
    <row r="1691" ht="15.75" customHeight="1">
      <c r="A1691" s="7" t="s">
        <v>3207</v>
      </c>
      <c r="B1691" s="4" t="s">
        <v>3208</v>
      </c>
      <c r="C1691" s="5" t="s">
        <v>16</v>
      </c>
      <c r="D1691" s="6" t="s">
        <v>3209</v>
      </c>
      <c r="E1691" s="6"/>
      <c r="F1691" s="6" t="b">
        <f t="shared" si="1"/>
        <v>0</v>
      </c>
    </row>
    <row r="1692" ht="15.75" customHeight="1">
      <c r="A1692" s="7" t="s">
        <v>3210</v>
      </c>
      <c r="B1692" s="4" t="s">
        <v>3211</v>
      </c>
      <c r="C1692" s="5" t="s">
        <v>16</v>
      </c>
      <c r="D1692" s="6" t="s">
        <v>3212</v>
      </c>
      <c r="E1692" s="6"/>
      <c r="F1692" s="6" t="b">
        <f t="shared" si="1"/>
        <v>0</v>
      </c>
    </row>
    <row r="1693" ht="15.75" customHeight="1">
      <c r="A1693" s="7" t="s">
        <v>3213</v>
      </c>
      <c r="B1693" s="4" t="s">
        <v>3214</v>
      </c>
      <c r="C1693" s="5" t="s">
        <v>16</v>
      </c>
      <c r="D1693" s="6" t="s">
        <v>3212</v>
      </c>
      <c r="E1693" s="6"/>
      <c r="F1693" s="6" t="b">
        <f t="shared" si="1"/>
        <v>0</v>
      </c>
    </row>
    <row r="1694" ht="15.75" customHeight="1">
      <c r="A1694" s="7" t="s">
        <v>3215</v>
      </c>
      <c r="B1694" s="4" t="s">
        <v>3216</v>
      </c>
      <c r="C1694" s="5" t="s">
        <v>16</v>
      </c>
      <c r="D1694" s="6" t="s">
        <v>3212</v>
      </c>
      <c r="E1694" s="6"/>
      <c r="F1694" s="6" t="b">
        <f t="shared" si="1"/>
        <v>0</v>
      </c>
    </row>
    <row r="1695" ht="15.75" customHeight="1">
      <c r="A1695" s="7" t="s">
        <v>3217</v>
      </c>
      <c r="B1695" s="4" t="s">
        <v>3218</v>
      </c>
      <c r="C1695" s="5" t="s">
        <v>16</v>
      </c>
      <c r="D1695" s="6" t="s">
        <v>3212</v>
      </c>
      <c r="E1695" s="6"/>
      <c r="F1695" s="6" t="b">
        <f t="shared" si="1"/>
        <v>0</v>
      </c>
    </row>
    <row r="1696" ht="15.75" customHeight="1">
      <c r="A1696" s="7" t="s">
        <v>3219</v>
      </c>
      <c r="B1696" s="4" t="s">
        <v>3220</v>
      </c>
      <c r="C1696" s="5" t="s">
        <v>16</v>
      </c>
      <c r="D1696" s="6" t="s">
        <v>3212</v>
      </c>
      <c r="E1696" s="6"/>
      <c r="F1696" s="6" t="b">
        <f t="shared" si="1"/>
        <v>0</v>
      </c>
    </row>
    <row r="1697" ht="15.75" customHeight="1">
      <c r="A1697" s="7" t="s">
        <v>3221</v>
      </c>
      <c r="B1697" s="4" t="s">
        <v>3222</v>
      </c>
      <c r="C1697" s="5" t="s">
        <v>16</v>
      </c>
      <c r="D1697" s="6" t="s">
        <v>3212</v>
      </c>
      <c r="E1697" s="6"/>
      <c r="F1697" s="6" t="b">
        <f t="shared" si="1"/>
        <v>0</v>
      </c>
    </row>
    <row r="1698" ht="15.75" customHeight="1">
      <c r="A1698" s="7" t="s">
        <v>3223</v>
      </c>
      <c r="B1698" s="4" t="s">
        <v>3224</v>
      </c>
      <c r="C1698" s="5" t="s">
        <v>16</v>
      </c>
      <c r="D1698" s="6" t="s">
        <v>3225</v>
      </c>
      <c r="E1698" s="6"/>
      <c r="F1698" s="6" t="b">
        <f t="shared" si="1"/>
        <v>0</v>
      </c>
    </row>
    <row r="1699" ht="15.75" customHeight="1">
      <c r="A1699" s="7" t="s">
        <v>3226</v>
      </c>
      <c r="B1699" s="4" t="s">
        <v>3227</v>
      </c>
      <c r="C1699" s="5" t="s">
        <v>16</v>
      </c>
      <c r="D1699" s="6" t="s">
        <v>3228</v>
      </c>
      <c r="E1699" s="6"/>
      <c r="F1699" s="6" t="b">
        <f t="shared" si="1"/>
        <v>0</v>
      </c>
    </row>
    <row r="1700" ht="15.75" customHeight="1">
      <c r="A1700" s="7" t="s">
        <v>3229</v>
      </c>
      <c r="B1700" s="4" t="s">
        <v>3230</v>
      </c>
      <c r="C1700" s="5" t="s">
        <v>16</v>
      </c>
      <c r="D1700" s="6" t="s">
        <v>3231</v>
      </c>
      <c r="E1700" s="6"/>
      <c r="F1700" s="6" t="b">
        <f t="shared" si="1"/>
        <v>0</v>
      </c>
    </row>
    <row r="1701" ht="15.75" customHeight="1">
      <c r="A1701" s="7" t="s">
        <v>3232</v>
      </c>
      <c r="B1701" s="4" t="s">
        <v>3233</v>
      </c>
      <c r="C1701" s="5" t="s">
        <v>16</v>
      </c>
      <c r="D1701" s="6" t="s">
        <v>3234</v>
      </c>
      <c r="E1701" s="6"/>
      <c r="F1701" s="6" t="b">
        <f t="shared" si="1"/>
        <v>0</v>
      </c>
    </row>
    <row r="1702" ht="15.75" customHeight="1">
      <c r="A1702" s="7" t="s">
        <v>3235</v>
      </c>
      <c r="B1702" s="4" t="s">
        <v>3236</v>
      </c>
      <c r="C1702" s="5" t="s">
        <v>16</v>
      </c>
      <c r="D1702" s="6" t="s">
        <v>3237</v>
      </c>
      <c r="E1702" s="6"/>
      <c r="F1702" s="6" t="b">
        <f t="shared" si="1"/>
        <v>0</v>
      </c>
    </row>
    <row r="1703" ht="15.75" customHeight="1">
      <c r="A1703" s="7" t="s">
        <v>3238</v>
      </c>
      <c r="B1703" s="4" t="s">
        <v>3239</v>
      </c>
      <c r="C1703" s="5" t="s">
        <v>16</v>
      </c>
      <c r="D1703" s="6" t="s">
        <v>3240</v>
      </c>
      <c r="E1703" s="6"/>
      <c r="F1703" s="6" t="b">
        <f t="shared" si="1"/>
        <v>0</v>
      </c>
    </row>
    <row r="1704" ht="15.75" customHeight="1">
      <c r="A1704" s="7" t="s">
        <v>3241</v>
      </c>
      <c r="B1704" s="4" t="s">
        <v>3242</v>
      </c>
      <c r="C1704" s="5" t="s">
        <v>16</v>
      </c>
      <c r="D1704" s="6" t="s">
        <v>3240</v>
      </c>
      <c r="E1704" s="6"/>
      <c r="F1704" s="6" t="b">
        <f t="shared" si="1"/>
        <v>0</v>
      </c>
    </row>
    <row r="1705" ht="15.75" customHeight="1">
      <c r="A1705" s="7" t="s">
        <v>3243</v>
      </c>
      <c r="B1705" s="4" t="s">
        <v>3244</v>
      </c>
      <c r="C1705" s="5" t="s">
        <v>16</v>
      </c>
      <c r="D1705" s="6" t="s">
        <v>3245</v>
      </c>
      <c r="E1705" s="6"/>
      <c r="F1705" s="6" t="b">
        <f t="shared" si="1"/>
        <v>0</v>
      </c>
    </row>
    <row r="1706" ht="15.75" customHeight="1">
      <c r="A1706" s="7" t="s">
        <v>3246</v>
      </c>
      <c r="B1706" s="4" t="s">
        <v>3247</v>
      </c>
      <c r="C1706" s="5" t="s">
        <v>16</v>
      </c>
      <c r="D1706" s="6" t="s">
        <v>3245</v>
      </c>
      <c r="E1706" s="6"/>
      <c r="F1706" s="6" t="b">
        <f t="shared" si="1"/>
        <v>0</v>
      </c>
    </row>
    <row r="1707" ht="15.75" customHeight="1">
      <c r="A1707" s="7" t="s">
        <v>3248</v>
      </c>
      <c r="B1707" s="4" t="s">
        <v>3249</v>
      </c>
      <c r="C1707" s="5" t="s">
        <v>16</v>
      </c>
      <c r="D1707" s="6" t="s">
        <v>3250</v>
      </c>
      <c r="E1707" s="6"/>
      <c r="F1707" s="6" t="b">
        <f t="shared" si="1"/>
        <v>0</v>
      </c>
    </row>
    <row r="1708" ht="15.75" customHeight="1">
      <c r="A1708" s="7" t="s">
        <v>3251</v>
      </c>
      <c r="B1708" s="4" t="s">
        <v>3252</v>
      </c>
      <c r="C1708" s="5" t="s">
        <v>16</v>
      </c>
      <c r="D1708" s="6" t="s">
        <v>3250</v>
      </c>
      <c r="E1708" s="6"/>
      <c r="F1708" s="6" t="b">
        <f t="shared" si="1"/>
        <v>0</v>
      </c>
    </row>
    <row r="1709" ht="15.75" customHeight="1">
      <c r="A1709" s="7" t="s">
        <v>3253</v>
      </c>
      <c r="B1709" s="4" t="s">
        <v>3254</v>
      </c>
      <c r="C1709" s="5" t="s">
        <v>16</v>
      </c>
      <c r="D1709" s="6" t="s">
        <v>3255</v>
      </c>
      <c r="E1709" s="6"/>
      <c r="F1709" s="6" t="b">
        <f t="shared" si="1"/>
        <v>0</v>
      </c>
    </row>
    <row r="1710" ht="15.75" customHeight="1">
      <c r="A1710" s="7" t="s">
        <v>3256</v>
      </c>
      <c r="B1710" s="4" t="s">
        <v>3257</v>
      </c>
      <c r="C1710" s="5" t="s">
        <v>16</v>
      </c>
      <c r="D1710" s="6" t="s">
        <v>3258</v>
      </c>
      <c r="E1710" s="6"/>
      <c r="F1710" s="6" t="b">
        <f t="shared" si="1"/>
        <v>0</v>
      </c>
    </row>
    <row r="1711" ht="15.75" customHeight="1">
      <c r="A1711" s="7" t="s">
        <v>3259</v>
      </c>
      <c r="B1711" s="4" t="s">
        <v>3260</v>
      </c>
      <c r="C1711" s="5" t="s">
        <v>16</v>
      </c>
      <c r="D1711" s="6" t="s">
        <v>3261</v>
      </c>
      <c r="E1711" s="6"/>
      <c r="F1711" s="6" t="b">
        <f t="shared" si="1"/>
        <v>0</v>
      </c>
    </row>
    <row r="1712" ht="15.75" customHeight="1">
      <c r="A1712" s="3" t="s">
        <v>3262</v>
      </c>
      <c r="B1712" s="4"/>
      <c r="C1712" s="5"/>
      <c r="D1712" s="5"/>
      <c r="E1712" s="6"/>
      <c r="F1712" s="6" t="b">
        <f t="shared" si="1"/>
        <v>0</v>
      </c>
    </row>
    <row r="1713" ht="15.75" customHeight="1">
      <c r="A1713" s="7" t="s">
        <v>3263</v>
      </c>
      <c r="B1713" s="4" t="s">
        <v>3264</v>
      </c>
      <c r="C1713" s="5" t="s">
        <v>16</v>
      </c>
      <c r="D1713" s="6" t="s">
        <v>3265</v>
      </c>
      <c r="E1713" s="6"/>
      <c r="F1713" s="6" t="b">
        <f t="shared" si="1"/>
        <v>0</v>
      </c>
    </row>
    <row r="1714" ht="15.75" customHeight="1">
      <c r="A1714" s="7" t="s">
        <v>3266</v>
      </c>
      <c r="B1714" s="4" t="s">
        <v>3267</v>
      </c>
      <c r="C1714" s="5" t="s">
        <v>16</v>
      </c>
      <c r="D1714" s="6" t="s">
        <v>3265</v>
      </c>
      <c r="E1714" s="6"/>
      <c r="F1714" s="6" t="b">
        <f t="shared" si="1"/>
        <v>0</v>
      </c>
    </row>
    <row r="1715" ht="15.75" customHeight="1">
      <c r="A1715" s="7" t="s">
        <v>3268</v>
      </c>
      <c r="B1715" s="4" t="s">
        <v>3269</v>
      </c>
      <c r="C1715" s="5" t="s">
        <v>16</v>
      </c>
      <c r="D1715" s="6" t="s">
        <v>3265</v>
      </c>
      <c r="E1715" s="6"/>
      <c r="F1715" s="6" t="b">
        <f t="shared" si="1"/>
        <v>0</v>
      </c>
    </row>
    <row r="1716" ht="15.75" customHeight="1">
      <c r="A1716" s="7" t="s">
        <v>3270</v>
      </c>
      <c r="B1716" s="4" t="s">
        <v>3271</v>
      </c>
      <c r="C1716" s="5" t="s">
        <v>16</v>
      </c>
      <c r="D1716" s="6" t="s">
        <v>3272</v>
      </c>
      <c r="E1716" s="6"/>
      <c r="F1716" s="6" t="b">
        <f t="shared" si="1"/>
        <v>0</v>
      </c>
    </row>
    <row r="1717" ht="15.75" customHeight="1">
      <c r="A1717" s="7" t="s">
        <v>3273</v>
      </c>
      <c r="B1717" s="4" t="s">
        <v>3274</v>
      </c>
      <c r="C1717" s="5" t="s">
        <v>16</v>
      </c>
      <c r="D1717" s="6" t="s">
        <v>3275</v>
      </c>
      <c r="E1717" s="6"/>
      <c r="F1717" s="6" t="b">
        <f t="shared" si="1"/>
        <v>0</v>
      </c>
    </row>
    <row r="1718" ht="15.75" customHeight="1">
      <c r="A1718" s="7" t="s">
        <v>3276</v>
      </c>
      <c r="B1718" s="4" t="s">
        <v>3277</v>
      </c>
      <c r="C1718" s="5" t="s">
        <v>16</v>
      </c>
      <c r="D1718" s="6" t="s">
        <v>3278</v>
      </c>
      <c r="E1718" s="6"/>
      <c r="F1718" s="6" t="b">
        <f t="shared" si="1"/>
        <v>0</v>
      </c>
    </row>
    <row r="1719" ht="15.75" customHeight="1">
      <c r="A1719" s="7" t="s">
        <v>3279</v>
      </c>
      <c r="B1719" s="4" t="s">
        <v>3280</v>
      </c>
      <c r="C1719" s="5" t="s">
        <v>16</v>
      </c>
      <c r="D1719" s="6" t="s">
        <v>3281</v>
      </c>
      <c r="E1719" s="6"/>
      <c r="F1719" s="6" t="b">
        <f t="shared" si="1"/>
        <v>0</v>
      </c>
    </row>
    <row r="1720" ht="15.75" customHeight="1">
      <c r="A1720" s="7" t="s">
        <v>3282</v>
      </c>
      <c r="B1720" s="4" t="s">
        <v>3283</v>
      </c>
      <c r="C1720" s="5" t="s">
        <v>16</v>
      </c>
      <c r="D1720" s="6" t="s">
        <v>3281</v>
      </c>
      <c r="E1720" s="6"/>
      <c r="F1720" s="6" t="b">
        <f t="shared" si="1"/>
        <v>0</v>
      </c>
    </row>
    <row r="1721" ht="15.75" customHeight="1">
      <c r="A1721" s="7" t="s">
        <v>3284</v>
      </c>
      <c r="B1721" s="4" t="s">
        <v>3285</v>
      </c>
      <c r="C1721" s="5" t="s">
        <v>16</v>
      </c>
      <c r="D1721" s="6" t="s">
        <v>3286</v>
      </c>
      <c r="E1721" s="6"/>
      <c r="F1721" s="6" t="b">
        <f t="shared" si="1"/>
        <v>0</v>
      </c>
    </row>
    <row r="1722" ht="15.75" customHeight="1">
      <c r="A1722" s="3" t="s">
        <v>3287</v>
      </c>
      <c r="B1722" s="4"/>
      <c r="C1722" s="5"/>
      <c r="D1722" s="5"/>
      <c r="E1722" s="6"/>
      <c r="F1722" s="6" t="b">
        <f t="shared" si="1"/>
        <v>0</v>
      </c>
    </row>
    <row r="1723" ht="15.75" customHeight="1">
      <c r="A1723" s="3" t="s">
        <v>3288</v>
      </c>
      <c r="B1723" s="4"/>
      <c r="C1723" s="5"/>
      <c r="D1723" s="5"/>
      <c r="E1723" s="6"/>
      <c r="F1723" s="6" t="b">
        <f t="shared" si="1"/>
        <v>0</v>
      </c>
    </row>
    <row r="1724" ht="15.75" customHeight="1">
      <c r="A1724" s="3" t="s">
        <v>3289</v>
      </c>
      <c r="B1724" s="4"/>
      <c r="C1724" s="5"/>
      <c r="D1724" s="5"/>
      <c r="E1724" s="6"/>
      <c r="F1724" s="6" t="b">
        <f t="shared" si="1"/>
        <v>0</v>
      </c>
    </row>
    <row r="1725" ht="15.75" customHeight="1">
      <c r="A1725" s="7" t="s">
        <v>3290</v>
      </c>
      <c r="B1725" s="4" t="s">
        <v>3291</v>
      </c>
      <c r="C1725" s="5" t="s">
        <v>16</v>
      </c>
      <c r="D1725" s="6" t="s">
        <v>3292</v>
      </c>
      <c r="E1725" s="6"/>
      <c r="F1725" s="6" t="b">
        <f t="shared" si="1"/>
        <v>0</v>
      </c>
    </row>
    <row r="1726" ht="15.75" customHeight="1">
      <c r="A1726" s="7" t="s">
        <v>3293</v>
      </c>
      <c r="B1726" s="4" t="s">
        <v>3294</v>
      </c>
      <c r="C1726" s="5" t="s">
        <v>16</v>
      </c>
      <c r="D1726" s="6" t="s">
        <v>3295</v>
      </c>
      <c r="E1726" s="6"/>
      <c r="F1726" s="6" t="b">
        <f t="shared" si="1"/>
        <v>0</v>
      </c>
    </row>
    <row r="1727" ht="15.75" customHeight="1">
      <c r="A1727" s="7" t="s">
        <v>3296</v>
      </c>
      <c r="B1727" s="4" t="s">
        <v>3297</v>
      </c>
      <c r="C1727" s="5" t="s">
        <v>16</v>
      </c>
      <c r="D1727" s="6" t="s">
        <v>3295</v>
      </c>
      <c r="E1727" s="6"/>
      <c r="F1727" s="6" t="b">
        <f t="shared" si="1"/>
        <v>0</v>
      </c>
    </row>
    <row r="1728" ht="15.75" customHeight="1">
      <c r="A1728" s="7" t="s">
        <v>3298</v>
      </c>
      <c r="B1728" s="4" t="s">
        <v>3299</v>
      </c>
      <c r="C1728" s="5" t="s">
        <v>16</v>
      </c>
      <c r="D1728" s="6" t="s">
        <v>3295</v>
      </c>
      <c r="E1728" s="6"/>
      <c r="F1728" s="6" t="b">
        <f t="shared" si="1"/>
        <v>0</v>
      </c>
    </row>
    <row r="1729" ht="15.75" customHeight="1">
      <c r="A1729" s="7" t="s">
        <v>3300</v>
      </c>
      <c r="B1729" s="4" t="s">
        <v>3301</v>
      </c>
      <c r="C1729" s="5" t="s">
        <v>16</v>
      </c>
      <c r="D1729" s="6" t="s">
        <v>3295</v>
      </c>
      <c r="E1729" s="6"/>
      <c r="F1729" s="6" t="b">
        <f t="shared" si="1"/>
        <v>0</v>
      </c>
    </row>
    <row r="1730" ht="15.75" customHeight="1">
      <c r="A1730" s="7" t="s">
        <v>3302</v>
      </c>
      <c r="B1730" s="4" t="s">
        <v>3303</v>
      </c>
      <c r="C1730" s="5" t="s">
        <v>16</v>
      </c>
      <c r="D1730" s="6" t="s">
        <v>3295</v>
      </c>
      <c r="E1730" s="6"/>
      <c r="F1730" s="6" t="b">
        <f t="shared" si="1"/>
        <v>0</v>
      </c>
    </row>
    <row r="1731" ht="15.75" customHeight="1">
      <c r="A1731" s="7" t="s">
        <v>3304</v>
      </c>
      <c r="B1731" s="4" t="s">
        <v>3305</v>
      </c>
      <c r="C1731" s="5" t="s">
        <v>16</v>
      </c>
      <c r="D1731" s="6" t="s">
        <v>3295</v>
      </c>
      <c r="E1731" s="6"/>
      <c r="F1731" s="6" t="b">
        <f t="shared" si="1"/>
        <v>0</v>
      </c>
    </row>
    <row r="1732" ht="15.75" customHeight="1">
      <c r="A1732" s="7" t="s">
        <v>3306</v>
      </c>
      <c r="B1732" s="4" t="s">
        <v>3307</v>
      </c>
      <c r="C1732" s="5" t="s">
        <v>16</v>
      </c>
      <c r="D1732" s="6" t="s">
        <v>3295</v>
      </c>
      <c r="E1732" s="6"/>
      <c r="F1732" s="6" t="b">
        <f t="shared" si="1"/>
        <v>0</v>
      </c>
    </row>
    <row r="1733" ht="15.75" customHeight="1">
      <c r="A1733" s="7" t="s">
        <v>3308</v>
      </c>
      <c r="B1733" s="4" t="s">
        <v>3309</v>
      </c>
      <c r="C1733" s="5" t="s">
        <v>16</v>
      </c>
      <c r="D1733" s="6" t="s">
        <v>3295</v>
      </c>
      <c r="E1733" s="6"/>
      <c r="F1733" s="6" t="b">
        <f t="shared" si="1"/>
        <v>0</v>
      </c>
    </row>
    <row r="1734" ht="15.75" customHeight="1">
      <c r="A1734" s="7" t="s">
        <v>3310</v>
      </c>
      <c r="B1734" s="4" t="s">
        <v>3311</v>
      </c>
      <c r="C1734" s="5" t="s">
        <v>16</v>
      </c>
      <c r="D1734" s="6" t="s">
        <v>3312</v>
      </c>
      <c r="E1734" s="6"/>
      <c r="F1734" s="6" t="b">
        <f t="shared" si="1"/>
        <v>0</v>
      </c>
    </row>
    <row r="1735" ht="15.75" customHeight="1">
      <c r="A1735" s="7" t="s">
        <v>3313</v>
      </c>
      <c r="B1735" s="4" t="s">
        <v>3314</v>
      </c>
      <c r="C1735" s="5" t="s">
        <v>16</v>
      </c>
      <c r="D1735" s="6" t="s">
        <v>3295</v>
      </c>
      <c r="E1735" s="6"/>
      <c r="F1735" s="6" t="b">
        <f t="shared" si="1"/>
        <v>0</v>
      </c>
    </row>
    <row r="1736" ht="15.75" customHeight="1">
      <c r="A1736" s="7" t="s">
        <v>3315</v>
      </c>
      <c r="B1736" s="4" t="s">
        <v>3316</v>
      </c>
      <c r="C1736" s="5" t="s">
        <v>16</v>
      </c>
      <c r="D1736" s="6" t="s">
        <v>3317</v>
      </c>
      <c r="E1736" s="6"/>
      <c r="F1736" s="6" t="b">
        <f t="shared" si="1"/>
        <v>0</v>
      </c>
    </row>
    <row r="1737" ht="15.75" customHeight="1">
      <c r="A1737" s="3" t="s">
        <v>3318</v>
      </c>
      <c r="B1737" s="4"/>
      <c r="C1737" s="5"/>
      <c r="D1737" s="5"/>
      <c r="E1737" s="6"/>
      <c r="F1737" s="6" t="b">
        <f t="shared" si="1"/>
        <v>0</v>
      </c>
    </row>
    <row r="1738" ht="15.75" customHeight="1">
      <c r="A1738" s="3" t="s">
        <v>3319</v>
      </c>
      <c r="B1738" s="4"/>
      <c r="C1738" s="5"/>
      <c r="D1738" s="5"/>
      <c r="E1738" s="6"/>
      <c r="F1738" s="6" t="b">
        <f t="shared" si="1"/>
        <v>0</v>
      </c>
    </row>
    <row r="1739" ht="15.75" customHeight="1">
      <c r="A1739" s="3" t="s">
        <v>3320</v>
      </c>
      <c r="B1739" s="4"/>
      <c r="C1739" s="5"/>
      <c r="D1739" s="5"/>
      <c r="E1739" s="6"/>
      <c r="F1739" s="6" t="b">
        <f t="shared" si="1"/>
        <v>0</v>
      </c>
    </row>
    <row r="1740" ht="15.75" customHeight="1">
      <c r="A1740" s="7" t="s">
        <v>3321</v>
      </c>
      <c r="B1740" s="4" t="s">
        <v>3322</v>
      </c>
      <c r="C1740" s="5" t="s">
        <v>16</v>
      </c>
      <c r="D1740" s="6" t="s">
        <v>3323</v>
      </c>
      <c r="E1740" s="6"/>
      <c r="F1740" s="6" t="b">
        <f t="shared" si="1"/>
        <v>0</v>
      </c>
    </row>
    <row r="1741" ht="15.75" customHeight="1">
      <c r="A1741" s="7" t="s">
        <v>3324</v>
      </c>
      <c r="B1741" s="4" t="s">
        <v>3325</v>
      </c>
      <c r="C1741" s="5" t="s">
        <v>16</v>
      </c>
      <c r="D1741" s="6" t="s">
        <v>3326</v>
      </c>
      <c r="E1741" s="6"/>
      <c r="F1741" s="6" t="b">
        <f t="shared" si="1"/>
        <v>0</v>
      </c>
    </row>
    <row r="1742" ht="15.75" customHeight="1">
      <c r="A1742" s="7" t="s">
        <v>3327</v>
      </c>
      <c r="B1742" s="4" t="s">
        <v>3328</v>
      </c>
      <c r="C1742" s="5" t="s">
        <v>16</v>
      </c>
      <c r="D1742" s="6" t="s">
        <v>3329</v>
      </c>
      <c r="E1742" s="6"/>
      <c r="F1742" s="6" t="b">
        <f t="shared" si="1"/>
        <v>0</v>
      </c>
    </row>
    <row r="1743" ht="15.75" customHeight="1">
      <c r="A1743" s="7" t="s">
        <v>3330</v>
      </c>
      <c r="B1743" s="4" t="s">
        <v>3331</v>
      </c>
      <c r="C1743" s="5" t="s">
        <v>16</v>
      </c>
      <c r="D1743" s="6" t="s">
        <v>3332</v>
      </c>
      <c r="E1743" s="6"/>
      <c r="F1743" s="6" t="b">
        <f t="shared" si="1"/>
        <v>0</v>
      </c>
    </row>
    <row r="1744" ht="15.75" customHeight="1">
      <c r="A1744" s="7" t="s">
        <v>3333</v>
      </c>
      <c r="B1744" s="4" t="s">
        <v>3334</v>
      </c>
      <c r="C1744" s="5" t="s">
        <v>16</v>
      </c>
      <c r="D1744" s="6" t="s">
        <v>3332</v>
      </c>
      <c r="E1744" s="6"/>
      <c r="F1744" s="6" t="b">
        <f t="shared" si="1"/>
        <v>0</v>
      </c>
    </row>
    <row r="1745" ht="15.75" customHeight="1">
      <c r="A1745" s="7" t="s">
        <v>3335</v>
      </c>
      <c r="B1745" s="4" t="s">
        <v>3336</v>
      </c>
      <c r="C1745" s="5" t="s">
        <v>16</v>
      </c>
      <c r="D1745" s="6" t="s">
        <v>3329</v>
      </c>
      <c r="E1745" s="6"/>
      <c r="F1745" s="6" t="b">
        <f t="shared" si="1"/>
        <v>0</v>
      </c>
    </row>
    <row r="1746" ht="15.75" customHeight="1">
      <c r="A1746" s="7" t="s">
        <v>3337</v>
      </c>
      <c r="B1746" s="4" t="s">
        <v>3338</v>
      </c>
      <c r="C1746" s="5" t="s">
        <v>16</v>
      </c>
      <c r="D1746" s="6" t="s">
        <v>3339</v>
      </c>
      <c r="E1746" s="6"/>
      <c r="F1746" s="6" t="b">
        <f t="shared" si="1"/>
        <v>0</v>
      </c>
    </row>
    <row r="1747" ht="15.75" customHeight="1">
      <c r="A1747" s="7" t="s">
        <v>3340</v>
      </c>
      <c r="B1747" s="4" t="s">
        <v>3341</v>
      </c>
      <c r="C1747" s="5" t="s">
        <v>16</v>
      </c>
      <c r="D1747" s="6" t="s">
        <v>3342</v>
      </c>
      <c r="E1747" s="6"/>
      <c r="F1747" s="6" t="b">
        <f t="shared" si="1"/>
        <v>0</v>
      </c>
    </row>
    <row r="1748" ht="15.75" customHeight="1">
      <c r="A1748" s="7" t="s">
        <v>3343</v>
      </c>
      <c r="B1748" s="4" t="s">
        <v>3344</v>
      </c>
      <c r="C1748" s="5" t="s">
        <v>16</v>
      </c>
      <c r="D1748" s="6" t="s">
        <v>3345</v>
      </c>
      <c r="E1748" s="6"/>
      <c r="F1748" s="6" t="b">
        <f t="shared" si="1"/>
        <v>0</v>
      </c>
    </row>
    <row r="1749" ht="15.75" customHeight="1">
      <c r="A1749" s="7" t="s">
        <v>3346</v>
      </c>
      <c r="B1749" s="4" t="s">
        <v>3347</v>
      </c>
      <c r="C1749" s="5" t="s">
        <v>16</v>
      </c>
      <c r="D1749" s="6" t="s">
        <v>3348</v>
      </c>
      <c r="E1749" s="6"/>
      <c r="F1749" s="6" t="b">
        <f t="shared" si="1"/>
        <v>0</v>
      </c>
    </row>
    <row r="1750" ht="15.75" customHeight="1">
      <c r="A1750" s="7" t="s">
        <v>3349</v>
      </c>
      <c r="B1750" s="4" t="s">
        <v>3350</v>
      </c>
      <c r="C1750" s="5" t="s">
        <v>16</v>
      </c>
      <c r="D1750" s="6" t="s">
        <v>3351</v>
      </c>
      <c r="E1750" s="6"/>
      <c r="F1750" s="6" t="b">
        <f t="shared" si="1"/>
        <v>0</v>
      </c>
    </row>
    <row r="1751" ht="15.75" customHeight="1">
      <c r="A1751" s="7" t="s">
        <v>3352</v>
      </c>
      <c r="B1751" s="4" t="s">
        <v>3353</v>
      </c>
      <c r="C1751" s="5" t="s">
        <v>16</v>
      </c>
      <c r="D1751" s="6" t="s">
        <v>3354</v>
      </c>
      <c r="E1751" s="6"/>
      <c r="F1751" s="6" t="b">
        <f t="shared" si="1"/>
        <v>0</v>
      </c>
    </row>
    <row r="1752" ht="15.75" customHeight="1">
      <c r="A1752" s="7" t="s">
        <v>3355</v>
      </c>
      <c r="B1752" s="4" t="s">
        <v>3356</v>
      </c>
      <c r="C1752" s="5" t="s">
        <v>16</v>
      </c>
      <c r="D1752" s="6" t="s">
        <v>3354</v>
      </c>
      <c r="E1752" s="6"/>
      <c r="F1752" s="6" t="b">
        <f t="shared" si="1"/>
        <v>0</v>
      </c>
    </row>
    <row r="1753" ht="15.75" customHeight="1">
      <c r="A1753" s="7" t="s">
        <v>3357</v>
      </c>
      <c r="B1753" s="4" t="s">
        <v>3358</v>
      </c>
      <c r="C1753" s="5" t="s">
        <v>16</v>
      </c>
      <c r="D1753" s="6" t="s">
        <v>927</v>
      </c>
      <c r="E1753" s="6"/>
      <c r="F1753" s="6" t="b">
        <f t="shared" si="1"/>
        <v>0</v>
      </c>
    </row>
    <row r="1754" ht="15.75" customHeight="1">
      <c r="A1754" s="7" t="s">
        <v>3359</v>
      </c>
      <c r="B1754" s="4" t="s">
        <v>3360</v>
      </c>
      <c r="C1754" s="5" t="s">
        <v>16</v>
      </c>
      <c r="D1754" s="6" t="s">
        <v>3361</v>
      </c>
      <c r="E1754" s="6"/>
      <c r="F1754" s="6" t="b">
        <f t="shared" si="1"/>
        <v>0</v>
      </c>
    </row>
    <row r="1755" ht="15.75" customHeight="1">
      <c r="A1755" s="7" t="s">
        <v>3362</v>
      </c>
      <c r="B1755" s="4" t="s">
        <v>3363</v>
      </c>
      <c r="C1755" s="5" t="s">
        <v>16</v>
      </c>
      <c r="D1755" s="6" t="s">
        <v>3364</v>
      </c>
      <c r="E1755" s="6"/>
      <c r="F1755" s="6" t="b">
        <f t="shared" si="1"/>
        <v>0</v>
      </c>
    </row>
    <row r="1756" ht="15.75" customHeight="1">
      <c r="A1756" s="7" t="s">
        <v>3365</v>
      </c>
      <c r="B1756" s="4" t="s">
        <v>3366</v>
      </c>
      <c r="C1756" s="5" t="s">
        <v>16</v>
      </c>
      <c r="D1756" s="6" t="s">
        <v>3367</v>
      </c>
      <c r="E1756" s="6"/>
      <c r="F1756" s="6" t="b">
        <f t="shared" si="1"/>
        <v>0</v>
      </c>
    </row>
    <row r="1757" ht="15.75" customHeight="1">
      <c r="A1757" s="7" t="s">
        <v>3368</v>
      </c>
      <c r="B1757" s="4" t="s">
        <v>3369</v>
      </c>
      <c r="C1757" s="5" t="s">
        <v>16</v>
      </c>
      <c r="D1757" s="6" t="s">
        <v>3370</v>
      </c>
      <c r="E1757" s="6"/>
      <c r="F1757" s="6" t="b">
        <f t="shared" si="1"/>
        <v>0</v>
      </c>
    </row>
    <row r="1758" ht="15.75" customHeight="1">
      <c r="A1758" s="7" t="s">
        <v>3371</v>
      </c>
      <c r="B1758" s="4" t="s">
        <v>3372</v>
      </c>
      <c r="C1758" s="5" t="s">
        <v>16</v>
      </c>
      <c r="D1758" s="6" t="s">
        <v>3373</v>
      </c>
      <c r="E1758" s="6"/>
      <c r="F1758" s="6" t="b">
        <f t="shared" si="1"/>
        <v>0</v>
      </c>
    </row>
    <row r="1759" ht="15.75" customHeight="1">
      <c r="A1759" s="7" t="s">
        <v>3374</v>
      </c>
      <c r="B1759" s="4" t="s">
        <v>3375</v>
      </c>
      <c r="C1759" s="5" t="s">
        <v>16</v>
      </c>
      <c r="D1759" s="6" t="s">
        <v>3376</v>
      </c>
      <c r="E1759" s="6"/>
      <c r="F1759" s="6" t="b">
        <f t="shared" si="1"/>
        <v>0</v>
      </c>
    </row>
    <row r="1760" ht="15.75" customHeight="1">
      <c r="A1760" s="7" t="s">
        <v>3377</v>
      </c>
      <c r="B1760" s="4" t="s">
        <v>3378</v>
      </c>
      <c r="C1760" s="5" t="s">
        <v>16</v>
      </c>
      <c r="D1760" s="6" t="s">
        <v>3379</v>
      </c>
      <c r="E1760" s="6"/>
      <c r="F1760" s="6" t="b">
        <f t="shared" si="1"/>
        <v>0</v>
      </c>
    </row>
    <row r="1761" ht="15.75" customHeight="1">
      <c r="A1761" s="3" t="s">
        <v>3380</v>
      </c>
      <c r="B1761" s="4"/>
      <c r="C1761" s="5"/>
      <c r="D1761" s="5"/>
      <c r="E1761" s="6"/>
      <c r="F1761" s="6" t="b">
        <f t="shared" si="1"/>
        <v>0</v>
      </c>
    </row>
    <row r="1762" ht="15.75" customHeight="1">
      <c r="A1762" s="7" t="s">
        <v>3381</v>
      </c>
      <c r="B1762" s="4" t="s">
        <v>3382</v>
      </c>
      <c r="C1762" s="5" t="s">
        <v>16</v>
      </c>
      <c r="D1762" s="6" t="s">
        <v>3383</v>
      </c>
      <c r="E1762" s="6"/>
      <c r="F1762" s="6" t="b">
        <f t="shared" si="1"/>
        <v>0</v>
      </c>
    </row>
    <row r="1763" ht="15.75" customHeight="1">
      <c r="A1763" s="3" t="s">
        <v>3384</v>
      </c>
      <c r="B1763" s="4"/>
      <c r="C1763" s="5"/>
      <c r="D1763" s="5"/>
      <c r="E1763" s="6"/>
      <c r="F1763" s="6" t="b">
        <f t="shared" si="1"/>
        <v>0</v>
      </c>
    </row>
    <row r="1764" ht="15.75" customHeight="1">
      <c r="A1764" s="7" t="s">
        <v>3385</v>
      </c>
      <c r="B1764" s="4" t="s">
        <v>3386</v>
      </c>
      <c r="C1764" s="5" t="s">
        <v>16</v>
      </c>
      <c r="D1764" s="6" t="s">
        <v>3387</v>
      </c>
      <c r="E1764" s="6"/>
      <c r="F1764" s="6" t="b">
        <f t="shared" si="1"/>
        <v>0</v>
      </c>
    </row>
    <row r="1765" ht="15.75" customHeight="1">
      <c r="A1765" s="7" t="s">
        <v>3388</v>
      </c>
      <c r="B1765" s="4" t="s">
        <v>3389</v>
      </c>
      <c r="C1765" s="5" t="s">
        <v>16</v>
      </c>
      <c r="D1765" s="6" t="s">
        <v>3390</v>
      </c>
      <c r="E1765" s="6"/>
      <c r="F1765" s="6" t="b">
        <f t="shared" si="1"/>
        <v>0</v>
      </c>
    </row>
    <row r="1766" ht="15.75" customHeight="1">
      <c r="A1766" s="7" t="s">
        <v>3391</v>
      </c>
      <c r="B1766" s="4" t="s">
        <v>3392</v>
      </c>
      <c r="C1766" s="5" t="s">
        <v>16</v>
      </c>
      <c r="D1766" s="6" t="s">
        <v>3390</v>
      </c>
      <c r="E1766" s="6"/>
      <c r="F1766" s="6" t="b">
        <f t="shared" si="1"/>
        <v>0</v>
      </c>
    </row>
    <row r="1767" ht="15.75" customHeight="1">
      <c r="A1767" s="7" t="s">
        <v>3393</v>
      </c>
      <c r="B1767" s="4" t="s">
        <v>3394</v>
      </c>
      <c r="C1767" s="5" t="s">
        <v>16</v>
      </c>
      <c r="D1767" s="6" t="s">
        <v>3390</v>
      </c>
      <c r="E1767" s="6"/>
      <c r="F1767" s="6" t="b">
        <f t="shared" si="1"/>
        <v>0</v>
      </c>
    </row>
    <row r="1768" ht="15.75" customHeight="1">
      <c r="A1768" s="7" t="s">
        <v>3395</v>
      </c>
      <c r="B1768" s="4" t="s">
        <v>3396</v>
      </c>
      <c r="C1768" s="5" t="s">
        <v>16</v>
      </c>
      <c r="D1768" s="6" t="s">
        <v>3390</v>
      </c>
      <c r="E1768" s="6"/>
      <c r="F1768" s="6" t="b">
        <f t="shared" si="1"/>
        <v>0</v>
      </c>
    </row>
    <row r="1769" ht="15.75" customHeight="1">
      <c r="A1769" s="3" t="s">
        <v>3397</v>
      </c>
      <c r="B1769" s="4"/>
      <c r="C1769" s="5"/>
      <c r="D1769" s="5"/>
      <c r="E1769" s="6"/>
      <c r="F1769" s="6" t="b">
        <f t="shared" si="1"/>
        <v>0</v>
      </c>
    </row>
    <row r="1770" ht="15.75" customHeight="1">
      <c r="A1770" s="7" t="s">
        <v>3398</v>
      </c>
      <c r="B1770" s="4" t="s">
        <v>3399</v>
      </c>
      <c r="C1770" s="5" t="s">
        <v>16</v>
      </c>
      <c r="D1770" s="6" t="s">
        <v>3400</v>
      </c>
      <c r="E1770" s="6"/>
      <c r="F1770" s="6" t="b">
        <f t="shared" si="1"/>
        <v>0</v>
      </c>
    </row>
    <row r="1771" ht="15.75" customHeight="1">
      <c r="A1771" s="7" t="s">
        <v>3401</v>
      </c>
      <c r="B1771" s="4" t="s">
        <v>3402</v>
      </c>
      <c r="C1771" s="5" t="s">
        <v>16</v>
      </c>
      <c r="D1771" s="6" t="s">
        <v>3403</v>
      </c>
      <c r="E1771" s="6"/>
      <c r="F1771" s="6" t="b">
        <f t="shared" si="1"/>
        <v>0</v>
      </c>
    </row>
    <row r="1772" ht="15.75" customHeight="1">
      <c r="A1772" s="7" t="s">
        <v>3404</v>
      </c>
      <c r="B1772" s="4" t="s">
        <v>3405</v>
      </c>
      <c r="C1772" s="5" t="s">
        <v>16</v>
      </c>
      <c r="D1772" s="6" t="s">
        <v>3406</v>
      </c>
      <c r="E1772" s="6"/>
      <c r="F1772" s="6" t="b">
        <f t="shared" si="1"/>
        <v>0</v>
      </c>
    </row>
    <row r="1773" ht="15.75" customHeight="1">
      <c r="A1773" s="7" t="s">
        <v>3407</v>
      </c>
      <c r="B1773" s="4" t="s">
        <v>3408</v>
      </c>
      <c r="C1773" s="5" t="s">
        <v>16</v>
      </c>
      <c r="D1773" s="6" t="s">
        <v>3409</v>
      </c>
      <c r="E1773" s="6"/>
      <c r="F1773" s="6" t="b">
        <f t="shared" si="1"/>
        <v>0</v>
      </c>
    </row>
    <row r="1774" ht="15.75" customHeight="1">
      <c r="A1774" s="3" t="s">
        <v>3410</v>
      </c>
      <c r="B1774" s="4"/>
      <c r="C1774" s="5"/>
      <c r="D1774" s="5"/>
      <c r="E1774" s="6"/>
      <c r="F1774" s="6" t="b">
        <f t="shared" si="1"/>
        <v>0</v>
      </c>
    </row>
    <row r="1775" ht="15.75" customHeight="1">
      <c r="A1775" s="3" t="s">
        <v>3411</v>
      </c>
      <c r="B1775" s="4"/>
      <c r="C1775" s="5"/>
      <c r="D1775" s="5"/>
      <c r="E1775" s="6"/>
      <c r="F1775" s="6" t="b">
        <f t="shared" si="1"/>
        <v>0</v>
      </c>
    </row>
    <row r="1776" ht="15.75" customHeight="1">
      <c r="A1776" s="7" t="s">
        <v>3412</v>
      </c>
      <c r="B1776" s="4" t="s">
        <v>3413</v>
      </c>
      <c r="C1776" s="5" t="s">
        <v>16</v>
      </c>
      <c r="D1776" s="6" t="s">
        <v>3414</v>
      </c>
      <c r="E1776" s="6"/>
      <c r="F1776" s="6" t="b">
        <f t="shared" si="1"/>
        <v>0</v>
      </c>
    </row>
    <row r="1777" ht="15.75" customHeight="1">
      <c r="A1777" s="7" t="s">
        <v>3415</v>
      </c>
      <c r="B1777" s="4" t="s">
        <v>3416</v>
      </c>
      <c r="C1777" s="5" t="s">
        <v>16</v>
      </c>
      <c r="D1777" s="6" t="s">
        <v>3417</v>
      </c>
      <c r="E1777" s="6"/>
      <c r="F1777" s="6" t="b">
        <f t="shared" si="1"/>
        <v>0</v>
      </c>
    </row>
    <row r="1778" ht="15.75" customHeight="1">
      <c r="A1778" s="7" t="s">
        <v>3418</v>
      </c>
      <c r="B1778" s="4" t="s">
        <v>3419</v>
      </c>
      <c r="C1778" s="5" t="s">
        <v>16</v>
      </c>
      <c r="D1778" s="6" t="s">
        <v>3417</v>
      </c>
      <c r="E1778" s="6"/>
      <c r="F1778" s="6" t="b">
        <f t="shared" si="1"/>
        <v>0</v>
      </c>
    </row>
    <row r="1779" ht="15.75" customHeight="1">
      <c r="A1779" s="7" t="s">
        <v>3420</v>
      </c>
      <c r="B1779" s="4" t="s">
        <v>3421</v>
      </c>
      <c r="C1779" s="5" t="s">
        <v>16</v>
      </c>
      <c r="D1779" s="6" t="s">
        <v>3422</v>
      </c>
      <c r="E1779" s="6"/>
      <c r="F1779" s="6" t="b">
        <f t="shared" si="1"/>
        <v>0</v>
      </c>
    </row>
    <row r="1780" ht="15.75" customHeight="1">
      <c r="A1780" s="7" t="s">
        <v>3423</v>
      </c>
      <c r="B1780" s="4" t="s">
        <v>3424</v>
      </c>
      <c r="C1780" s="5" t="s">
        <v>16</v>
      </c>
      <c r="D1780" s="6" t="s">
        <v>3425</v>
      </c>
      <c r="E1780" s="6"/>
      <c r="F1780" s="6" t="b">
        <f t="shared" si="1"/>
        <v>0</v>
      </c>
    </row>
    <row r="1781" ht="15.75" customHeight="1">
      <c r="A1781" s="7" t="s">
        <v>3426</v>
      </c>
      <c r="B1781" s="4" t="s">
        <v>3427</v>
      </c>
      <c r="C1781" s="5" t="s">
        <v>16</v>
      </c>
      <c r="D1781" s="6" t="s">
        <v>3428</v>
      </c>
      <c r="E1781" s="6"/>
      <c r="F1781" s="6" t="b">
        <f t="shared" si="1"/>
        <v>0</v>
      </c>
    </row>
    <row r="1782" ht="15.75" customHeight="1">
      <c r="A1782" s="7" t="s">
        <v>3429</v>
      </c>
      <c r="B1782" s="4" t="s">
        <v>3430</v>
      </c>
      <c r="C1782" s="5" t="s">
        <v>16</v>
      </c>
      <c r="D1782" s="6" t="s">
        <v>3431</v>
      </c>
      <c r="E1782" s="6"/>
      <c r="F1782" s="6" t="b">
        <f t="shared" si="1"/>
        <v>0</v>
      </c>
    </row>
    <row r="1783" ht="15.75" customHeight="1">
      <c r="A1783" s="7" t="s">
        <v>3432</v>
      </c>
      <c r="B1783" s="4" t="s">
        <v>3433</v>
      </c>
      <c r="C1783" s="5" t="s">
        <v>16</v>
      </c>
      <c r="D1783" s="6" t="s">
        <v>3431</v>
      </c>
      <c r="E1783" s="6"/>
      <c r="F1783" s="6" t="b">
        <f t="shared" si="1"/>
        <v>0</v>
      </c>
    </row>
    <row r="1784" ht="15.75" customHeight="1">
      <c r="A1784" s="7" t="s">
        <v>3434</v>
      </c>
      <c r="B1784" s="4" t="s">
        <v>3435</v>
      </c>
      <c r="C1784" s="5" t="s">
        <v>16</v>
      </c>
      <c r="D1784" s="6" t="s">
        <v>3436</v>
      </c>
      <c r="E1784" s="6"/>
      <c r="F1784" s="6" t="b">
        <f t="shared" si="1"/>
        <v>0</v>
      </c>
    </row>
    <row r="1785" ht="15.75" customHeight="1">
      <c r="A1785" s="7" t="s">
        <v>3437</v>
      </c>
      <c r="B1785" s="4" t="s">
        <v>3438</v>
      </c>
      <c r="C1785" s="5" t="s">
        <v>16</v>
      </c>
      <c r="D1785" s="6" t="s">
        <v>3436</v>
      </c>
      <c r="E1785" s="6"/>
      <c r="F1785" s="6" t="b">
        <f t="shared" si="1"/>
        <v>0</v>
      </c>
    </row>
    <row r="1786" ht="15.75" customHeight="1">
      <c r="A1786" s="7" t="s">
        <v>3439</v>
      </c>
      <c r="B1786" s="4" t="s">
        <v>3440</v>
      </c>
      <c r="C1786" s="5" t="s">
        <v>16</v>
      </c>
      <c r="D1786" s="6" t="s">
        <v>3441</v>
      </c>
      <c r="E1786" s="6"/>
      <c r="F1786" s="6" t="b">
        <f t="shared" si="1"/>
        <v>0</v>
      </c>
    </row>
    <row r="1787" ht="15.75" customHeight="1">
      <c r="A1787" s="7" t="s">
        <v>3442</v>
      </c>
      <c r="B1787" s="4" t="s">
        <v>3443</v>
      </c>
      <c r="C1787" s="5" t="s">
        <v>16</v>
      </c>
      <c r="D1787" s="6" t="s">
        <v>3444</v>
      </c>
      <c r="E1787" s="6"/>
      <c r="F1787" s="6" t="b">
        <f t="shared" si="1"/>
        <v>0</v>
      </c>
    </row>
    <row r="1788" ht="15.75" customHeight="1">
      <c r="A1788" s="7" t="s">
        <v>3445</v>
      </c>
      <c r="B1788" s="4" t="s">
        <v>3446</v>
      </c>
      <c r="C1788" s="5" t="s">
        <v>16</v>
      </c>
      <c r="D1788" s="6" t="s">
        <v>3447</v>
      </c>
      <c r="E1788" s="6"/>
      <c r="F1788" s="6" t="b">
        <f t="shared" si="1"/>
        <v>0</v>
      </c>
    </row>
    <row r="1789" ht="15.75" customHeight="1">
      <c r="A1789" s="3" t="s">
        <v>3448</v>
      </c>
      <c r="B1789" s="4"/>
      <c r="C1789" s="5"/>
      <c r="D1789" s="5"/>
      <c r="E1789" s="6"/>
      <c r="F1789" s="6" t="b">
        <f t="shared" si="1"/>
        <v>0</v>
      </c>
    </row>
    <row r="1790" ht="15.75" customHeight="1">
      <c r="A1790" s="7" t="s">
        <v>3449</v>
      </c>
      <c r="B1790" s="4" t="s">
        <v>3450</v>
      </c>
      <c r="C1790" s="5" t="s">
        <v>16</v>
      </c>
      <c r="D1790" s="6" t="s">
        <v>3451</v>
      </c>
      <c r="E1790" s="6"/>
      <c r="F1790" s="6" t="b">
        <f t="shared" si="1"/>
        <v>0</v>
      </c>
    </row>
    <row r="1791" ht="15.75" customHeight="1">
      <c r="A1791" s="7" t="s">
        <v>3452</v>
      </c>
      <c r="B1791" s="4" t="s">
        <v>3453</v>
      </c>
      <c r="C1791" s="5" t="s">
        <v>16</v>
      </c>
      <c r="D1791" s="6" t="s">
        <v>3454</v>
      </c>
      <c r="E1791" s="6"/>
      <c r="F1791" s="6" t="b">
        <f t="shared" si="1"/>
        <v>0</v>
      </c>
    </row>
    <row r="1792" ht="15.75" customHeight="1">
      <c r="A1792" s="7" t="s">
        <v>3455</v>
      </c>
      <c r="B1792" s="4" t="s">
        <v>3456</v>
      </c>
      <c r="C1792" s="5" t="s">
        <v>16</v>
      </c>
      <c r="D1792" s="6" t="s">
        <v>3457</v>
      </c>
      <c r="E1792" s="6"/>
      <c r="F1792" s="6" t="b">
        <f t="shared" si="1"/>
        <v>0</v>
      </c>
    </row>
    <row r="1793" ht="15.75" customHeight="1">
      <c r="A1793" s="7" t="s">
        <v>3458</v>
      </c>
      <c r="B1793" s="4" t="s">
        <v>3459</v>
      </c>
      <c r="C1793" s="5" t="s">
        <v>16</v>
      </c>
      <c r="D1793" s="6" t="s">
        <v>3460</v>
      </c>
      <c r="E1793" s="6"/>
      <c r="F1793" s="6" t="b">
        <f t="shared" si="1"/>
        <v>0</v>
      </c>
    </row>
    <row r="1794" ht="15.75" customHeight="1">
      <c r="A1794" s="7" t="s">
        <v>3461</v>
      </c>
      <c r="B1794" s="4" t="s">
        <v>3462</v>
      </c>
      <c r="C1794" s="5" t="s">
        <v>16</v>
      </c>
      <c r="D1794" s="6" t="s">
        <v>3463</v>
      </c>
      <c r="E1794" s="6"/>
      <c r="F1794" s="6" t="b">
        <f t="shared" si="1"/>
        <v>0</v>
      </c>
    </row>
    <row r="1795" ht="15.75" customHeight="1">
      <c r="A1795" s="7" t="s">
        <v>3464</v>
      </c>
      <c r="B1795" s="4" t="s">
        <v>3465</v>
      </c>
      <c r="C1795" s="5" t="s">
        <v>16</v>
      </c>
      <c r="D1795" s="6" t="s">
        <v>3466</v>
      </c>
      <c r="E1795" s="6"/>
      <c r="F1795" s="6" t="b">
        <f t="shared" si="1"/>
        <v>0</v>
      </c>
    </row>
    <row r="1796" ht="15.75" customHeight="1">
      <c r="A1796" s="3" t="s">
        <v>3467</v>
      </c>
      <c r="B1796" s="4"/>
      <c r="C1796" s="5"/>
      <c r="D1796" s="5"/>
      <c r="E1796" s="6"/>
      <c r="F1796" s="6" t="b">
        <f t="shared" si="1"/>
        <v>0</v>
      </c>
    </row>
    <row r="1797" ht="15.75" customHeight="1">
      <c r="A1797" s="7" t="s">
        <v>3468</v>
      </c>
      <c r="B1797" s="4" t="s">
        <v>3469</v>
      </c>
      <c r="C1797" s="5" t="s">
        <v>16</v>
      </c>
      <c r="D1797" s="6" t="s">
        <v>3470</v>
      </c>
      <c r="E1797" s="6"/>
      <c r="F1797" s="6" t="b">
        <f t="shared" si="1"/>
        <v>0</v>
      </c>
    </row>
    <row r="1798" ht="15.75" customHeight="1">
      <c r="A1798" s="7" t="s">
        <v>3471</v>
      </c>
      <c r="B1798" s="4" t="s">
        <v>3472</v>
      </c>
      <c r="C1798" s="5" t="s">
        <v>16</v>
      </c>
      <c r="D1798" s="6" t="s">
        <v>3473</v>
      </c>
      <c r="E1798" s="6"/>
      <c r="F1798" s="6" t="b">
        <f t="shared" si="1"/>
        <v>0</v>
      </c>
    </row>
    <row r="1799" ht="15.75" customHeight="1">
      <c r="A1799" s="7" t="s">
        <v>3474</v>
      </c>
      <c r="B1799" s="4" t="s">
        <v>3475</v>
      </c>
      <c r="C1799" s="5" t="s">
        <v>16</v>
      </c>
      <c r="D1799" s="6" t="s">
        <v>3476</v>
      </c>
      <c r="E1799" s="6"/>
      <c r="F1799" s="6" t="b">
        <f t="shared" si="1"/>
        <v>0</v>
      </c>
    </row>
    <row r="1800" ht="15.75" customHeight="1">
      <c r="A1800" s="3" t="s">
        <v>3477</v>
      </c>
      <c r="B1800" s="4"/>
      <c r="C1800" s="5"/>
      <c r="D1800" s="5"/>
      <c r="E1800" s="6"/>
      <c r="F1800" s="6" t="b">
        <f t="shared" si="1"/>
        <v>0</v>
      </c>
    </row>
    <row r="1801" ht="15.75" customHeight="1">
      <c r="A1801" s="7" t="s">
        <v>3478</v>
      </c>
      <c r="B1801" s="4" t="s">
        <v>3479</v>
      </c>
      <c r="C1801" s="5" t="s">
        <v>16</v>
      </c>
      <c r="D1801" s="6" t="s">
        <v>125</v>
      </c>
      <c r="E1801" s="6"/>
      <c r="F1801" s="6" t="b">
        <f t="shared" si="1"/>
        <v>0</v>
      </c>
    </row>
    <row r="1802" ht="15.75" customHeight="1">
      <c r="A1802" s="7" t="s">
        <v>3480</v>
      </c>
      <c r="B1802" s="4" t="s">
        <v>3481</v>
      </c>
      <c r="C1802" s="5" t="s">
        <v>16</v>
      </c>
      <c r="D1802" s="6" t="s">
        <v>3482</v>
      </c>
      <c r="E1802" s="6"/>
      <c r="F1802" s="6" t="b">
        <f t="shared" si="1"/>
        <v>0</v>
      </c>
    </row>
    <row r="1803" ht="15.75" customHeight="1">
      <c r="A1803" s="3" t="s">
        <v>3483</v>
      </c>
      <c r="B1803" s="4"/>
      <c r="C1803" s="5"/>
      <c r="D1803" s="5"/>
      <c r="E1803" s="6"/>
      <c r="F1803" s="6" t="b">
        <f t="shared" si="1"/>
        <v>0</v>
      </c>
    </row>
    <row r="1804" ht="15.75" customHeight="1">
      <c r="A1804" s="3" t="s">
        <v>3484</v>
      </c>
      <c r="B1804" s="4"/>
      <c r="C1804" s="5"/>
      <c r="D1804" s="5"/>
      <c r="E1804" s="6"/>
      <c r="F1804" s="6" t="b">
        <f t="shared" si="1"/>
        <v>0</v>
      </c>
    </row>
    <row r="1805" ht="15.75" customHeight="1">
      <c r="A1805" s="3" t="s">
        <v>3485</v>
      </c>
      <c r="B1805" s="4"/>
      <c r="C1805" s="5"/>
      <c r="D1805" s="5"/>
      <c r="E1805" s="6"/>
      <c r="F1805" s="6" t="b">
        <f t="shared" si="1"/>
        <v>0</v>
      </c>
    </row>
    <row r="1806" ht="15.75" customHeight="1">
      <c r="A1806" s="7" t="s">
        <v>3486</v>
      </c>
      <c r="B1806" s="4" t="s">
        <v>3487</v>
      </c>
      <c r="C1806" s="5" t="s">
        <v>6</v>
      </c>
      <c r="D1806" s="6" t="s">
        <v>2941</v>
      </c>
      <c r="E1806" s="6"/>
      <c r="F1806" s="6" t="b">
        <f t="shared" si="1"/>
        <v>0</v>
      </c>
    </row>
    <row r="1807" ht="15.75" customHeight="1">
      <c r="A1807" s="7" t="s">
        <v>3488</v>
      </c>
      <c r="B1807" s="4" t="s">
        <v>3489</v>
      </c>
      <c r="C1807" s="5" t="s">
        <v>6</v>
      </c>
      <c r="D1807" s="6" t="s">
        <v>3490</v>
      </c>
      <c r="E1807" s="6"/>
      <c r="F1807" s="6" t="b">
        <f t="shared" si="1"/>
        <v>0</v>
      </c>
    </row>
    <row r="1808" ht="15.75" customHeight="1">
      <c r="A1808" s="7" t="s">
        <v>3491</v>
      </c>
      <c r="B1808" s="4" t="s">
        <v>3492</v>
      </c>
      <c r="C1808" s="5" t="s">
        <v>6</v>
      </c>
      <c r="D1808" s="6" t="s">
        <v>3490</v>
      </c>
      <c r="E1808" s="6"/>
      <c r="F1808" s="6" t="b">
        <f t="shared" si="1"/>
        <v>0</v>
      </c>
    </row>
    <row r="1809" ht="15.75" customHeight="1">
      <c r="A1809" s="7" t="s">
        <v>3493</v>
      </c>
      <c r="B1809" s="4" t="s">
        <v>3494</v>
      </c>
      <c r="C1809" s="5" t="s">
        <v>6</v>
      </c>
      <c r="D1809" s="6" t="s">
        <v>3490</v>
      </c>
      <c r="E1809" s="6"/>
      <c r="F1809" s="6" t="b">
        <f t="shared" si="1"/>
        <v>0</v>
      </c>
    </row>
    <row r="1810" ht="15.75" customHeight="1">
      <c r="A1810" s="3" t="s">
        <v>3495</v>
      </c>
      <c r="B1810" s="4"/>
      <c r="C1810" s="5"/>
      <c r="D1810" s="5"/>
      <c r="E1810" s="6"/>
      <c r="F1810" s="6" t="b">
        <f t="shared" si="1"/>
        <v>0</v>
      </c>
    </row>
    <row r="1811" ht="15.75" customHeight="1">
      <c r="A1811" s="7" t="s">
        <v>3496</v>
      </c>
      <c r="B1811" s="4" t="s">
        <v>3497</v>
      </c>
      <c r="C1811" s="5" t="s">
        <v>6</v>
      </c>
      <c r="D1811" s="6" t="s">
        <v>3498</v>
      </c>
      <c r="E1811" s="6"/>
      <c r="F1811" s="6" t="b">
        <f t="shared" si="1"/>
        <v>0</v>
      </c>
    </row>
    <row r="1812" ht="15.75" customHeight="1">
      <c r="A1812" s="3" t="s">
        <v>3499</v>
      </c>
      <c r="B1812" s="4"/>
      <c r="C1812" s="5"/>
      <c r="D1812" s="5"/>
      <c r="E1812" s="6"/>
      <c r="F1812" s="6" t="b">
        <f t="shared" si="1"/>
        <v>0</v>
      </c>
    </row>
    <row r="1813" ht="15.75" customHeight="1">
      <c r="A1813" s="3" t="s">
        <v>3500</v>
      </c>
      <c r="B1813" s="4"/>
      <c r="C1813" s="5"/>
      <c r="D1813" s="5"/>
      <c r="E1813" s="6"/>
      <c r="F1813" s="6" t="b">
        <f t="shared" si="1"/>
        <v>0</v>
      </c>
    </row>
    <row r="1814" ht="15.75" customHeight="1">
      <c r="A1814" s="3" t="s">
        <v>3501</v>
      </c>
      <c r="B1814" s="4"/>
      <c r="C1814" s="5"/>
      <c r="D1814" s="5"/>
      <c r="E1814" s="6"/>
      <c r="F1814" s="6" t="b">
        <f t="shared" si="1"/>
        <v>0</v>
      </c>
    </row>
    <row r="1815" ht="15.75" customHeight="1">
      <c r="A1815" s="3" t="s">
        <v>3502</v>
      </c>
      <c r="B1815" s="4"/>
      <c r="C1815" s="5"/>
      <c r="D1815" s="5"/>
      <c r="E1815" s="6"/>
      <c r="F1815" s="6" t="b">
        <f t="shared" si="1"/>
        <v>0</v>
      </c>
    </row>
    <row r="1816" ht="15.75" customHeight="1">
      <c r="A1816" s="3" t="s">
        <v>3503</v>
      </c>
      <c r="B1816" s="4"/>
      <c r="C1816" s="5"/>
      <c r="D1816" s="5"/>
      <c r="E1816" s="6"/>
      <c r="F1816" s="6" t="b">
        <f t="shared" si="1"/>
        <v>0</v>
      </c>
    </row>
    <row r="1817" ht="15.75" customHeight="1">
      <c r="A1817" s="3" t="s">
        <v>3504</v>
      </c>
      <c r="B1817" s="4"/>
      <c r="C1817" s="5"/>
      <c r="D1817" s="5"/>
      <c r="E1817" s="6"/>
      <c r="F1817" s="6" t="b">
        <f t="shared" si="1"/>
        <v>0</v>
      </c>
    </row>
    <row r="1818" ht="15.75" customHeight="1">
      <c r="A1818" s="3" t="s">
        <v>3505</v>
      </c>
      <c r="B1818" s="4"/>
      <c r="C1818" s="5"/>
      <c r="D1818" s="5"/>
      <c r="E1818" s="6"/>
      <c r="F1818" s="6" t="b">
        <f t="shared" si="1"/>
        <v>0</v>
      </c>
    </row>
    <row r="1819" ht="15.75" customHeight="1">
      <c r="A1819" s="3" t="s">
        <v>3506</v>
      </c>
      <c r="B1819" s="4"/>
      <c r="C1819" s="5"/>
      <c r="D1819" s="5"/>
      <c r="E1819" s="6"/>
      <c r="F1819" s="6" t="b">
        <f t="shared" si="1"/>
        <v>0</v>
      </c>
    </row>
    <row r="1820" ht="15.75" customHeight="1">
      <c r="A1820" s="3" t="s">
        <v>3507</v>
      </c>
      <c r="B1820" s="4"/>
      <c r="C1820" s="5"/>
      <c r="D1820" s="5"/>
      <c r="E1820" s="6"/>
      <c r="F1820" s="6" t="b">
        <f t="shared" si="1"/>
        <v>0</v>
      </c>
    </row>
    <row r="1821" ht="15.75" customHeight="1">
      <c r="A1821" s="7" t="s">
        <v>3508</v>
      </c>
      <c r="B1821" s="4" t="s">
        <v>3509</v>
      </c>
      <c r="C1821" s="5" t="s">
        <v>16</v>
      </c>
      <c r="D1821" s="6" t="s">
        <v>236</v>
      </c>
      <c r="E1821" s="6"/>
      <c r="F1821" s="6" t="b">
        <f t="shared" si="1"/>
        <v>0</v>
      </c>
    </row>
    <row r="1822" ht="15.75" customHeight="1">
      <c r="A1822" s="7" t="s">
        <v>3510</v>
      </c>
      <c r="B1822" s="4" t="s">
        <v>3511</v>
      </c>
      <c r="C1822" s="5" t="s">
        <v>16</v>
      </c>
      <c r="D1822" s="6" t="s">
        <v>236</v>
      </c>
      <c r="E1822" s="6"/>
      <c r="F1822" s="6" t="b">
        <f t="shared" si="1"/>
        <v>0</v>
      </c>
    </row>
    <row r="1823" ht="15.75" customHeight="1">
      <c r="A1823" s="3" t="s">
        <v>3512</v>
      </c>
      <c r="B1823" s="4"/>
      <c r="C1823" s="5"/>
      <c r="D1823" s="5"/>
      <c r="E1823" s="6"/>
      <c r="F1823" s="6" t="b">
        <f t="shared" si="1"/>
        <v>0</v>
      </c>
    </row>
    <row r="1824" ht="15.75" customHeight="1">
      <c r="A1824" s="3" t="s">
        <v>3513</v>
      </c>
      <c r="B1824" s="4"/>
      <c r="C1824" s="5"/>
      <c r="D1824" s="5"/>
      <c r="E1824" s="6"/>
      <c r="F1824" s="6" t="b">
        <f t="shared" si="1"/>
        <v>0</v>
      </c>
    </row>
    <row r="1825" ht="15.75" customHeight="1">
      <c r="A1825" s="3" t="s">
        <v>3514</v>
      </c>
      <c r="B1825" s="4"/>
      <c r="C1825" s="5"/>
      <c r="D1825" s="5"/>
      <c r="E1825" s="6"/>
      <c r="F1825" s="6" t="b">
        <f t="shared" si="1"/>
        <v>0</v>
      </c>
    </row>
    <row r="1826" ht="15.75" customHeight="1">
      <c r="A1826" s="3" t="s">
        <v>3515</v>
      </c>
      <c r="B1826" s="4"/>
      <c r="C1826" s="5"/>
      <c r="D1826" s="5"/>
      <c r="E1826" s="6"/>
      <c r="F1826" s="6" t="b">
        <f t="shared" si="1"/>
        <v>0</v>
      </c>
    </row>
    <row r="1827" ht="15.75" customHeight="1">
      <c r="A1827" s="3" t="s">
        <v>3516</v>
      </c>
      <c r="B1827" s="4"/>
      <c r="C1827" s="5"/>
      <c r="D1827" s="5"/>
      <c r="E1827" s="6"/>
      <c r="F1827" s="6" t="b">
        <f t="shared" si="1"/>
        <v>0</v>
      </c>
    </row>
    <row r="1828" ht="15.75" customHeight="1">
      <c r="A1828" s="7" t="s">
        <v>3517</v>
      </c>
      <c r="B1828" s="4" t="s">
        <v>3518</v>
      </c>
      <c r="C1828" s="5" t="s">
        <v>16</v>
      </c>
      <c r="D1828" s="6" t="s">
        <v>1087</v>
      </c>
      <c r="E1828" s="6"/>
      <c r="F1828" s="6" t="b">
        <f t="shared" si="1"/>
        <v>0</v>
      </c>
    </row>
    <row r="1829" ht="15.75" customHeight="1">
      <c r="A1829" s="7" t="s">
        <v>3519</v>
      </c>
      <c r="B1829" s="4" t="s">
        <v>3520</v>
      </c>
      <c r="C1829" s="5" t="s">
        <v>16</v>
      </c>
      <c r="D1829" s="6" t="s">
        <v>3521</v>
      </c>
      <c r="E1829" s="6"/>
      <c r="F1829" s="6" t="b">
        <f t="shared" si="1"/>
        <v>0</v>
      </c>
    </row>
    <row r="1830" ht="15.75" customHeight="1">
      <c r="A1830" s="7" t="s">
        <v>3522</v>
      </c>
      <c r="B1830" s="4" t="s">
        <v>3523</v>
      </c>
      <c r="C1830" s="5" t="s">
        <v>16</v>
      </c>
      <c r="D1830" s="6" t="s">
        <v>3524</v>
      </c>
      <c r="E1830" s="6"/>
      <c r="F1830" s="6" t="b">
        <f t="shared" si="1"/>
        <v>0</v>
      </c>
    </row>
    <row r="1831" ht="15.75" customHeight="1">
      <c r="A1831" s="7" t="s">
        <v>3525</v>
      </c>
      <c r="B1831" s="4" t="s">
        <v>3526</v>
      </c>
      <c r="C1831" s="5" t="s">
        <v>16</v>
      </c>
      <c r="D1831" s="6" t="s">
        <v>3527</v>
      </c>
      <c r="E1831" s="6"/>
      <c r="F1831" s="6" t="b">
        <f t="shared" si="1"/>
        <v>0</v>
      </c>
    </row>
    <row r="1832" ht="15.75" customHeight="1">
      <c r="A1832" s="7" t="s">
        <v>3528</v>
      </c>
      <c r="B1832" s="4" t="s">
        <v>3529</v>
      </c>
      <c r="C1832" s="5" t="s">
        <v>16</v>
      </c>
      <c r="D1832" s="6" t="s">
        <v>3527</v>
      </c>
      <c r="E1832" s="6"/>
      <c r="F1832" s="6" t="b">
        <f t="shared" si="1"/>
        <v>0</v>
      </c>
    </row>
    <row r="1833" ht="15.75" customHeight="1">
      <c r="A1833" s="7" t="s">
        <v>3530</v>
      </c>
      <c r="B1833" s="4" t="s">
        <v>3531</v>
      </c>
      <c r="C1833" s="5" t="s">
        <v>16</v>
      </c>
      <c r="D1833" s="6" t="s">
        <v>3527</v>
      </c>
      <c r="E1833" s="6"/>
      <c r="F1833" s="6" t="b">
        <f t="shared" si="1"/>
        <v>0</v>
      </c>
    </row>
    <row r="1834" ht="15.75" customHeight="1">
      <c r="A1834" s="7" t="s">
        <v>3532</v>
      </c>
      <c r="B1834" s="4" t="s">
        <v>3533</v>
      </c>
      <c r="C1834" s="5" t="s">
        <v>16</v>
      </c>
      <c r="D1834" s="6" t="s">
        <v>3527</v>
      </c>
      <c r="E1834" s="6"/>
      <c r="F1834" s="6" t="b">
        <f t="shared" si="1"/>
        <v>0</v>
      </c>
    </row>
    <row r="1835" ht="15.75" customHeight="1">
      <c r="A1835" s="7" t="s">
        <v>3534</v>
      </c>
      <c r="B1835" s="4" t="s">
        <v>3535</v>
      </c>
      <c r="C1835" s="5" t="s">
        <v>16</v>
      </c>
      <c r="D1835" s="6" t="s">
        <v>3527</v>
      </c>
      <c r="E1835" s="6"/>
      <c r="F1835" s="6" t="b">
        <f t="shared" si="1"/>
        <v>0</v>
      </c>
    </row>
    <row r="1836" ht="15.75" customHeight="1">
      <c r="A1836" s="3" t="s">
        <v>3536</v>
      </c>
      <c r="B1836" s="4"/>
      <c r="C1836" s="5"/>
      <c r="D1836" s="5"/>
      <c r="E1836" s="6"/>
      <c r="F1836" s="6" t="b">
        <f t="shared" si="1"/>
        <v>0</v>
      </c>
    </row>
    <row r="1837" ht="15.75" customHeight="1">
      <c r="A1837" s="3" t="s">
        <v>3537</v>
      </c>
      <c r="B1837" s="4"/>
      <c r="C1837" s="5"/>
      <c r="D1837" s="5"/>
      <c r="E1837" s="6"/>
      <c r="F1837" s="6" t="b">
        <f t="shared" si="1"/>
        <v>0</v>
      </c>
    </row>
    <row r="1838" ht="15.75" customHeight="1">
      <c r="A1838" s="3" t="s">
        <v>3538</v>
      </c>
      <c r="B1838" s="4"/>
      <c r="C1838" s="5"/>
      <c r="D1838" s="5"/>
      <c r="E1838" s="6"/>
      <c r="F1838" s="6" t="b">
        <f t="shared" si="1"/>
        <v>0</v>
      </c>
    </row>
    <row r="1839" ht="15.75" customHeight="1">
      <c r="A1839" s="7" t="s">
        <v>3539</v>
      </c>
      <c r="B1839" s="4" t="s">
        <v>3540</v>
      </c>
      <c r="C1839" s="5" t="s">
        <v>6</v>
      </c>
      <c r="D1839" s="6" t="s">
        <v>3541</v>
      </c>
      <c r="E1839" s="6"/>
      <c r="F1839" s="6" t="b">
        <f t="shared" si="1"/>
        <v>0</v>
      </c>
    </row>
    <row r="1840" ht="15.75" customHeight="1">
      <c r="A1840" s="7" t="s">
        <v>3542</v>
      </c>
      <c r="B1840" s="4" t="s">
        <v>3543</v>
      </c>
      <c r="C1840" s="5" t="s">
        <v>6</v>
      </c>
      <c r="D1840" s="6" t="s">
        <v>3544</v>
      </c>
      <c r="E1840" s="6"/>
      <c r="F1840" s="6" t="b">
        <f t="shared" si="1"/>
        <v>0</v>
      </c>
    </row>
    <row r="1841" ht="15.75" customHeight="1">
      <c r="A1841" s="3" t="s">
        <v>3545</v>
      </c>
      <c r="B1841" s="4"/>
      <c r="C1841" s="5"/>
      <c r="D1841" s="5"/>
      <c r="E1841" s="6"/>
      <c r="F1841" s="6" t="b">
        <f t="shared" si="1"/>
        <v>0</v>
      </c>
    </row>
    <row r="1842" ht="15.75" customHeight="1">
      <c r="A1842" s="7" t="s">
        <v>3546</v>
      </c>
      <c r="B1842" s="4" t="s">
        <v>3547</v>
      </c>
      <c r="C1842" s="5" t="s">
        <v>6</v>
      </c>
      <c r="D1842" s="6" t="s">
        <v>3548</v>
      </c>
      <c r="E1842" s="6"/>
      <c r="F1842" s="6" t="b">
        <f t="shared" si="1"/>
        <v>0</v>
      </c>
    </row>
    <row r="1843" ht="15.75" customHeight="1">
      <c r="A1843" s="7" t="s">
        <v>3549</v>
      </c>
      <c r="B1843" s="4" t="s">
        <v>3550</v>
      </c>
      <c r="C1843" s="5" t="s">
        <v>6</v>
      </c>
      <c r="D1843" s="6" t="s">
        <v>3551</v>
      </c>
      <c r="E1843" s="6"/>
      <c r="F1843" s="6" t="b">
        <f t="shared" si="1"/>
        <v>0</v>
      </c>
    </row>
    <row r="1844" ht="15.75" customHeight="1">
      <c r="A1844" s="3" t="s">
        <v>3552</v>
      </c>
      <c r="B1844" s="4"/>
      <c r="C1844" s="5"/>
      <c r="D1844" s="5"/>
      <c r="E1844" s="6"/>
      <c r="F1844" s="6" t="b">
        <f t="shared" si="1"/>
        <v>0</v>
      </c>
    </row>
    <row r="1845" ht="15.75" customHeight="1">
      <c r="A1845" s="3" t="s">
        <v>3553</v>
      </c>
      <c r="B1845" s="4"/>
      <c r="C1845" s="5"/>
      <c r="D1845" s="5"/>
      <c r="E1845" s="6"/>
      <c r="F1845" s="6" t="b">
        <f t="shared" si="1"/>
        <v>0</v>
      </c>
    </row>
    <row r="1846" ht="15.75" customHeight="1">
      <c r="A1846" s="3" t="s">
        <v>3554</v>
      </c>
      <c r="B1846" s="4"/>
      <c r="C1846" s="5"/>
      <c r="D1846" s="5"/>
      <c r="E1846" s="6"/>
      <c r="F1846" s="6" t="b">
        <f t="shared" si="1"/>
        <v>0</v>
      </c>
    </row>
    <row r="1847" ht="15.75" customHeight="1">
      <c r="A1847" s="3" t="s">
        <v>3555</v>
      </c>
      <c r="B1847" s="4"/>
      <c r="C1847" s="5"/>
      <c r="D1847" s="5"/>
      <c r="E1847" s="6"/>
      <c r="F1847" s="6" t="b">
        <f t="shared" si="1"/>
        <v>0</v>
      </c>
    </row>
    <row r="1848" ht="15.75" customHeight="1">
      <c r="A1848" s="7" t="s">
        <v>3556</v>
      </c>
      <c r="B1848" s="4" t="s">
        <v>3557</v>
      </c>
      <c r="C1848" s="5" t="s">
        <v>6</v>
      </c>
      <c r="D1848" s="6" t="s">
        <v>3558</v>
      </c>
      <c r="E1848" s="6"/>
      <c r="F1848" s="6" t="b">
        <f t="shared" si="1"/>
        <v>0</v>
      </c>
    </row>
    <row r="1849" ht="15.75" customHeight="1">
      <c r="A1849" s="7" t="s">
        <v>3559</v>
      </c>
      <c r="B1849" s="4" t="s">
        <v>3560</v>
      </c>
      <c r="C1849" s="5" t="s">
        <v>6</v>
      </c>
      <c r="D1849" s="6" t="s">
        <v>3561</v>
      </c>
      <c r="E1849" s="6"/>
      <c r="F1849" s="6" t="b">
        <f t="shared" si="1"/>
        <v>0</v>
      </c>
    </row>
    <row r="1850" ht="15.75" customHeight="1">
      <c r="A1850" s="7" t="s">
        <v>3562</v>
      </c>
      <c r="B1850" s="4" t="s">
        <v>3563</v>
      </c>
      <c r="C1850" s="5" t="s">
        <v>6</v>
      </c>
      <c r="D1850" s="6" t="s">
        <v>3561</v>
      </c>
      <c r="E1850" s="6"/>
      <c r="F1850" s="6" t="b">
        <f t="shared" si="1"/>
        <v>0</v>
      </c>
    </row>
    <row r="1851" ht="15.75" customHeight="1">
      <c r="A1851" s="7" t="s">
        <v>3564</v>
      </c>
      <c r="B1851" s="4" t="s">
        <v>3565</v>
      </c>
      <c r="C1851" s="5" t="s">
        <v>6</v>
      </c>
      <c r="D1851" s="6" t="s">
        <v>3566</v>
      </c>
      <c r="E1851" s="6"/>
      <c r="F1851" s="6" t="b">
        <f t="shared" si="1"/>
        <v>0</v>
      </c>
    </row>
    <row r="1852" ht="15.75" customHeight="1">
      <c r="A1852" s="7" t="s">
        <v>3567</v>
      </c>
      <c r="B1852" s="4" t="s">
        <v>3568</v>
      </c>
      <c r="C1852" s="5" t="s">
        <v>6</v>
      </c>
      <c r="D1852" s="6" t="s">
        <v>3569</v>
      </c>
      <c r="E1852" s="6"/>
      <c r="F1852" s="6" t="b">
        <f t="shared" si="1"/>
        <v>0</v>
      </c>
    </row>
    <row r="1853" ht="15.75" customHeight="1">
      <c r="A1853" s="7" t="s">
        <v>3570</v>
      </c>
      <c r="B1853" s="4" t="s">
        <v>3571</v>
      </c>
      <c r="C1853" s="5" t="s">
        <v>6</v>
      </c>
      <c r="D1853" s="6" t="s">
        <v>3572</v>
      </c>
      <c r="E1853" s="6"/>
      <c r="F1853" s="6" t="b">
        <f t="shared" si="1"/>
        <v>0</v>
      </c>
    </row>
    <row r="1854" ht="15.75" customHeight="1">
      <c r="A1854" s="7" t="s">
        <v>3573</v>
      </c>
      <c r="B1854" s="4" t="s">
        <v>3574</v>
      </c>
      <c r="C1854" s="5" t="s">
        <v>6</v>
      </c>
      <c r="D1854" s="6" t="s">
        <v>3575</v>
      </c>
      <c r="E1854" s="6"/>
      <c r="F1854" s="6" t="b">
        <f t="shared" si="1"/>
        <v>0</v>
      </c>
    </row>
    <row r="1855" ht="15.75" customHeight="1">
      <c r="A1855" s="7" t="s">
        <v>3576</v>
      </c>
      <c r="B1855" s="4" t="s">
        <v>3577</v>
      </c>
      <c r="C1855" s="5" t="s">
        <v>6</v>
      </c>
      <c r="D1855" s="6" t="s">
        <v>3578</v>
      </c>
      <c r="E1855" s="6"/>
      <c r="F1855" s="6" t="b">
        <f t="shared" si="1"/>
        <v>0</v>
      </c>
    </row>
    <row r="1856" ht="15.75" customHeight="1">
      <c r="A1856" s="3" t="s">
        <v>3579</v>
      </c>
      <c r="B1856" s="4"/>
      <c r="C1856" s="5"/>
      <c r="D1856" s="5"/>
      <c r="E1856" s="6"/>
      <c r="F1856" s="6" t="b">
        <f t="shared" si="1"/>
        <v>0</v>
      </c>
    </row>
    <row r="1857" ht="15.75" customHeight="1">
      <c r="A1857" s="3" t="s">
        <v>3580</v>
      </c>
      <c r="B1857" s="4"/>
      <c r="C1857" s="5"/>
      <c r="D1857" s="5"/>
      <c r="E1857" s="6"/>
      <c r="F1857" s="6" t="b">
        <f t="shared" si="1"/>
        <v>0</v>
      </c>
    </row>
    <row r="1858" ht="15.75" customHeight="1">
      <c r="A1858" s="7" t="s">
        <v>3581</v>
      </c>
      <c r="B1858" s="4" t="s">
        <v>3582</v>
      </c>
      <c r="C1858" s="5" t="s">
        <v>6</v>
      </c>
      <c r="D1858" s="6" t="s">
        <v>3583</v>
      </c>
      <c r="E1858" s="6"/>
      <c r="F1858" s="6" t="b">
        <f t="shared" si="1"/>
        <v>0</v>
      </c>
    </row>
    <row r="1859" ht="15.75" customHeight="1">
      <c r="A1859" s="7" t="s">
        <v>3584</v>
      </c>
      <c r="B1859" s="4" t="s">
        <v>3585</v>
      </c>
      <c r="C1859" s="5" t="s">
        <v>6</v>
      </c>
      <c r="D1859" s="6" t="s">
        <v>3586</v>
      </c>
      <c r="E1859" s="6"/>
      <c r="F1859" s="6" t="b">
        <f t="shared" si="1"/>
        <v>0</v>
      </c>
    </row>
    <row r="1860" ht="15.75" customHeight="1">
      <c r="A1860" s="7" t="s">
        <v>3587</v>
      </c>
      <c r="B1860" s="4" t="s">
        <v>3588</v>
      </c>
      <c r="C1860" s="5" t="s">
        <v>6</v>
      </c>
      <c r="D1860" s="6" t="s">
        <v>3589</v>
      </c>
      <c r="E1860" s="6"/>
      <c r="F1860" s="6" t="b">
        <f t="shared" si="1"/>
        <v>0</v>
      </c>
    </row>
    <row r="1861" ht="15.75" customHeight="1">
      <c r="A1861" s="7" t="s">
        <v>3590</v>
      </c>
      <c r="B1861" s="4" t="s">
        <v>3591</v>
      </c>
      <c r="C1861" s="5" t="s">
        <v>6</v>
      </c>
      <c r="D1861" s="6" t="s">
        <v>3589</v>
      </c>
      <c r="E1861" s="6"/>
      <c r="F1861" s="6" t="b">
        <f t="shared" si="1"/>
        <v>0</v>
      </c>
    </row>
    <row r="1862" ht="15.75" customHeight="1">
      <c r="A1862" s="3" t="s">
        <v>3592</v>
      </c>
      <c r="B1862" s="4"/>
      <c r="C1862" s="5"/>
      <c r="D1862" s="5"/>
      <c r="E1862" s="6"/>
      <c r="F1862" s="6" t="b">
        <f t="shared" si="1"/>
        <v>0</v>
      </c>
    </row>
    <row r="1863" ht="15.75" customHeight="1">
      <c r="A1863" s="3" t="s">
        <v>3593</v>
      </c>
      <c r="B1863" s="4"/>
      <c r="C1863" s="5"/>
      <c r="D1863" s="5"/>
      <c r="E1863" s="6"/>
      <c r="F1863" s="6" t="b">
        <f t="shared" si="1"/>
        <v>0</v>
      </c>
    </row>
    <row r="1864" ht="15.75" customHeight="1">
      <c r="A1864" s="7" t="s">
        <v>3594</v>
      </c>
      <c r="B1864" s="4" t="s">
        <v>3595</v>
      </c>
      <c r="C1864" s="5" t="s">
        <v>6</v>
      </c>
      <c r="D1864" s="6" t="s">
        <v>3596</v>
      </c>
      <c r="E1864" s="6"/>
      <c r="F1864" s="6" t="b">
        <f t="shared" si="1"/>
        <v>0</v>
      </c>
    </row>
    <row r="1865" ht="15.75" customHeight="1">
      <c r="A1865" s="3" t="s">
        <v>3597</v>
      </c>
      <c r="B1865" s="4"/>
      <c r="C1865" s="5"/>
      <c r="D1865" s="5"/>
      <c r="E1865" s="6"/>
      <c r="F1865" s="6" t="b">
        <f t="shared" si="1"/>
        <v>0</v>
      </c>
    </row>
    <row r="1866" ht="15.75" customHeight="1">
      <c r="A1866" s="7" t="s">
        <v>3598</v>
      </c>
      <c r="B1866" s="4" t="s">
        <v>3599</v>
      </c>
      <c r="C1866" s="5" t="s">
        <v>6</v>
      </c>
      <c r="D1866" s="6" t="s">
        <v>3600</v>
      </c>
      <c r="E1866" s="6"/>
      <c r="F1866" s="6" t="b">
        <f t="shared" si="1"/>
        <v>0</v>
      </c>
    </row>
    <row r="1867" ht="16.5" customHeight="1">
      <c r="A1867" s="7" t="s">
        <v>3601</v>
      </c>
      <c r="B1867" s="4" t="s">
        <v>3602</v>
      </c>
      <c r="C1867" s="5" t="s">
        <v>6</v>
      </c>
      <c r="D1867" s="6" t="s">
        <v>3603</v>
      </c>
      <c r="E1867" s="6"/>
      <c r="F1867" s="6" t="b">
        <f t="shared" si="1"/>
        <v>0</v>
      </c>
    </row>
    <row r="1868" ht="15.75" customHeight="1">
      <c r="A1868" s="7" t="s">
        <v>3604</v>
      </c>
      <c r="B1868" s="4" t="s">
        <v>3605</v>
      </c>
      <c r="C1868" s="5" t="s">
        <v>6</v>
      </c>
      <c r="D1868" s="6" t="s">
        <v>3606</v>
      </c>
      <c r="E1868" s="6"/>
      <c r="F1868" s="6" t="b">
        <f t="shared" si="1"/>
        <v>0</v>
      </c>
    </row>
    <row r="1869" ht="15.75" customHeight="1">
      <c r="A1869" s="7" t="s">
        <v>3607</v>
      </c>
      <c r="B1869" s="4" t="s">
        <v>3608</v>
      </c>
      <c r="C1869" s="5" t="s">
        <v>6</v>
      </c>
      <c r="D1869" s="6" t="s">
        <v>3609</v>
      </c>
      <c r="E1869" s="6"/>
      <c r="F1869" s="6" t="b">
        <f t="shared" si="1"/>
        <v>0</v>
      </c>
    </row>
    <row r="1870" ht="15.75" customHeight="1">
      <c r="A1870" s="7" t="s">
        <v>3610</v>
      </c>
      <c r="B1870" s="4" t="s">
        <v>3611</v>
      </c>
      <c r="C1870" s="5" t="s">
        <v>6</v>
      </c>
      <c r="D1870" s="6" t="s">
        <v>3612</v>
      </c>
      <c r="E1870" s="6"/>
      <c r="F1870" s="6" t="b">
        <f t="shared" si="1"/>
        <v>0</v>
      </c>
    </row>
    <row r="1871" ht="15.75" customHeight="1">
      <c r="A1871" s="7" t="s">
        <v>3613</v>
      </c>
      <c r="B1871" s="4" t="s">
        <v>3614</v>
      </c>
      <c r="C1871" s="5" t="s">
        <v>6</v>
      </c>
      <c r="D1871" s="6" t="s">
        <v>3615</v>
      </c>
      <c r="E1871" s="6"/>
      <c r="F1871" s="6" t="b">
        <f t="shared" si="1"/>
        <v>0</v>
      </c>
    </row>
    <row r="1872" ht="15.75" customHeight="1">
      <c r="A1872" s="7" t="s">
        <v>3616</v>
      </c>
      <c r="B1872" s="4" t="s">
        <v>3617</v>
      </c>
      <c r="C1872" s="5" t="s">
        <v>6</v>
      </c>
      <c r="D1872" s="6" t="s">
        <v>3615</v>
      </c>
      <c r="E1872" s="6"/>
      <c r="F1872" s="6" t="b">
        <f t="shared" si="1"/>
        <v>0</v>
      </c>
    </row>
    <row r="1873" ht="15.75" customHeight="1">
      <c r="A1873" s="3" t="s">
        <v>3618</v>
      </c>
      <c r="B1873" s="4"/>
      <c r="C1873" s="5"/>
      <c r="D1873" s="5"/>
      <c r="E1873" s="6"/>
      <c r="F1873" s="6" t="b">
        <f t="shared" si="1"/>
        <v>0</v>
      </c>
    </row>
    <row r="1874" ht="15.75" customHeight="1">
      <c r="A1874" s="3" t="s">
        <v>3619</v>
      </c>
      <c r="B1874" s="4"/>
      <c r="C1874" s="5"/>
      <c r="D1874" s="5"/>
      <c r="E1874" s="6"/>
      <c r="F1874" s="6" t="b">
        <f t="shared" si="1"/>
        <v>0</v>
      </c>
    </row>
    <row r="1875" ht="15.75" customHeight="1">
      <c r="A1875" s="3" t="s">
        <v>3620</v>
      </c>
      <c r="B1875" s="4"/>
      <c r="C1875" s="5"/>
      <c r="D1875" s="5"/>
      <c r="E1875" s="6"/>
      <c r="F1875" s="6" t="b">
        <f t="shared" si="1"/>
        <v>0</v>
      </c>
    </row>
    <row r="1876" ht="15.75" customHeight="1">
      <c r="A1876" s="3" t="s">
        <v>3621</v>
      </c>
      <c r="B1876" s="4"/>
      <c r="C1876" s="5"/>
      <c r="D1876" s="5"/>
      <c r="E1876" s="6"/>
      <c r="F1876" s="6" t="b">
        <f t="shared" si="1"/>
        <v>0</v>
      </c>
    </row>
    <row r="1877" ht="15.75" customHeight="1">
      <c r="A1877" s="3" t="s">
        <v>3622</v>
      </c>
      <c r="B1877" s="4"/>
      <c r="C1877" s="5"/>
      <c r="D1877" s="5"/>
      <c r="E1877" s="6"/>
      <c r="F1877" s="6" t="b">
        <f t="shared" si="1"/>
        <v>0</v>
      </c>
    </row>
    <row r="1878" ht="15.75" customHeight="1">
      <c r="A1878" s="3" t="s">
        <v>3623</v>
      </c>
      <c r="B1878" s="4"/>
      <c r="C1878" s="5"/>
      <c r="D1878" s="5"/>
      <c r="E1878" s="6"/>
      <c r="F1878" s="6" t="b">
        <f t="shared" si="1"/>
        <v>0</v>
      </c>
    </row>
    <row r="1879" ht="15.75" customHeight="1">
      <c r="A1879" s="3" t="s">
        <v>3624</v>
      </c>
      <c r="B1879" s="4"/>
      <c r="C1879" s="5"/>
      <c r="D1879" s="5"/>
      <c r="E1879" s="6"/>
      <c r="F1879" s="6" t="b">
        <f t="shared" si="1"/>
        <v>0</v>
      </c>
    </row>
    <row r="1880" ht="15.75" customHeight="1">
      <c r="A1880" s="3" t="s">
        <v>3625</v>
      </c>
      <c r="B1880" s="4"/>
      <c r="C1880" s="5"/>
      <c r="D1880" s="5"/>
      <c r="E1880" s="6"/>
      <c r="F1880" s="6" t="b">
        <f t="shared" si="1"/>
        <v>0</v>
      </c>
    </row>
    <row r="1881" ht="15.75" customHeight="1">
      <c r="A1881" s="3" t="s">
        <v>3626</v>
      </c>
      <c r="B1881" s="4"/>
      <c r="C1881" s="5"/>
      <c r="D1881" s="5"/>
      <c r="E1881" s="6"/>
      <c r="F1881" s="6" t="b">
        <f t="shared" si="1"/>
        <v>0</v>
      </c>
    </row>
    <row r="1882" ht="15.75" customHeight="1">
      <c r="A1882" s="3" t="s">
        <v>3627</v>
      </c>
      <c r="B1882" s="4"/>
      <c r="C1882" s="5"/>
      <c r="D1882" s="5"/>
      <c r="E1882" s="6"/>
      <c r="F1882" s="6" t="b">
        <f t="shared" si="1"/>
        <v>0</v>
      </c>
    </row>
    <row r="1883" ht="15.75" customHeight="1">
      <c r="A1883" s="3" t="s">
        <v>3628</v>
      </c>
      <c r="B1883" s="4"/>
      <c r="C1883" s="5"/>
      <c r="D1883" s="5"/>
      <c r="E1883" s="6"/>
      <c r="F1883" s="6" t="b">
        <f t="shared" si="1"/>
        <v>0</v>
      </c>
    </row>
    <row r="1884" ht="15.75" customHeight="1">
      <c r="A1884" s="7" t="s">
        <v>3629</v>
      </c>
      <c r="B1884" s="4" t="s">
        <v>3630</v>
      </c>
      <c r="C1884" s="5" t="s">
        <v>6</v>
      </c>
      <c r="D1884" s="6" t="s">
        <v>3631</v>
      </c>
      <c r="E1884" s="6"/>
      <c r="F1884" s="6" t="b">
        <f t="shared" si="1"/>
        <v>0</v>
      </c>
    </row>
    <row r="1885" ht="15.75" customHeight="1">
      <c r="A1885" s="7" t="s">
        <v>3632</v>
      </c>
      <c r="B1885" s="4" t="s">
        <v>3633</v>
      </c>
      <c r="C1885" s="5" t="s">
        <v>6</v>
      </c>
      <c r="D1885" s="6" t="s">
        <v>3631</v>
      </c>
      <c r="E1885" s="6"/>
      <c r="F1885" s="6" t="b">
        <f t="shared" si="1"/>
        <v>0</v>
      </c>
    </row>
    <row r="1886" ht="15.75" customHeight="1">
      <c r="A1886" s="3" t="s">
        <v>3634</v>
      </c>
      <c r="B1886" s="4"/>
      <c r="C1886" s="5"/>
      <c r="D1886" s="5"/>
      <c r="E1886" s="6"/>
      <c r="F1886" s="6" t="b">
        <f t="shared" si="1"/>
        <v>0</v>
      </c>
    </row>
    <row r="1887" ht="15.75" customHeight="1">
      <c r="A1887" s="3" t="s">
        <v>3635</v>
      </c>
      <c r="B1887" s="4"/>
      <c r="C1887" s="5"/>
      <c r="D1887" s="5"/>
      <c r="E1887" s="6"/>
      <c r="F1887" s="6" t="b">
        <f t="shared" si="1"/>
        <v>0</v>
      </c>
    </row>
    <row r="1888" ht="15.75" customHeight="1">
      <c r="A1888" s="7" t="s">
        <v>3636</v>
      </c>
      <c r="B1888" s="4" t="s">
        <v>3637</v>
      </c>
      <c r="C1888" s="5" t="s">
        <v>6</v>
      </c>
      <c r="D1888" s="6" t="s">
        <v>1422</v>
      </c>
      <c r="E1888" s="6"/>
      <c r="F1888" s="6" t="b">
        <f t="shared" si="1"/>
        <v>0</v>
      </c>
    </row>
    <row r="1889" ht="15.75" customHeight="1">
      <c r="A1889" s="3" t="s">
        <v>3638</v>
      </c>
      <c r="B1889" s="4"/>
      <c r="C1889" s="5"/>
      <c r="D1889" s="5"/>
      <c r="E1889" s="6"/>
      <c r="F1889" s="6" t="b">
        <f t="shared" si="1"/>
        <v>0</v>
      </c>
    </row>
    <row r="1890" ht="15.75" customHeight="1">
      <c r="A1890" s="3" t="s">
        <v>3639</v>
      </c>
      <c r="B1890" s="4"/>
      <c r="C1890" s="5"/>
      <c r="D1890" s="5"/>
      <c r="E1890" s="6"/>
      <c r="F1890" s="6" t="b">
        <f t="shared" si="1"/>
        <v>0</v>
      </c>
    </row>
    <row r="1891" ht="15.75" customHeight="1">
      <c r="A1891" s="3" t="s">
        <v>3640</v>
      </c>
      <c r="B1891" s="4"/>
      <c r="C1891" s="5"/>
      <c r="D1891" s="5"/>
      <c r="E1891" s="6"/>
      <c r="F1891" s="6" t="b">
        <f t="shared" si="1"/>
        <v>0</v>
      </c>
    </row>
    <row r="1892" ht="15.75" customHeight="1">
      <c r="A1892" s="3" t="s">
        <v>3641</v>
      </c>
      <c r="B1892" s="4"/>
      <c r="C1892" s="5"/>
      <c r="D1892" s="5"/>
      <c r="E1892" s="6"/>
      <c r="F1892" s="6" t="b">
        <f t="shared" si="1"/>
        <v>0</v>
      </c>
    </row>
    <row r="1893" ht="15.75" customHeight="1">
      <c r="A1893" s="3" t="s">
        <v>3642</v>
      </c>
      <c r="B1893" s="4"/>
      <c r="C1893" s="5"/>
      <c r="D1893" s="5"/>
      <c r="E1893" s="6"/>
      <c r="F1893" s="6" t="b">
        <f t="shared" si="1"/>
        <v>0</v>
      </c>
    </row>
    <row r="1894" ht="15.75" customHeight="1">
      <c r="A1894" s="7" t="s">
        <v>3643</v>
      </c>
      <c r="B1894" s="4" t="s">
        <v>3644</v>
      </c>
      <c r="C1894" s="5" t="s">
        <v>6</v>
      </c>
      <c r="D1894" s="6" t="s">
        <v>3645</v>
      </c>
      <c r="E1894" s="6"/>
      <c r="F1894" s="6" t="b">
        <f t="shared" si="1"/>
        <v>0</v>
      </c>
    </row>
    <row r="1895" ht="15.75" customHeight="1">
      <c r="A1895" s="7" t="s">
        <v>3646</v>
      </c>
      <c r="B1895" s="4" t="s">
        <v>3647</v>
      </c>
      <c r="C1895" s="5" t="s">
        <v>6</v>
      </c>
      <c r="D1895" s="6" t="s">
        <v>3648</v>
      </c>
      <c r="E1895" s="6"/>
      <c r="F1895" s="6" t="b">
        <f t="shared" si="1"/>
        <v>0</v>
      </c>
    </row>
    <row r="1896" ht="15.75" customHeight="1">
      <c r="A1896" s="7" t="s">
        <v>3649</v>
      </c>
      <c r="B1896" s="4" t="s">
        <v>3650</v>
      </c>
      <c r="C1896" s="5" t="s">
        <v>6</v>
      </c>
      <c r="D1896" s="6" t="s">
        <v>3648</v>
      </c>
      <c r="E1896" s="6"/>
      <c r="F1896" s="6" t="b">
        <f t="shared" si="1"/>
        <v>0</v>
      </c>
    </row>
    <row r="1897" ht="15.75" customHeight="1">
      <c r="A1897" s="7" t="s">
        <v>3651</v>
      </c>
      <c r="B1897" s="4" t="s">
        <v>3652</v>
      </c>
      <c r="C1897" s="5" t="s">
        <v>6</v>
      </c>
      <c r="D1897" s="6" t="s">
        <v>3653</v>
      </c>
      <c r="E1897" s="6"/>
      <c r="F1897" s="6" t="b">
        <f t="shared" si="1"/>
        <v>0</v>
      </c>
    </row>
    <row r="1898" ht="15.75" customHeight="1">
      <c r="A1898" s="7" t="s">
        <v>3654</v>
      </c>
      <c r="B1898" s="4" t="s">
        <v>3655</v>
      </c>
      <c r="C1898" s="6" t="s">
        <v>3656</v>
      </c>
      <c r="D1898" s="6"/>
      <c r="E1898" s="6"/>
      <c r="F1898" s="6" t="b">
        <f t="shared" si="1"/>
        <v>0</v>
      </c>
    </row>
    <row r="1899" ht="15.75" customHeight="1">
      <c r="A1899" s="7" t="s">
        <v>3657</v>
      </c>
      <c r="B1899" s="4" t="s">
        <v>3658</v>
      </c>
      <c r="C1899" s="5" t="s">
        <v>6</v>
      </c>
      <c r="D1899" s="6" t="s">
        <v>3659</v>
      </c>
      <c r="E1899" s="6"/>
      <c r="F1899" s="6" t="b">
        <f t="shared" si="1"/>
        <v>0</v>
      </c>
    </row>
    <row r="1900" ht="15.75" customHeight="1">
      <c r="A1900" s="7" t="s">
        <v>3660</v>
      </c>
      <c r="B1900" s="4" t="s">
        <v>3661</v>
      </c>
      <c r="C1900" s="5" t="s">
        <v>6</v>
      </c>
      <c r="D1900" s="6" t="s">
        <v>3662</v>
      </c>
      <c r="E1900" s="6"/>
      <c r="F1900" s="6" t="b">
        <f t="shared" si="1"/>
        <v>0</v>
      </c>
    </row>
    <row r="1901" ht="15.75" customHeight="1">
      <c r="A1901" s="3" t="s">
        <v>3663</v>
      </c>
      <c r="B1901" s="4"/>
      <c r="C1901" s="5"/>
      <c r="D1901" s="5"/>
      <c r="E1901" s="6"/>
      <c r="F1901" s="6" t="b">
        <f t="shared" si="1"/>
        <v>0</v>
      </c>
    </row>
    <row r="1902" ht="15.75" customHeight="1">
      <c r="A1902" s="3" t="s">
        <v>3664</v>
      </c>
      <c r="B1902" s="4"/>
      <c r="C1902" s="5"/>
      <c r="D1902" s="5"/>
      <c r="E1902" s="6"/>
      <c r="F1902" s="6" t="b">
        <f t="shared" si="1"/>
        <v>0</v>
      </c>
    </row>
    <row r="1903" ht="15.75" customHeight="1">
      <c r="A1903" s="3" t="s">
        <v>3665</v>
      </c>
      <c r="B1903" s="4"/>
      <c r="C1903" s="5"/>
      <c r="D1903" s="5"/>
      <c r="E1903" s="6"/>
      <c r="F1903" s="6" t="b">
        <f t="shared" si="1"/>
        <v>0</v>
      </c>
    </row>
    <row r="1904" ht="15.75" customHeight="1">
      <c r="A1904" s="3" t="s">
        <v>3666</v>
      </c>
      <c r="B1904" s="4"/>
      <c r="C1904" s="5"/>
      <c r="D1904" s="5"/>
      <c r="E1904" s="6"/>
      <c r="F1904" s="6" t="b">
        <f t="shared" si="1"/>
        <v>0</v>
      </c>
    </row>
    <row r="1905" ht="15.75" customHeight="1">
      <c r="A1905" s="3" t="s">
        <v>3667</v>
      </c>
      <c r="B1905" s="4"/>
      <c r="C1905" s="5"/>
      <c r="D1905" s="5"/>
      <c r="E1905" s="6"/>
      <c r="F1905" s="6" t="b">
        <f t="shared" si="1"/>
        <v>0</v>
      </c>
    </row>
    <row r="1906" ht="15.75" customHeight="1">
      <c r="A1906" s="3" t="s">
        <v>3668</v>
      </c>
      <c r="B1906" s="4"/>
      <c r="C1906" s="5"/>
      <c r="D1906" s="5"/>
      <c r="E1906" s="6"/>
      <c r="F1906" s="6" t="b">
        <f t="shared" si="1"/>
        <v>0</v>
      </c>
    </row>
    <row r="1907" ht="15.75" customHeight="1">
      <c r="A1907" s="3" t="s">
        <v>3669</v>
      </c>
      <c r="B1907" s="4"/>
      <c r="C1907" s="5"/>
      <c r="D1907" s="5"/>
      <c r="E1907" s="6"/>
      <c r="F1907" s="6" t="b">
        <f t="shared" si="1"/>
        <v>0</v>
      </c>
    </row>
    <row r="1908" ht="15.75" customHeight="1">
      <c r="A1908" s="7" t="s">
        <v>3670</v>
      </c>
      <c r="B1908" s="4" t="s">
        <v>3671</v>
      </c>
      <c r="C1908" s="5" t="s">
        <v>6</v>
      </c>
      <c r="D1908" s="6" t="s">
        <v>3672</v>
      </c>
      <c r="E1908" s="6"/>
      <c r="F1908" s="6" t="b">
        <f t="shared" si="1"/>
        <v>0</v>
      </c>
    </row>
    <row r="1909" ht="15.75" customHeight="1">
      <c r="A1909" s="7" t="s">
        <v>3673</v>
      </c>
      <c r="B1909" s="4" t="s">
        <v>3674</v>
      </c>
      <c r="C1909" s="5" t="s">
        <v>6</v>
      </c>
      <c r="D1909" s="6" t="s">
        <v>3672</v>
      </c>
      <c r="E1909" s="6"/>
      <c r="F1909" s="6" t="b">
        <f t="shared" si="1"/>
        <v>0</v>
      </c>
    </row>
    <row r="1910" ht="15.75" customHeight="1">
      <c r="A1910" s="7" t="s">
        <v>3675</v>
      </c>
      <c r="B1910" s="4" t="s">
        <v>3676</v>
      </c>
      <c r="C1910" s="5" t="s">
        <v>6</v>
      </c>
      <c r="D1910" s="6" t="s">
        <v>3672</v>
      </c>
      <c r="E1910" s="6"/>
      <c r="F1910" s="6" t="b">
        <f t="shared" si="1"/>
        <v>0</v>
      </c>
    </row>
    <row r="1911" ht="15.75" customHeight="1">
      <c r="A1911" s="7" t="s">
        <v>3677</v>
      </c>
      <c r="B1911" s="4" t="s">
        <v>3678</v>
      </c>
      <c r="C1911" s="5" t="s">
        <v>6</v>
      </c>
      <c r="D1911" s="6" t="s">
        <v>3672</v>
      </c>
      <c r="E1911" s="6"/>
      <c r="F1911" s="6" t="b">
        <f t="shared" si="1"/>
        <v>0</v>
      </c>
    </row>
    <row r="1912" ht="15.75" customHeight="1">
      <c r="A1912" s="7" t="s">
        <v>3679</v>
      </c>
      <c r="B1912" s="4" t="s">
        <v>3680</v>
      </c>
      <c r="C1912" s="5" t="s">
        <v>6</v>
      </c>
      <c r="D1912" s="6" t="s">
        <v>3672</v>
      </c>
      <c r="E1912" s="6"/>
      <c r="F1912" s="6" t="b">
        <f t="shared" si="1"/>
        <v>0</v>
      </c>
    </row>
    <row r="1913" ht="15.75" customHeight="1">
      <c r="A1913" s="7" t="s">
        <v>3681</v>
      </c>
      <c r="B1913" s="4" t="s">
        <v>3682</v>
      </c>
      <c r="C1913" s="5" t="s">
        <v>6</v>
      </c>
      <c r="D1913" s="6" t="s">
        <v>3672</v>
      </c>
      <c r="E1913" s="6"/>
      <c r="F1913" s="6" t="b">
        <f t="shared" si="1"/>
        <v>0</v>
      </c>
    </row>
    <row r="1914" ht="15.75" customHeight="1">
      <c r="A1914" s="3" t="s">
        <v>3683</v>
      </c>
      <c r="B1914" s="4"/>
      <c r="C1914" s="5"/>
      <c r="D1914" s="5"/>
      <c r="E1914" s="6"/>
      <c r="F1914" s="6" t="b">
        <f t="shared" si="1"/>
        <v>0</v>
      </c>
    </row>
    <row r="1915" ht="15.75" customHeight="1">
      <c r="A1915" s="3" t="s">
        <v>3684</v>
      </c>
      <c r="B1915" s="4"/>
      <c r="C1915" s="5"/>
      <c r="D1915" s="5"/>
      <c r="E1915" s="6"/>
      <c r="F1915" s="6" t="b">
        <f t="shared" si="1"/>
        <v>0</v>
      </c>
    </row>
    <row r="1916" ht="15.75" customHeight="1">
      <c r="A1916" s="3" t="s">
        <v>3685</v>
      </c>
      <c r="B1916" s="4"/>
      <c r="C1916" s="5"/>
      <c r="D1916" s="5"/>
      <c r="E1916" s="6"/>
      <c r="F1916" s="6" t="b">
        <f t="shared" si="1"/>
        <v>0</v>
      </c>
    </row>
    <row r="1917" ht="15.75" customHeight="1">
      <c r="A1917" s="3" t="s">
        <v>3686</v>
      </c>
      <c r="B1917" s="4"/>
      <c r="C1917" s="5"/>
      <c r="D1917" s="5"/>
      <c r="E1917" s="6"/>
      <c r="F1917" s="6" t="b">
        <f t="shared" si="1"/>
        <v>0</v>
      </c>
    </row>
    <row r="1918" ht="15.75" customHeight="1">
      <c r="A1918" s="7" t="s">
        <v>3687</v>
      </c>
      <c r="B1918" s="4" t="s">
        <v>3688</v>
      </c>
      <c r="C1918" s="5" t="s">
        <v>6</v>
      </c>
      <c r="D1918" s="6" t="s">
        <v>3689</v>
      </c>
      <c r="E1918" s="6"/>
      <c r="F1918" s="6" t="b">
        <f t="shared" si="1"/>
        <v>0</v>
      </c>
    </row>
    <row r="1919" ht="15.75" customHeight="1">
      <c r="A1919" s="3" t="s">
        <v>3690</v>
      </c>
      <c r="B1919" s="4"/>
      <c r="C1919" s="5"/>
      <c r="D1919" s="5"/>
      <c r="E1919" s="6"/>
      <c r="F1919" s="6" t="b">
        <f t="shared" si="1"/>
        <v>0</v>
      </c>
    </row>
    <row r="1920" ht="15.75" customHeight="1">
      <c r="A1920" s="7" t="s">
        <v>3691</v>
      </c>
      <c r="B1920" s="4" t="s">
        <v>3692</v>
      </c>
      <c r="C1920" s="5" t="s">
        <v>6</v>
      </c>
      <c r="D1920" s="6" t="s">
        <v>3693</v>
      </c>
      <c r="E1920" s="6"/>
      <c r="F1920" s="6" t="b">
        <f t="shared" si="1"/>
        <v>0</v>
      </c>
    </row>
    <row r="1921" ht="15.75" customHeight="1">
      <c r="A1921" s="7" t="s">
        <v>3694</v>
      </c>
      <c r="B1921" s="4" t="s">
        <v>3695</v>
      </c>
      <c r="C1921" s="5" t="s">
        <v>6</v>
      </c>
      <c r="D1921" s="6" t="s">
        <v>3696</v>
      </c>
      <c r="E1921" s="6"/>
      <c r="F1921" s="6" t="b">
        <f t="shared" si="1"/>
        <v>0</v>
      </c>
    </row>
    <row r="1922" ht="15.75" customHeight="1">
      <c r="A1922" s="3" t="s">
        <v>3697</v>
      </c>
      <c r="B1922" s="4"/>
      <c r="C1922" s="5"/>
      <c r="D1922" s="5"/>
      <c r="E1922" s="6"/>
      <c r="F1922" s="6" t="b">
        <f t="shared" si="1"/>
        <v>0</v>
      </c>
    </row>
    <row r="1923" ht="15.75" customHeight="1">
      <c r="A1923" s="3" t="s">
        <v>3698</v>
      </c>
      <c r="B1923" s="4"/>
      <c r="C1923" s="5"/>
      <c r="D1923" s="5"/>
      <c r="E1923" s="6"/>
      <c r="F1923" s="6" t="b">
        <f t="shared" si="1"/>
        <v>0</v>
      </c>
    </row>
    <row r="1924" ht="15.75" customHeight="1">
      <c r="A1924" s="7" t="s">
        <v>3699</v>
      </c>
      <c r="B1924" s="4" t="s">
        <v>3700</v>
      </c>
      <c r="C1924" s="5" t="s">
        <v>6</v>
      </c>
      <c r="D1924" s="6" t="s">
        <v>3701</v>
      </c>
      <c r="E1924" s="6"/>
      <c r="F1924" s="6" t="b">
        <f t="shared" si="1"/>
        <v>0</v>
      </c>
    </row>
    <row r="1925" ht="15.75" customHeight="1">
      <c r="A1925" s="3" t="s">
        <v>3702</v>
      </c>
      <c r="B1925" s="4"/>
      <c r="C1925" s="5"/>
      <c r="D1925" s="5"/>
      <c r="E1925" s="6"/>
      <c r="F1925" s="6" t="b">
        <f t="shared" si="1"/>
        <v>0</v>
      </c>
    </row>
    <row r="1926" ht="15.75" customHeight="1">
      <c r="A1926" s="3" t="s">
        <v>3703</v>
      </c>
      <c r="B1926" s="4"/>
      <c r="C1926" s="5"/>
      <c r="D1926" s="5"/>
      <c r="E1926" s="6"/>
      <c r="F1926" s="6" t="b">
        <f t="shared" si="1"/>
        <v>0</v>
      </c>
    </row>
    <row r="1927" ht="15.75" customHeight="1">
      <c r="A1927" s="3" t="s">
        <v>3704</v>
      </c>
      <c r="B1927" s="4"/>
      <c r="C1927" s="5"/>
      <c r="D1927" s="5"/>
      <c r="E1927" s="6"/>
      <c r="F1927" s="6" t="b">
        <f t="shared" si="1"/>
        <v>0</v>
      </c>
    </row>
    <row r="1928" ht="15.75" customHeight="1">
      <c r="A1928" s="7" t="s">
        <v>3705</v>
      </c>
      <c r="B1928" s="4" t="s">
        <v>3706</v>
      </c>
      <c r="C1928" s="5" t="s">
        <v>6</v>
      </c>
      <c r="D1928" s="6" t="s">
        <v>856</v>
      </c>
      <c r="E1928" s="6"/>
      <c r="F1928" s="6" t="b">
        <f t="shared" si="1"/>
        <v>0</v>
      </c>
    </row>
    <row r="1929" ht="15.75" customHeight="1">
      <c r="A1929" s="7" t="s">
        <v>3707</v>
      </c>
      <c r="B1929" s="4" t="s">
        <v>3708</v>
      </c>
      <c r="C1929" s="5" t="s">
        <v>6</v>
      </c>
      <c r="D1929" s="6" t="s">
        <v>1045</v>
      </c>
      <c r="E1929" s="6"/>
      <c r="F1929" s="6" t="b">
        <f t="shared" si="1"/>
        <v>0</v>
      </c>
    </row>
    <row r="1930" ht="15.75" customHeight="1">
      <c r="A1930" s="7" t="s">
        <v>3709</v>
      </c>
      <c r="B1930" s="4" t="s">
        <v>3710</v>
      </c>
      <c r="C1930" s="5" t="s">
        <v>6</v>
      </c>
      <c r="D1930" s="6" t="s">
        <v>1776</v>
      </c>
      <c r="E1930" s="6"/>
      <c r="F1930" s="6" t="b">
        <f t="shared" si="1"/>
        <v>0</v>
      </c>
    </row>
    <row r="1931" ht="15.75" customHeight="1">
      <c r="A1931" s="7" t="s">
        <v>3711</v>
      </c>
      <c r="B1931" s="4" t="s">
        <v>3712</v>
      </c>
      <c r="C1931" s="5" t="s">
        <v>6</v>
      </c>
      <c r="D1931" s="6" t="s">
        <v>1776</v>
      </c>
      <c r="E1931" s="6"/>
      <c r="F1931" s="6" t="b">
        <f t="shared" si="1"/>
        <v>0</v>
      </c>
    </row>
    <row r="1932" ht="15.75" customHeight="1">
      <c r="A1932" s="7" t="s">
        <v>3713</v>
      </c>
      <c r="B1932" s="4" t="s">
        <v>1775</v>
      </c>
      <c r="C1932" s="5" t="s">
        <v>6</v>
      </c>
      <c r="D1932" s="6" t="s">
        <v>1776</v>
      </c>
      <c r="E1932" s="6"/>
      <c r="F1932" s="6" t="b">
        <f t="shared" si="1"/>
        <v>0</v>
      </c>
    </row>
    <row r="1933" ht="15.75" customHeight="1">
      <c r="A1933" s="7" t="s">
        <v>3714</v>
      </c>
      <c r="B1933" s="4" t="s">
        <v>3715</v>
      </c>
      <c r="C1933" s="5" t="s">
        <v>6</v>
      </c>
      <c r="D1933" s="6" t="s">
        <v>1776</v>
      </c>
      <c r="E1933" s="6"/>
      <c r="F1933" s="6" t="b">
        <f t="shared" si="1"/>
        <v>0</v>
      </c>
    </row>
    <row r="1934" ht="15.75" customHeight="1">
      <c r="A1934" s="7" t="s">
        <v>3716</v>
      </c>
      <c r="B1934" s="4" t="s">
        <v>3717</v>
      </c>
      <c r="C1934" s="5" t="s">
        <v>6</v>
      </c>
      <c r="D1934" s="6" t="s">
        <v>1776</v>
      </c>
      <c r="E1934" s="6"/>
      <c r="F1934" s="6" t="b">
        <f t="shared" si="1"/>
        <v>0</v>
      </c>
    </row>
    <row r="1935" ht="15.75" customHeight="1">
      <c r="A1935" s="7" t="s">
        <v>3718</v>
      </c>
      <c r="B1935" s="4" t="s">
        <v>3719</v>
      </c>
      <c r="C1935" s="5" t="s">
        <v>6</v>
      </c>
      <c r="D1935" s="6" t="s">
        <v>1776</v>
      </c>
      <c r="E1935" s="6"/>
      <c r="F1935" s="6" t="b">
        <f t="shared" si="1"/>
        <v>0</v>
      </c>
    </row>
    <row r="1936" ht="15.75" customHeight="1">
      <c r="A1936" s="7" t="s">
        <v>3720</v>
      </c>
      <c r="B1936" s="4" t="s">
        <v>3721</v>
      </c>
      <c r="C1936" s="5" t="s">
        <v>6</v>
      </c>
      <c r="D1936" s="6" t="s">
        <v>3722</v>
      </c>
      <c r="E1936" s="6"/>
      <c r="F1936" s="6" t="b">
        <f t="shared" si="1"/>
        <v>0</v>
      </c>
    </row>
    <row r="1937" ht="15.75" customHeight="1">
      <c r="A1937" s="7" t="s">
        <v>3723</v>
      </c>
      <c r="B1937" s="4" t="s">
        <v>3724</v>
      </c>
      <c r="C1937" s="5" t="s">
        <v>6</v>
      </c>
      <c r="D1937" s="6" t="s">
        <v>3725</v>
      </c>
      <c r="E1937" s="6"/>
      <c r="F1937" s="6" t="b">
        <f t="shared" si="1"/>
        <v>0</v>
      </c>
    </row>
    <row r="1938" ht="15.75" customHeight="1">
      <c r="A1938" s="7" t="s">
        <v>3726</v>
      </c>
      <c r="B1938" s="4" t="s">
        <v>3727</v>
      </c>
      <c r="C1938" s="5" t="s">
        <v>6</v>
      </c>
      <c r="D1938" s="6" t="s">
        <v>3728</v>
      </c>
      <c r="E1938" s="6"/>
      <c r="F1938" s="6" t="b">
        <f t="shared" si="1"/>
        <v>0</v>
      </c>
    </row>
    <row r="1939" ht="15.75" customHeight="1">
      <c r="A1939" s="7" t="s">
        <v>3729</v>
      </c>
      <c r="B1939" s="4" t="s">
        <v>3730</v>
      </c>
      <c r="C1939" s="5" t="s">
        <v>6</v>
      </c>
      <c r="D1939" s="6" t="s">
        <v>3731</v>
      </c>
      <c r="E1939" s="6"/>
      <c r="F1939" s="6" t="b">
        <f t="shared" si="1"/>
        <v>0</v>
      </c>
    </row>
    <row r="1940" ht="15.75" customHeight="1">
      <c r="A1940" s="7" t="s">
        <v>3732</v>
      </c>
      <c r="B1940" s="4" t="s">
        <v>3733</v>
      </c>
      <c r="C1940" s="5" t="s">
        <v>6</v>
      </c>
      <c r="D1940" s="6" t="s">
        <v>3734</v>
      </c>
      <c r="E1940" s="6"/>
      <c r="F1940" s="6" t="b">
        <f t="shared" si="1"/>
        <v>0</v>
      </c>
    </row>
    <row r="1941" ht="15.75" customHeight="1">
      <c r="A1941" s="7" t="s">
        <v>3735</v>
      </c>
      <c r="B1941" s="4" t="s">
        <v>3736</v>
      </c>
      <c r="C1941" s="5" t="s">
        <v>6</v>
      </c>
      <c r="D1941" s="6" t="s">
        <v>3737</v>
      </c>
      <c r="E1941" s="6"/>
      <c r="F1941" s="6" t="b">
        <f t="shared" si="1"/>
        <v>0</v>
      </c>
    </row>
    <row r="1942" ht="15.75" customHeight="1">
      <c r="A1942" s="3" t="s">
        <v>3738</v>
      </c>
      <c r="B1942" s="4"/>
      <c r="C1942" s="5"/>
      <c r="D1942" s="5"/>
      <c r="E1942" s="6"/>
      <c r="F1942" s="6" t="b">
        <f t="shared" si="1"/>
        <v>0</v>
      </c>
    </row>
    <row r="1943" ht="15.75" customHeight="1">
      <c r="A1943" s="3" t="s">
        <v>3739</v>
      </c>
      <c r="B1943" s="4"/>
      <c r="C1943" s="5"/>
      <c r="D1943" s="5"/>
      <c r="E1943" s="6"/>
      <c r="F1943" s="6" t="b">
        <f t="shared" si="1"/>
        <v>0</v>
      </c>
    </row>
    <row r="1944" ht="15.75" customHeight="1">
      <c r="A1944" s="3" t="s">
        <v>3740</v>
      </c>
      <c r="B1944" s="4"/>
      <c r="C1944" s="5"/>
      <c r="D1944" s="5"/>
      <c r="E1944" s="6"/>
      <c r="F1944" s="6" t="b">
        <f t="shared" si="1"/>
        <v>0</v>
      </c>
    </row>
    <row r="1945" ht="15.75" customHeight="1">
      <c r="A1945" s="3" t="s">
        <v>3741</v>
      </c>
      <c r="B1945" s="4"/>
      <c r="C1945" s="5"/>
      <c r="D1945" s="5"/>
      <c r="E1945" s="6"/>
      <c r="F1945" s="6" t="b">
        <f t="shared" si="1"/>
        <v>0</v>
      </c>
    </row>
    <row r="1946" ht="15.75" customHeight="1">
      <c r="A1946" s="3" t="s">
        <v>3742</v>
      </c>
      <c r="B1946" s="4"/>
      <c r="C1946" s="5"/>
      <c r="D1946" s="5"/>
      <c r="E1946" s="6"/>
      <c r="F1946" s="6" t="b">
        <f t="shared" si="1"/>
        <v>0</v>
      </c>
    </row>
    <row r="1947" ht="15.75" customHeight="1">
      <c r="A1947" s="3" t="s">
        <v>3743</v>
      </c>
      <c r="B1947" s="4"/>
      <c r="C1947" s="5"/>
      <c r="D1947" s="5"/>
      <c r="E1947" s="6"/>
      <c r="F1947" s="6" t="b">
        <f t="shared" si="1"/>
        <v>0</v>
      </c>
    </row>
    <row r="1948" ht="15.75" customHeight="1">
      <c r="A1948" s="3" t="s">
        <v>3744</v>
      </c>
      <c r="B1948" s="4"/>
      <c r="C1948" s="5"/>
      <c r="D1948" s="5"/>
      <c r="E1948" s="6"/>
      <c r="F1948" s="6" t="b">
        <f t="shared" si="1"/>
        <v>0</v>
      </c>
    </row>
    <row r="1949" ht="15.75" customHeight="1">
      <c r="A1949" s="3" t="s">
        <v>3745</v>
      </c>
      <c r="B1949" s="4"/>
      <c r="C1949" s="5"/>
      <c r="D1949" s="5"/>
      <c r="E1949" s="6"/>
      <c r="F1949" s="6" t="b">
        <f t="shared" si="1"/>
        <v>0</v>
      </c>
    </row>
    <row r="1950" ht="15.75" customHeight="1">
      <c r="A1950" s="3" t="s">
        <v>3746</v>
      </c>
      <c r="B1950" s="4"/>
      <c r="C1950" s="5"/>
      <c r="D1950" s="5"/>
      <c r="E1950" s="6"/>
      <c r="F1950" s="6" t="b">
        <f t="shared" si="1"/>
        <v>0</v>
      </c>
    </row>
    <row r="1951" ht="15.75" customHeight="1">
      <c r="A1951" s="7" t="s">
        <v>3747</v>
      </c>
      <c r="B1951" s="4" t="s">
        <v>3748</v>
      </c>
      <c r="C1951" s="5" t="s">
        <v>6</v>
      </c>
      <c r="D1951" s="6" t="s">
        <v>3749</v>
      </c>
      <c r="E1951" s="6"/>
      <c r="F1951" s="6" t="b">
        <f t="shared" si="1"/>
        <v>0</v>
      </c>
    </row>
    <row r="1952" ht="15.75" customHeight="1">
      <c r="A1952" s="7" t="s">
        <v>3750</v>
      </c>
      <c r="B1952" s="4" t="s">
        <v>3751</v>
      </c>
      <c r="C1952" s="5" t="s">
        <v>6</v>
      </c>
      <c r="D1952" s="6" t="s">
        <v>3749</v>
      </c>
      <c r="E1952" s="6"/>
      <c r="F1952" s="6" t="b">
        <f t="shared" si="1"/>
        <v>0</v>
      </c>
    </row>
    <row r="1953" ht="15.75" customHeight="1">
      <c r="A1953" s="7" t="s">
        <v>3752</v>
      </c>
      <c r="B1953" s="4" t="s">
        <v>3753</v>
      </c>
      <c r="C1953" s="5" t="s">
        <v>6</v>
      </c>
      <c r="D1953" s="6" t="s">
        <v>3754</v>
      </c>
      <c r="E1953" s="6"/>
      <c r="F1953" s="6" t="b">
        <f t="shared" si="1"/>
        <v>0</v>
      </c>
    </row>
    <row r="1954" ht="15.75" customHeight="1">
      <c r="A1954" s="7" t="s">
        <v>3755</v>
      </c>
      <c r="B1954" s="4" t="s">
        <v>3756</v>
      </c>
      <c r="C1954" s="5" t="s">
        <v>6</v>
      </c>
      <c r="D1954" s="6" t="s">
        <v>3757</v>
      </c>
      <c r="E1954" s="6"/>
      <c r="F1954" s="6" t="b">
        <f t="shared" si="1"/>
        <v>0</v>
      </c>
    </row>
    <row r="1955" ht="15.75" customHeight="1">
      <c r="A1955" s="7" t="s">
        <v>3758</v>
      </c>
      <c r="B1955" s="4" t="s">
        <v>3759</v>
      </c>
      <c r="C1955" s="5" t="s">
        <v>6</v>
      </c>
      <c r="D1955" s="6" t="s">
        <v>3760</v>
      </c>
      <c r="E1955" s="6"/>
      <c r="F1955" s="6" t="b">
        <f t="shared" si="1"/>
        <v>0</v>
      </c>
    </row>
    <row r="1956" ht="15.75" customHeight="1">
      <c r="A1956" s="7" t="s">
        <v>3761</v>
      </c>
      <c r="B1956" s="4" t="s">
        <v>3762</v>
      </c>
      <c r="C1956" s="5" t="s">
        <v>6</v>
      </c>
      <c r="D1956" s="6" t="s">
        <v>3763</v>
      </c>
      <c r="E1956" s="6"/>
      <c r="F1956" s="6" t="b">
        <f t="shared" si="1"/>
        <v>0</v>
      </c>
    </row>
    <row r="1957" ht="15.75" customHeight="1">
      <c r="A1957" s="7" t="s">
        <v>3764</v>
      </c>
      <c r="B1957" s="9" t="s">
        <v>3765</v>
      </c>
      <c r="C1957" s="5" t="s">
        <v>6</v>
      </c>
      <c r="D1957" s="6" t="s">
        <v>3766</v>
      </c>
      <c r="E1957" s="6"/>
      <c r="F1957" s="6" t="b">
        <f t="shared" si="1"/>
        <v>0</v>
      </c>
    </row>
    <row r="1958" ht="15.75" customHeight="1">
      <c r="A1958" s="7" t="s">
        <v>3767</v>
      </c>
      <c r="B1958" s="9" t="s">
        <v>3768</v>
      </c>
      <c r="C1958" s="5" t="s">
        <v>6</v>
      </c>
      <c r="D1958" s="6" t="s">
        <v>3766</v>
      </c>
      <c r="E1958" s="6"/>
      <c r="F1958" s="6" t="b">
        <f t="shared" si="1"/>
        <v>0</v>
      </c>
    </row>
    <row r="1959" ht="15.75" customHeight="1">
      <c r="A1959" s="7" t="s">
        <v>3769</v>
      </c>
      <c r="B1959" s="4" t="s">
        <v>3770</v>
      </c>
      <c r="C1959" s="5" t="s">
        <v>6</v>
      </c>
      <c r="D1959" s="6" t="s">
        <v>170</v>
      </c>
      <c r="E1959" s="6"/>
      <c r="F1959" s="6" t="b">
        <f t="shared" si="1"/>
        <v>0</v>
      </c>
    </row>
    <row r="1960" ht="15.75" customHeight="1">
      <c r="A1960" s="3" t="s">
        <v>3771</v>
      </c>
      <c r="B1960" s="4"/>
      <c r="C1960" s="5"/>
      <c r="D1960" s="5"/>
      <c r="E1960" s="6"/>
      <c r="F1960" s="6" t="b">
        <f t="shared" si="1"/>
        <v>0</v>
      </c>
    </row>
    <row r="1961" ht="15.75" customHeight="1">
      <c r="A1961" s="3" t="s">
        <v>3772</v>
      </c>
      <c r="B1961" s="4"/>
      <c r="C1961" s="5"/>
      <c r="D1961" s="5"/>
      <c r="E1961" s="6"/>
      <c r="F1961" s="6" t="b">
        <f t="shared" si="1"/>
        <v>0</v>
      </c>
    </row>
    <row r="1962" ht="15.75" customHeight="1">
      <c r="A1962" s="3" t="s">
        <v>3773</v>
      </c>
      <c r="B1962" s="4"/>
      <c r="C1962" s="5"/>
      <c r="D1962" s="5"/>
      <c r="E1962" s="6"/>
      <c r="F1962" s="6" t="b">
        <f t="shared" si="1"/>
        <v>0</v>
      </c>
    </row>
    <row r="1963" ht="15.75" customHeight="1">
      <c r="A1963" s="7" t="s">
        <v>3774</v>
      </c>
      <c r="B1963" s="4" t="s">
        <v>3775</v>
      </c>
      <c r="C1963" s="5" t="s">
        <v>6</v>
      </c>
      <c r="D1963" s="6" t="s">
        <v>742</v>
      </c>
      <c r="E1963" s="6"/>
      <c r="F1963" s="6" t="b">
        <f t="shared" si="1"/>
        <v>0</v>
      </c>
    </row>
    <row r="1964" ht="15.75" customHeight="1">
      <c r="A1964" s="7" t="s">
        <v>3776</v>
      </c>
      <c r="B1964" s="4" t="s">
        <v>3777</v>
      </c>
      <c r="C1964" s="5" t="s">
        <v>6</v>
      </c>
      <c r="D1964" s="6" t="s">
        <v>3778</v>
      </c>
      <c r="E1964" s="6"/>
      <c r="F1964" s="6" t="b">
        <f t="shared" si="1"/>
        <v>0</v>
      </c>
    </row>
    <row r="1965" ht="15.75" customHeight="1">
      <c r="A1965" s="7" t="s">
        <v>3779</v>
      </c>
      <c r="B1965" s="4" t="s">
        <v>3780</v>
      </c>
      <c r="C1965" s="5" t="s">
        <v>6</v>
      </c>
      <c r="D1965" s="6" t="s">
        <v>3778</v>
      </c>
      <c r="E1965" s="6"/>
      <c r="F1965" s="6" t="b">
        <f t="shared" si="1"/>
        <v>0</v>
      </c>
    </row>
    <row r="1966" ht="15.75" customHeight="1">
      <c r="A1966" s="7" t="s">
        <v>3781</v>
      </c>
      <c r="B1966" s="4" t="s">
        <v>3782</v>
      </c>
      <c r="C1966" s="5" t="s">
        <v>6</v>
      </c>
      <c r="D1966" s="6" t="s">
        <v>3778</v>
      </c>
      <c r="E1966" s="6"/>
      <c r="F1966" s="6" t="b">
        <f t="shared" si="1"/>
        <v>0</v>
      </c>
    </row>
    <row r="1967" ht="15.75" customHeight="1">
      <c r="A1967" s="7" t="s">
        <v>3783</v>
      </c>
      <c r="B1967" s="4" t="s">
        <v>3784</v>
      </c>
      <c r="C1967" s="5" t="s">
        <v>6</v>
      </c>
      <c r="D1967" s="6" t="s">
        <v>3785</v>
      </c>
      <c r="E1967" s="6"/>
      <c r="F1967" s="6" t="b">
        <f t="shared" si="1"/>
        <v>0</v>
      </c>
    </row>
    <row r="1968" ht="15.75" customHeight="1">
      <c r="A1968" s="7" t="s">
        <v>3786</v>
      </c>
      <c r="B1968" s="4" t="s">
        <v>3787</v>
      </c>
      <c r="C1968" s="5" t="s">
        <v>6</v>
      </c>
      <c r="D1968" s="6" t="s">
        <v>3785</v>
      </c>
      <c r="E1968" s="6"/>
      <c r="F1968" s="6" t="b">
        <f t="shared" si="1"/>
        <v>0</v>
      </c>
    </row>
    <row r="1969" ht="15.75" customHeight="1">
      <c r="A1969" s="7" t="s">
        <v>3788</v>
      </c>
      <c r="B1969" s="4" t="s">
        <v>3789</v>
      </c>
      <c r="C1969" s="5" t="s">
        <v>6</v>
      </c>
      <c r="D1969" s="6" t="s">
        <v>3785</v>
      </c>
      <c r="E1969" s="6"/>
      <c r="F1969" s="6" t="b">
        <f t="shared" si="1"/>
        <v>0</v>
      </c>
    </row>
    <row r="1970" ht="15.75" customHeight="1">
      <c r="A1970" s="7" t="s">
        <v>3790</v>
      </c>
      <c r="B1970" s="4" t="s">
        <v>3791</v>
      </c>
      <c r="C1970" s="5" t="s">
        <v>6</v>
      </c>
      <c r="D1970" s="6" t="s">
        <v>3785</v>
      </c>
      <c r="E1970" s="6"/>
      <c r="F1970" s="6" t="b">
        <f t="shared" si="1"/>
        <v>0</v>
      </c>
    </row>
    <row r="1971" ht="15.75" customHeight="1">
      <c r="A1971" s="7" t="s">
        <v>3792</v>
      </c>
      <c r="B1971" s="4" t="s">
        <v>3793</v>
      </c>
      <c r="C1971" s="5" t="s">
        <v>6</v>
      </c>
      <c r="D1971" s="6" t="s">
        <v>3785</v>
      </c>
      <c r="E1971" s="6"/>
      <c r="F1971" s="6" t="b">
        <f t="shared" si="1"/>
        <v>0</v>
      </c>
    </row>
    <row r="1972" ht="15.75" customHeight="1">
      <c r="A1972" s="7" t="s">
        <v>3794</v>
      </c>
      <c r="B1972" s="4" t="s">
        <v>3795</v>
      </c>
      <c r="C1972" s="5" t="s">
        <v>6</v>
      </c>
      <c r="D1972" s="6" t="s">
        <v>3785</v>
      </c>
      <c r="E1972" s="6"/>
      <c r="F1972" s="6" t="b">
        <f t="shared" si="1"/>
        <v>0</v>
      </c>
    </row>
    <row r="1973" ht="15.75" customHeight="1">
      <c r="A1973" s="3" t="s">
        <v>3796</v>
      </c>
      <c r="B1973" s="4"/>
      <c r="C1973" s="5"/>
      <c r="D1973" s="5"/>
      <c r="E1973" s="6"/>
      <c r="F1973" s="6" t="b">
        <f t="shared" si="1"/>
        <v>0</v>
      </c>
    </row>
    <row r="1974" ht="15.75" customHeight="1">
      <c r="A1974" s="7" t="s">
        <v>3797</v>
      </c>
      <c r="B1974" s="4" t="s">
        <v>3798</v>
      </c>
      <c r="C1974" s="5" t="s">
        <v>6</v>
      </c>
      <c r="D1974" s="6" t="s">
        <v>3799</v>
      </c>
      <c r="E1974" s="6"/>
      <c r="F1974" s="6" t="b">
        <f t="shared" si="1"/>
        <v>0</v>
      </c>
    </row>
    <row r="1975" ht="15.75" customHeight="1">
      <c r="A1975" s="7" t="s">
        <v>3800</v>
      </c>
      <c r="B1975" s="4" t="s">
        <v>3801</v>
      </c>
      <c r="C1975" s="5" t="s">
        <v>6</v>
      </c>
      <c r="D1975" s="6" t="s">
        <v>3802</v>
      </c>
      <c r="E1975" s="6"/>
      <c r="F1975" s="6" t="b">
        <f t="shared" si="1"/>
        <v>0</v>
      </c>
    </row>
    <row r="1976" ht="15.75" customHeight="1">
      <c r="A1976" s="7" t="s">
        <v>3803</v>
      </c>
      <c r="B1976" s="4" t="s">
        <v>3804</v>
      </c>
      <c r="C1976" s="5" t="s">
        <v>6</v>
      </c>
      <c r="D1976" s="6" t="s">
        <v>3805</v>
      </c>
      <c r="E1976" s="6"/>
      <c r="F1976" s="6" t="b">
        <f t="shared" si="1"/>
        <v>0</v>
      </c>
    </row>
    <row r="1977" ht="15.75" customHeight="1">
      <c r="A1977" s="7" t="s">
        <v>3806</v>
      </c>
      <c r="B1977" s="4" t="s">
        <v>3807</v>
      </c>
      <c r="C1977" s="5" t="s">
        <v>6</v>
      </c>
      <c r="D1977" s="6" t="s">
        <v>3805</v>
      </c>
      <c r="E1977" s="6"/>
      <c r="F1977" s="6" t="b">
        <f t="shared" si="1"/>
        <v>0</v>
      </c>
    </row>
    <row r="1978" ht="15.75" customHeight="1">
      <c r="A1978" s="7" t="s">
        <v>3808</v>
      </c>
      <c r="B1978" s="4" t="s">
        <v>3809</v>
      </c>
      <c r="C1978" s="5" t="s">
        <v>6</v>
      </c>
      <c r="D1978" s="6" t="s">
        <v>2632</v>
      </c>
      <c r="E1978" s="6"/>
      <c r="F1978" s="6" t="b">
        <f t="shared" si="1"/>
        <v>0</v>
      </c>
    </row>
    <row r="1979" ht="15.75" customHeight="1">
      <c r="A1979" s="7" t="s">
        <v>3810</v>
      </c>
      <c r="B1979" s="4" t="s">
        <v>3811</v>
      </c>
      <c r="C1979" s="5" t="s">
        <v>6</v>
      </c>
      <c r="D1979" s="6" t="s">
        <v>2632</v>
      </c>
      <c r="E1979" s="6"/>
      <c r="F1979" s="6" t="b">
        <f t="shared" si="1"/>
        <v>0</v>
      </c>
    </row>
    <row r="1980" ht="15.75" customHeight="1">
      <c r="A1980" s="7" t="s">
        <v>3812</v>
      </c>
      <c r="B1980" s="4" t="s">
        <v>3813</v>
      </c>
      <c r="C1980" s="5" t="s">
        <v>6</v>
      </c>
      <c r="D1980" s="6" t="s">
        <v>2100</v>
      </c>
      <c r="E1980" s="6"/>
      <c r="F1980" s="6" t="b">
        <f t="shared" si="1"/>
        <v>0</v>
      </c>
    </row>
    <row r="1981" ht="15.75" customHeight="1">
      <c r="A1981" s="7" t="s">
        <v>3814</v>
      </c>
      <c r="B1981" s="4" t="s">
        <v>3815</v>
      </c>
      <c r="C1981" s="5" t="s">
        <v>6</v>
      </c>
      <c r="D1981" s="6" t="s">
        <v>2100</v>
      </c>
      <c r="E1981" s="6"/>
      <c r="F1981" s="6" t="b">
        <f t="shared" si="1"/>
        <v>0</v>
      </c>
    </row>
    <row r="1982" ht="15.75" customHeight="1">
      <c r="A1982" s="7" t="s">
        <v>3816</v>
      </c>
      <c r="B1982" s="4" t="s">
        <v>3817</v>
      </c>
      <c r="C1982" s="5" t="s">
        <v>6</v>
      </c>
      <c r="D1982" s="6" t="s">
        <v>3818</v>
      </c>
      <c r="E1982" s="6"/>
      <c r="F1982" s="6" t="b">
        <f t="shared" si="1"/>
        <v>0</v>
      </c>
    </row>
    <row r="1983" ht="15.75" customHeight="1">
      <c r="A1983" s="7" t="s">
        <v>3819</v>
      </c>
      <c r="B1983" s="4" t="s">
        <v>3820</v>
      </c>
      <c r="C1983" s="5" t="s">
        <v>6</v>
      </c>
      <c r="D1983" s="6" t="s">
        <v>713</v>
      </c>
      <c r="E1983" s="6"/>
      <c r="F1983" s="6" t="b">
        <f t="shared" si="1"/>
        <v>0</v>
      </c>
    </row>
    <row r="1984" ht="15.75" customHeight="1">
      <c r="A1984" s="7" t="s">
        <v>3821</v>
      </c>
      <c r="B1984" s="4" t="s">
        <v>3822</v>
      </c>
      <c r="C1984" s="5" t="s">
        <v>6</v>
      </c>
      <c r="D1984" s="6" t="s">
        <v>3823</v>
      </c>
      <c r="E1984" s="6"/>
      <c r="F1984" s="6" t="b">
        <f t="shared" si="1"/>
        <v>0</v>
      </c>
    </row>
    <row r="1985" ht="15.75" customHeight="1">
      <c r="A1985" s="7" t="s">
        <v>3824</v>
      </c>
      <c r="B1985" s="4" t="s">
        <v>3825</v>
      </c>
      <c r="C1985" s="5" t="s">
        <v>6</v>
      </c>
      <c r="D1985" s="6" t="s">
        <v>3823</v>
      </c>
      <c r="E1985" s="6"/>
      <c r="F1985" s="6" t="b">
        <f t="shared" si="1"/>
        <v>0</v>
      </c>
    </row>
    <row r="1986" ht="15.75" customHeight="1">
      <c r="A1986" s="7" t="s">
        <v>3826</v>
      </c>
      <c r="B1986" s="4" t="s">
        <v>3827</v>
      </c>
      <c r="C1986" s="5" t="s">
        <v>6</v>
      </c>
      <c r="D1986" s="6" t="s">
        <v>3823</v>
      </c>
      <c r="E1986" s="6"/>
      <c r="F1986" s="6" t="b">
        <f t="shared" si="1"/>
        <v>0</v>
      </c>
    </row>
    <row r="1987" ht="15.75" customHeight="1">
      <c r="A1987" s="3" t="s">
        <v>3828</v>
      </c>
      <c r="B1987" s="4"/>
      <c r="C1987" s="5"/>
      <c r="D1987" s="5"/>
      <c r="E1987" s="6"/>
      <c r="F1987" s="6" t="b">
        <f t="shared" si="1"/>
        <v>0</v>
      </c>
    </row>
    <row r="1988" ht="15.75" customHeight="1">
      <c r="A1988" s="7" t="s">
        <v>3829</v>
      </c>
      <c r="B1988" s="4" t="s">
        <v>3830</v>
      </c>
      <c r="C1988" s="5" t="s">
        <v>6</v>
      </c>
      <c r="D1988" s="6" t="s">
        <v>3831</v>
      </c>
      <c r="E1988" s="6"/>
      <c r="F1988" s="6" t="b">
        <f t="shared" si="1"/>
        <v>0</v>
      </c>
    </row>
    <row r="1989" ht="15.75" customHeight="1">
      <c r="A1989" s="7" t="s">
        <v>3832</v>
      </c>
      <c r="B1989" s="9" t="s">
        <v>3833</v>
      </c>
      <c r="C1989" s="5" t="s">
        <v>6</v>
      </c>
      <c r="D1989" s="6" t="s">
        <v>3834</v>
      </c>
      <c r="E1989" s="6"/>
      <c r="F1989" s="6" t="b">
        <f t="shared" si="1"/>
        <v>0</v>
      </c>
    </row>
    <row r="1990" ht="15.75" customHeight="1">
      <c r="A1990" s="7" t="s">
        <v>3835</v>
      </c>
      <c r="B1990" s="9" t="s">
        <v>3836</v>
      </c>
      <c r="C1990" s="5" t="s">
        <v>6</v>
      </c>
      <c r="D1990" s="6" t="s">
        <v>419</v>
      </c>
      <c r="E1990" s="6"/>
      <c r="F1990" s="6" t="b">
        <f t="shared" si="1"/>
        <v>0</v>
      </c>
    </row>
    <row r="1991" ht="15.75" customHeight="1">
      <c r="A1991" s="7" t="s">
        <v>3837</v>
      </c>
      <c r="B1991" s="4" t="s">
        <v>3838</v>
      </c>
      <c r="C1991" s="5" t="s">
        <v>6</v>
      </c>
      <c r="D1991" s="6" t="s">
        <v>2451</v>
      </c>
      <c r="E1991" s="6"/>
      <c r="F1991" s="6" t="b">
        <f t="shared" si="1"/>
        <v>0</v>
      </c>
    </row>
    <row r="1992" ht="15.75" customHeight="1">
      <c r="A1992" s="7" t="s">
        <v>3839</v>
      </c>
      <c r="B1992" s="4" t="s">
        <v>3840</v>
      </c>
      <c r="C1992" s="5" t="s">
        <v>6</v>
      </c>
      <c r="D1992" s="6" t="s">
        <v>761</v>
      </c>
      <c r="E1992" s="6"/>
      <c r="F1992" s="6" t="b">
        <f t="shared" si="1"/>
        <v>0</v>
      </c>
    </row>
    <row r="1993" ht="15.75" customHeight="1">
      <c r="A1993" s="3" t="s">
        <v>3841</v>
      </c>
      <c r="B1993" s="4"/>
      <c r="C1993" s="5"/>
      <c r="D1993" s="5"/>
      <c r="E1993" s="6"/>
      <c r="F1993" s="6" t="b">
        <f t="shared" si="1"/>
        <v>0</v>
      </c>
    </row>
    <row r="1994" ht="15.75" customHeight="1">
      <c r="A1994" s="7" t="s">
        <v>3842</v>
      </c>
      <c r="B1994" s="4" t="s">
        <v>3843</v>
      </c>
      <c r="C1994" s="5" t="s">
        <v>6</v>
      </c>
      <c r="D1994" s="6" t="s">
        <v>726</v>
      </c>
      <c r="E1994" s="6"/>
      <c r="F1994" s="6" t="b">
        <f t="shared" si="1"/>
        <v>0</v>
      </c>
    </row>
    <row r="1995" ht="15.75" customHeight="1">
      <c r="A1995" s="3" t="s">
        <v>3844</v>
      </c>
      <c r="B1995" s="4"/>
      <c r="C1995" s="5"/>
      <c r="D1995" s="5"/>
      <c r="E1995" s="6"/>
      <c r="F1995" s="6" t="b">
        <f t="shared" si="1"/>
        <v>0</v>
      </c>
    </row>
    <row r="1996" ht="15.75" customHeight="1">
      <c r="A1996" s="7" t="s">
        <v>3845</v>
      </c>
      <c r="B1996" s="4" t="s">
        <v>3846</v>
      </c>
      <c r="C1996" s="5" t="s">
        <v>6</v>
      </c>
      <c r="D1996" s="6" t="s">
        <v>726</v>
      </c>
      <c r="E1996" s="6"/>
      <c r="F1996" s="6" t="b">
        <f t="shared" si="1"/>
        <v>0</v>
      </c>
    </row>
    <row r="1997" ht="15.75" customHeight="1">
      <c r="A1997" s="7" t="s">
        <v>3847</v>
      </c>
      <c r="B1997" s="4" t="s">
        <v>3848</v>
      </c>
      <c r="C1997" s="5" t="s">
        <v>6</v>
      </c>
      <c r="D1997" s="6" t="s">
        <v>726</v>
      </c>
      <c r="E1997" s="6"/>
      <c r="F1997" s="6" t="b">
        <f t="shared" si="1"/>
        <v>0</v>
      </c>
    </row>
    <row r="1998" ht="15.75" customHeight="1">
      <c r="A1998" s="7" t="s">
        <v>3849</v>
      </c>
      <c r="B1998" s="4" t="s">
        <v>3850</v>
      </c>
      <c r="C1998" s="5" t="s">
        <v>6</v>
      </c>
      <c r="D1998" s="6" t="s">
        <v>726</v>
      </c>
      <c r="E1998" s="6"/>
      <c r="F1998" s="6" t="b">
        <f t="shared" si="1"/>
        <v>0</v>
      </c>
    </row>
    <row r="1999" ht="15.75" customHeight="1">
      <c r="A1999" s="7" t="s">
        <v>3851</v>
      </c>
      <c r="B1999" s="4" t="s">
        <v>3852</v>
      </c>
      <c r="C1999" s="5" t="s">
        <v>6</v>
      </c>
      <c r="D1999" s="6" t="s">
        <v>42</v>
      </c>
      <c r="E1999" s="6"/>
      <c r="F1999" s="6" t="b">
        <f t="shared" si="1"/>
        <v>0</v>
      </c>
    </row>
    <row r="2000" ht="15.75" customHeight="1">
      <c r="A2000" s="7" t="s">
        <v>3853</v>
      </c>
      <c r="B2000" s="4" t="s">
        <v>3854</v>
      </c>
      <c r="C2000" s="5" t="s">
        <v>6</v>
      </c>
      <c r="D2000" s="6" t="s">
        <v>42</v>
      </c>
      <c r="E2000" s="6"/>
      <c r="F2000" s="6" t="b">
        <f t="shared" si="1"/>
        <v>0</v>
      </c>
    </row>
    <row r="2001" ht="15.75" customHeight="1">
      <c r="A2001" s="7" t="s">
        <v>3855</v>
      </c>
      <c r="B2001" s="4" t="s">
        <v>3856</v>
      </c>
      <c r="C2001" s="5" t="s">
        <v>6</v>
      </c>
      <c r="D2001" s="6" t="s">
        <v>42</v>
      </c>
      <c r="E2001" s="6"/>
      <c r="F2001" s="6" t="b">
        <f t="shared" si="1"/>
        <v>0</v>
      </c>
    </row>
    <row r="2002" ht="15.75" customHeight="1">
      <c r="A2002" s="7" t="s">
        <v>3857</v>
      </c>
      <c r="B2002" s="4" t="s">
        <v>3858</v>
      </c>
      <c r="C2002" s="5" t="s">
        <v>6</v>
      </c>
      <c r="D2002" s="6" t="s">
        <v>42</v>
      </c>
      <c r="E2002" s="6"/>
      <c r="F2002" s="6" t="b">
        <f t="shared" si="1"/>
        <v>0</v>
      </c>
    </row>
    <row r="2003" ht="15.75" customHeight="1">
      <c r="A2003" s="7" t="s">
        <v>3859</v>
      </c>
      <c r="B2003" s="4" t="s">
        <v>3860</v>
      </c>
      <c r="C2003" s="5" t="s">
        <v>6</v>
      </c>
      <c r="D2003" s="6" t="s">
        <v>1372</v>
      </c>
      <c r="E2003" s="6"/>
      <c r="F2003" s="6" t="b">
        <f t="shared" si="1"/>
        <v>0</v>
      </c>
    </row>
    <row r="2004" ht="15.75" customHeight="1">
      <c r="A2004" s="7" t="s">
        <v>3861</v>
      </c>
      <c r="B2004" s="4" t="s">
        <v>3862</v>
      </c>
      <c r="C2004" s="5" t="s">
        <v>6</v>
      </c>
      <c r="D2004" s="6" t="s">
        <v>1372</v>
      </c>
      <c r="E2004" s="6"/>
      <c r="F2004" s="6" t="b">
        <f t="shared" si="1"/>
        <v>0</v>
      </c>
    </row>
    <row r="2005" ht="15.75" customHeight="1">
      <c r="A2005" s="7" t="s">
        <v>3863</v>
      </c>
      <c r="B2005" s="4" t="s">
        <v>3864</v>
      </c>
      <c r="C2005" s="5" t="s">
        <v>6</v>
      </c>
      <c r="D2005" s="6" t="s">
        <v>1372</v>
      </c>
      <c r="E2005" s="6"/>
      <c r="F2005" s="6" t="b">
        <f t="shared" si="1"/>
        <v>0</v>
      </c>
    </row>
    <row r="2006" ht="15.75" customHeight="1">
      <c r="A2006" s="7" t="s">
        <v>3865</v>
      </c>
      <c r="B2006" s="4" t="s">
        <v>3866</v>
      </c>
      <c r="C2006" s="5" t="s">
        <v>6</v>
      </c>
      <c r="D2006" s="6" t="s">
        <v>1372</v>
      </c>
      <c r="E2006" s="6"/>
      <c r="F2006" s="6" t="b">
        <f t="shared" si="1"/>
        <v>0</v>
      </c>
    </row>
    <row r="2007" ht="15.75" customHeight="1">
      <c r="A2007" s="7" t="s">
        <v>3867</v>
      </c>
      <c r="B2007" s="4" t="s">
        <v>3868</v>
      </c>
      <c r="C2007" s="5" t="s">
        <v>6</v>
      </c>
      <c r="D2007" s="6" t="s">
        <v>1372</v>
      </c>
      <c r="E2007" s="6"/>
      <c r="F2007" s="6" t="b">
        <f t="shared" si="1"/>
        <v>0</v>
      </c>
    </row>
    <row r="2008" ht="15.75" customHeight="1">
      <c r="A2008" s="7" t="s">
        <v>3869</v>
      </c>
      <c r="B2008" s="4" t="s">
        <v>3870</v>
      </c>
      <c r="C2008" s="5" t="s">
        <v>6</v>
      </c>
      <c r="D2008" s="6" t="s">
        <v>1372</v>
      </c>
      <c r="E2008" s="6"/>
      <c r="F2008" s="6" t="b">
        <f t="shared" si="1"/>
        <v>0</v>
      </c>
    </row>
    <row r="2009" ht="15.75" customHeight="1">
      <c r="A2009" s="7" t="s">
        <v>3871</v>
      </c>
      <c r="B2009" s="4" t="s">
        <v>3872</v>
      </c>
      <c r="C2009" s="5" t="s">
        <v>6</v>
      </c>
      <c r="D2009" s="6" t="s">
        <v>1372</v>
      </c>
      <c r="E2009" s="6"/>
      <c r="F2009" s="6" t="b">
        <f t="shared" si="1"/>
        <v>0</v>
      </c>
    </row>
    <row r="2010" ht="15.75" customHeight="1">
      <c r="A2010" s="7" t="s">
        <v>3873</v>
      </c>
      <c r="B2010" s="4" t="s">
        <v>3874</v>
      </c>
      <c r="C2010" s="5" t="s">
        <v>6</v>
      </c>
      <c r="D2010" s="6" t="s">
        <v>1313</v>
      </c>
      <c r="E2010" s="6"/>
      <c r="F2010" s="6" t="b">
        <f t="shared" si="1"/>
        <v>0</v>
      </c>
    </row>
    <row r="2011" ht="15.75" customHeight="1">
      <c r="A2011" s="7" t="s">
        <v>3875</v>
      </c>
      <c r="B2011" s="4" t="s">
        <v>3876</v>
      </c>
      <c r="C2011" s="5" t="s">
        <v>6</v>
      </c>
      <c r="D2011" s="6" t="s">
        <v>1313</v>
      </c>
      <c r="E2011" s="6"/>
      <c r="F2011" s="6" t="b">
        <f t="shared" si="1"/>
        <v>0</v>
      </c>
    </row>
    <row r="2012" ht="15.75" customHeight="1">
      <c r="A2012" s="7" t="s">
        <v>3877</v>
      </c>
      <c r="B2012" s="4" t="s">
        <v>3878</v>
      </c>
      <c r="C2012" s="5" t="s">
        <v>6</v>
      </c>
      <c r="D2012" s="6" t="s">
        <v>1313</v>
      </c>
      <c r="E2012" s="6"/>
      <c r="F2012" s="6" t="b">
        <f t="shared" si="1"/>
        <v>0</v>
      </c>
    </row>
    <row r="2013" ht="15.75" customHeight="1">
      <c r="A2013" s="7" t="s">
        <v>3879</v>
      </c>
      <c r="B2013" s="4" t="s">
        <v>3880</v>
      </c>
      <c r="C2013" s="5" t="s">
        <v>6</v>
      </c>
      <c r="D2013" s="6" t="s">
        <v>1313</v>
      </c>
      <c r="E2013" s="6"/>
      <c r="F2013" s="6" t="b">
        <f t="shared" si="1"/>
        <v>0</v>
      </c>
    </row>
    <row r="2014" ht="15.75" customHeight="1">
      <c r="A2014" s="7" t="s">
        <v>3881</v>
      </c>
      <c r="B2014" s="4" t="s">
        <v>1359</v>
      </c>
      <c r="C2014" s="5" t="s">
        <v>6</v>
      </c>
      <c r="D2014" s="6" t="s">
        <v>1313</v>
      </c>
      <c r="E2014" s="6"/>
      <c r="F2014" s="6" t="b">
        <f t="shared" si="1"/>
        <v>0</v>
      </c>
    </row>
    <row r="2015" ht="15.75" customHeight="1">
      <c r="A2015" s="7" t="s">
        <v>3882</v>
      </c>
      <c r="B2015" s="4" t="s">
        <v>3883</v>
      </c>
      <c r="C2015" s="5" t="s">
        <v>6</v>
      </c>
      <c r="D2015" s="6" t="s">
        <v>1313</v>
      </c>
      <c r="E2015" s="6"/>
      <c r="F2015" s="6" t="b">
        <f t="shared" si="1"/>
        <v>0</v>
      </c>
    </row>
    <row r="2016" ht="15.75" customHeight="1">
      <c r="A2016" s="7" t="s">
        <v>3884</v>
      </c>
      <c r="B2016" s="4" t="s">
        <v>3885</v>
      </c>
      <c r="C2016" s="5" t="s">
        <v>6</v>
      </c>
      <c r="D2016" s="6" t="s">
        <v>1313</v>
      </c>
      <c r="E2016" s="6"/>
      <c r="F2016" s="6" t="b">
        <f t="shared" si="1"/>
        <v>0</v>
      </c>
    </row>
    <row r="2017" ht="15.75" customHeight="1">
      <c r="A2017" s="7" t="s">
        <v>3886</v>
      </c>
      <c r="B2017" s="4" t="s">
        <v>3887</v>
      </c>
      <c r="C2017" s="5" t="s">
        <v>6</v>
      </c>
      <c r="D2017" s="6" t="s">
        <v>1313</v>
      </c>
      <c r="E2017" s="6"/>
      <c r="F2017" s="6" t="b">
        <f t="shared" si="1"/>
        <v>0</v>
      </c>
    </row>
    <row r="2018" ht="15.75" customHeight="1">
      <c r="A2018" s="7" t="s">
        <v>3888</v>
      </c>
      <c r="B2018" s="4" t="s">
        <v>3889</v>
      </c>
      <c r="C2018" s="5" t="s">
        <v>6</v>
      </c>
      <c r="D2018" s="6" t="s">
        <v>1313</v>
      </c>
      <c r="E2018" s="6"/>
      <c r="F2018" s="6" t="b">
        <f t="shared" si="1"/>
        <v>0</v>
      </c>
    </row>
    <row r="2019" ht="15.75" customHeight="1">
      <c r="A2019" s="7" t="s">
        <v>3890</v>
      </c>
      <c r="B2019" s="4" t="s">
        <v>3891</v>
      </c>
      <c r="C2019" s="5" t="s">
        <v>6</v>
      </c>
      <c r="D2019" s="6" t="s">
        <v>1313</v>
      </c>
      <c r="E2019" s="6"/>
      <c r="F2019" s="6" t="b">
        <f t="shared" si="1"/>
        <v>0</v>
      </c>
    </row>
    <row r="2020" ht="15.75" customHeight="1">
      <c r="A2020" s="7" t="s">
        <v>3892</v>
      </c>
      <c r="B2020" s="4" t="s">
        <v>3893</v>
      </c>
      <c r="C2020" s="5" t="s">
        <v>6</v>
      </c>
      <c r="D2020" s="6" t="s">
        <v>1313</v>
      </c>
      <c r="E2020" s="6"/>
      <c r="F2020" s="6" t="b">
        <f t="shared" si="1"/>
        <v>0</v>
      </c>
    </row>
    <row r="2021" ht="15.75" customHeight="1">
      <c r="A2021" s="7" t="s">
        <v>3894</v>
      </c>
      <c r="B2021" s="4" t="s">
        <v>3895</v>
      </c>
      <c r="C2021" s="5" t="s">
        <v>6</v>
      </c>
      <c r="D2021" s="6" t="s">
        <v>3896</v>
      </c>
      <c r="E2021" s="6"/>
      <c r="F2021" s="6" t="b">
        <f t="shared" si="1"/>
        <v>0</v>
      </c>
    </row>
    <row r="2022" ht="15.75" customHeight="1">
      <c r="A2022" s="7" t="s">
        <v>3897</v>
      </c>
      <c r="B2022" s="4" t="s">
        <v>3898</v>
      </c>
      <c r="C2022" s="5" t="s">
        <v>6</v>
      </c>
      <c r="D2022" s="6" t="s">
        <v>3899</v>
      </c>
      <c r="E2022" s="6"/>
      <c r="F2022" s="6" t="b">
        <f t="shared" si="1"/>
        <v>0</v>
      </c>
    </row>
    <row r="2023" ht="15.75" customHeight="1">
      <c r="A2023" s="7" t="s">
        <v>3900</v>
      </c>
      <c r="B2023" s="4" t="s">
        <v>3901</v>
      </c>
      <c r="C2023" s="5" t="s">
        <v>6</v>
      </c>
      <c r="D2023" s="6" t="s">
        <v>3902</v>
      </c>
      <c r="E2023" s="6"/>
      <c r="F2023" s="6" t="b">
        <f t="shared" si="1"/>
        <v>0</v>
      </c>
    </row>
    <row r="2024" ht="15.75" customHeight="1">
      <c r="A2024" s="3" t="s">
        <v>3903</v>
      </c>
      <c r="B2024" s="4"/>
      <c r="C2024" s="5"/>
      <c r="D2024" s="5"/>
      <c r="E2024" s="6"/>
      <c r="F2024" s="6" t="b">
        <f t="shared" si="1"/>
        <v>0</v>
      </c>
    </row>
    <row r="2025" ht="15.75" customHeight="1">
      <c r="A2025" s="7" t="s">
        <v>3904</v>
      </c>
      <c r="B2025" s="4" t="s">
        <v>3905</v>
      </c>
      <c r="C2025" s="5" t="s">
        <v>6</v>
      </c>
      <c r="D2025" s="6" t="s">
        <v>3906</v>
      </c>
      <c r="E2025" s="6"/>
      <c r="F2025" s="6" t="b">
        <f t="shared" si="1"/>
        <v>0</v>
      </c>
    </row>
    <row r="2026" ht="15.75" customHeight="1">
      <c r="A2026" s="3" t="s">
        <v>3907</v>
      </c>
      <c r="B2026" s="4"/>
      <c r="C2026" s="5"/>
      <c r="D2026" s="5"/>
      <c r="E2026" s="6"/>
      <c r="F2026" s="6" t="b">
        <f t="shared" si="1"/>
        <v>0</v>
      </c>
    </row>
    <row r="2027" ht="15.75" customHeight="1">
      <c r="A2027" s="3" t="s">
        <v>3908</v>
      </c>
      <c r="B2027" s="4"/>
      <c r="C2027" s="5"/>
      <c r="D2027" s="5"/>
      <c r="E2027" s="6"/>
      <c r="F2027" s="6" t="b">
        <f t="shared" si="1"/>
        <v>0</v>
      </c>
    </row>
    <row r="2028" ht="15.75" customHeight="1">
      <c r="A2028" s="7" t="s">
        <v>3909</v>
      </c>
      <c r="B2028" s="4" t="s">
        <v>3910</v>
      </c>
      <c r="C2028" s="5" t="s">
        <v>6</v>
      </c>
      <c r="D2028" s="6" t="s">
        <v>3911</v>
      </c>
      <c r="E2028" s="6"/>
      <c r="F2028" s="6" t="b">
        <f t="shared" si="1"/>
        <v>0</v>
      </c>
    </row>
    <row r="2029" ht="15.75" customHeight="1">
      <c r="A2029" s="7" t="s">
        <v>3912</v>
      </c>
      <c r="B2029" s="4" t="s">
        <v>3913</v>
      </c>
      <c r="C2029" s="5" t="s">
        <v>6</v>
      </c>
      <c r="D2029" s="6" t="s">
        <v>3911</v>
      </c>
      <c r="E2029" s="6"/>
      <c r="F2029" s="6" t="b">
        <f t="shared" si="1"/>
        <v>0</v>
      </c>
    </row>
    <row r="2030" ht="15.75" customHeight="1">
      <c r="A2030" s="7" t="s">
        <v>3914</v>
      </c>
      <c r="B2030" s="4" t="s">
        <v>3915</v>
      </c>
      <c r="C2030" s="5" t="s">
        <v>16</v>
      </c>
      <c r="D2030" s="6" t="s">
        <v>3916</v>
      </c>
      <c r="E2030" s="6"/>
      <c r="F2030" s="6" t="b">
        <f t="shared" si="1"/>
        <v>0</v>
      </c>
    </row>
    <row r="2031" ht="15.75" customHeight="1">
      <c r="A2031" s="3" t="s">
        <v>3917</v>
      </c>
      <c r="B2031" s="4"/>
      <c r="C2031" s="5"/>
      <c r="D2031" s="5"/>
      <c r="E2031" s="6"/>
      <c r="F2031" s="6" t="b">
        <f t="shared" si="1"/>
        <v>0</v>
      </c>
    </row>
    <row r="2032" ht="15.75" customHeight="1">
      <c r="A2032" s="7" t="s">
        <v>3918</v>
      </c>
      <c r="B2032" s="4" t="s">
        <v>3919</v>
      </c>
      <c r="C2032" s="5" t="s">
        <v>6</v>
      </c>
      <c r="D2032" s="6" t="s">
        <v>772</v>
      </c>
      <c r="E2032" s="6"/>
      <c r="F2032" s="6" t="b">
        <f t="shared" si="1"/>
        <v>0</v>
      </c>
    </row>
    <row r="2033" ht="15.75" customHeight="1">
      <c r="A2033" s="7" t="s">
        <v>3920</v>
      </c>
      <c r="B2033" s="4" t="s">
        <v>3921</v>
      </c>
      <c r="C2033" s="5" t="s">
        <v>6</v>
      </c>
      <c r="D2033" s="6" t="s">
        <v>3922</v>
      </c>
      <c r="E2033" s="6"/>
      <c r="F2033" s="6" t="b">
        <f t="shared" si="1"/>
        <v>0</v>
      </c>
    </row>
    <row r="2034" ht="15.75" customHeight="1">
      <c r="A2034" s="7" t="s">
        <v>3923</v>
      </c>
      <c r="B2034" s="4" t="s">
        <v>3924</v>
      </c>
      <c r="C2034" s="5" t="s">
        <v>6</v>
      </c>
      <c r="D2034" s="6" t="s">
        <v>3922</v>
      </c>
      <c r="E2034" s="6"/>
      <c r="F2034" s="6" t="b">
        <f t="shared" si="1"/>
        <v>0</v>
      </c>
    </row>
    <row r="2035" ht="15.75" customHeight="1">
      <c r="A2035" s="7" t="s">
        <v>3925</v>
      </c>
      <c r="B2035" s="4" t="s">
        <v>3926</v>
      </c>
      <c r="C2035" s="5" t="s">
        <v>6</v>
      </c>
      <c r="D2035" s="6" t="s">
        <v>3922</v>
      </c>
      <c r="E2035" s="6"/>
      <c r="F2035" s="6" t="b">
        <f t="shared" si="1"/>
        <v>0</v>
      </c>
    </row>
    <row r="2036" ht="15.75" customHeight="1">
      <c r="A2036" s="7" t="s">
        <v>3927</v>
      </c>
      <c r="B2036" s="4" t="s">
        <v>3928</v>
      </c>
      <c r="C2036" s="5" t="s">
        <v>6</v>
      </c>
      <c r="D2036" s="6" t="s">
        <v>3922</v>
      </c>
      <c r="E2036" s="6"/>
      <c r="F2036" s="6" t="b">
        <f t="shared" si="1"/>
        <v>0</v>
      </c>
    </row>
    <row r="2037" ht="15.75" customHeight="1">
      <c r="A2037" s="7" t="s">
        <v>3929</v>
      </c>
      <c r="B2037" s="4" t="s">
        <v>3930</v>
      </c>
      <c r="C2037" s="5" t="s">
        <v>6</v>
      </c>
      <c r="D2037" s="6" t="s">
        <v>3922</v>
      </c>
      <c r="E2037" s="6"/>
      <c r="F2037" s="6" t="b">
        <f t="shared" si="1"/>
        <v>0</v>
      </c>
    </row>
    <row r="2038" ht="15.75" customHeight="1">
      <c r="A2038" s="7" t="s">
        <v>3931</v>
      </c>
      <c r="B2038" s="4" t="s">
        <v>3932</v>
      </c>
      <c r="C2038" s="5" t="s">
        <v>6</v>
      </c>
      <c r="D2038" s="6" t="s">
        <v>3922</v>
      </c>
      <c r="E2038" s="6"/>
      <c r="F2038" s="6" t="b">
        <f t="shared" si="1"/>
        <v>0</v>
      </c>
    </row>
    <row r="2039" ht="15.75" customHeight="1">
      <c r="A2039" s="7" t="s">
        <v>3933</v>
      </c>
      <c r="B2039" s="4" t="s">
        <v>3934</v>
      </c>
      <c r="C2039" s="5" t="s">
        <v>6</v>
      </c>
      <c r="D2039" s="6" t="s">
        <v>3922</v>
      </c>
      <c r="E2039" s="6"/>
      <c r="F2039" s="6" t="b">
        <f t="shared" si="1"/>
        <v>0</v>
      </c>
    </row>
    <row r="2040" ht="15.75" customHeight="1">
      <c r="A2040" s="7" t="s">
        <v>3935</v>
      </c>
      <c r="B2040" s="4" t="s">
        <v>3936</v>
      </c>
      <c r="C2040" s="5" t="s">
        <v>6</v>
      </c>
      <c r="D2040" s="6" t="s">
        <v>3922</v>
      </c>
      <c r="E2040" s="6"/>
      <c r="F2040" s="6" t="b">
        <f t="shared" si="1"/>
        <v>0</v>
      </c>
    </row>
    <row r="2041" ht="15.75" customHeight="1">
      <c r="A2041" s="7" t="s">
        <v>3937</v>
      </c>
      <c r="B2041" s="4" t="s">
        <v>3938</v>
      </c>
      <c r="C2041" s="5" t="s">
        <v>6</v>
      </c>
      <c r="D2041" s="6" t="s">
        <v>3922</v>
      </c>
      <c r="E2041" s="6"/>
      <c r="F2041" s="6" t="b">
        <f t="shared" si="1"/>
        <v>0</v>
      </c>
    </row>
    <row r="2042" ht="15.75" customHeight="1">
      <c r="A2042" s="7" t="s">
        <v>3939</v>
      </c>
      <c r="B2042" s="4" t="s">
        <v>3940</v>
      </c>
      <c r="C2042" s="5" t="s">
        <v>6</v>
      </c>
      <c r="D2042" s="6" t="s">
        <v>3922</v>
      </c>
      <c r="E2042" s="6"/>
      <c r="F2042" s="6" t="b">
        <f t="shared" si="1"/>
        <v>0</v>
      </c>
    </row>
    <row r="2043" ht="15.75" customHeight="1">
      <c r="A2043" s="7" t="s">
        <v>3941</v>
      </c>
      <c r="B2043" s="4" t="s">
        <v>3942</v>
      </c>
      <c r="C2043" s="5" t="s">
        <v>6</v>
      </c>
      <c r="D2043" s="6" t="s">
        <v>2032</v>
      </c>
      <c r="E2043" s="6"/>
      <c r="F2043" s="6" t="b">
        <f t="shared" si="1"/>
        <v>0</v>
      </c>
    </row>
    <row r="2044" ht="15.75" customHeight="1">
      <c r="A2044" s="7" t="s">
        <v>3943</v>
      </c>
      <c r="B2044" s="4" t="s">
        <v>3944</v>
      </c>
      <c r="C2044" s="5" t="s">
        <v>6</v>
      </c>
      <c r="D2044" s="6" t="s">
        <v>2032</v>
      </c>
      <c r="E2044" s="6"/>
      <c r="F2044" s="6" t="b">
        <f t="shared" si="1"/>
        <v>0</v>
      </c>
    </row>
    <row r="2045" ht="15.75" customHeight="1">
      <c r="A2045" s="7" t="s">
        <v>3945</v>
      </c>
      <c r="B2045" s="4" t="s">
        <v>3946</v>
      </c>
      <c r="C2045" s="5" t="s">
        <v>6</v>
      </c>
      <c r="D2045" s="6" t="s">
        <v>2032</v>
      </c>
      <c r="E2045" s="6"/>
      <c r="F2045" s="6" t="b">
        <f t="shared" si="1"/>
        <v>0</v>
      </c>
    </row>
    <row r="2046" ht="15.75" customHeight="1">
      <c r="A2046" s="7" t="s">
        <v>3947</v>
      </c>
      <c r="B2046" s="4" t="s">
        <v>3948</v>
      </c>
      <c r="C2046" s="5" t="s">
        <v>6</v>
      </c>
      <c r="D2046" s="6" t="s">
        <v>2032</v>
      </c>
      <c r="E2046" s="6"/>
      <c r="F2046" s="6" t="b">
        <f t="shared" si="1"/>
        <v>0</v>
      </c>
    </row>
    <row r="2047" ht="15.75" customHeight="1">
      <c r="A2047" s="7" t="s">
        <v>3949</v>
      </c>
      <c r="B2047" s="4" t="s">
        <v>3950</v>
      </c>
      <c r="C2047" s="5" t="s">
        <v>6</v>
      </c>
      <c r="D2047" s="6" t="s">
        <v>3951</v>
      </c>
      <c r="E2047" s="6"/>
      <c r="F2047" s="6" t="b">
        <f t="shared" si="1"/>
        <v>0</v>
      </c>
    </row>
    <row r="2048" ht="15.75" customHeight="1">
      <c r="A2048" s="7" t="s">
        <v>3952</v>
      </c>
      <c r="B2048" s="4" t="s">
        <v>3953</v>
      </c>
      <c r="C2048" s="5" t="s">
        <v>6</v>
      </c>
      <c r="D2048" s="6" t="s">
        <v>3954</v>
      </c>
      <c r="E2048" s="6"/>
      <c r="F2048" s="6" t="b">
        <f t="shared" si="1"/>
        <v>0</v>
      </c>
    </row>
    <row r="2049" ht="15.75" customHeight="1">
      <c r="A2049" s="7" t="s">
        <v>3955</v>
      </c>
      <c r="B2049" s="4" t="s">
        <v>3956</v>
      </c>
      <c r="C2049" s="5" t="s">
        <v>6</v>
      </c>
      <c r="D2049" s="6" t="s">
        <v>3957</v>
      </c>
      <c r="E2049" s="6"/>
      <c r="F2049" s="6" t="b">
        <f t="shared" si="1"/>
        <v>0</v>
      </c>
    </row>
    <row r="2050" ht="15.75" customHeight="1">
      <c r="A2050" s="7" t="s">
        <v>3958</v>
      </c>
      <c r="B2050" s="4" t="s">
        <v>3959</v>
      </c>
      <c r="C2050" s="5" t="s">
        <v>6</v>
      </c>
      <c r="D2050" s="6" t="s">
        <v>3960</v>
      </c>
      <c r="E2050" s="6"/>
      <c r="F2050" s="6" t="b">
        <f t="shared" si="1"/>
        <v>0</v>
      </c>
    </row>
    <row r="2051" ht="15.75" customHeight="1">
      <c r="A2051" s="7" t="s">
        <v>3961</v>
      </c>
      <c r="B2051" s="4" t="s">
        <v>3962</v>
      </c>
      <c r="C2051" s="5" t="s">
        <v>6</v>
      </c>
      <c r="D2051" s="6" t="s">
        <v>3963</v>
      </c>
      <c r="E2051" s="6"/>
      <c r="F2051" s="6" t="b">
        <f t="shared" si="1"/>
        <v>0</v>
      </c>
    </row>
    <row r="2052" ht="15.75" customHeight="1">
      <c r="A2052" s="7" t="s">
        <v>3964</v>
      </c>
      <c r="B2052" s="4" t="s">
        <v>3965</v>
      </c>
      <c r="C2052" s="5" t="s">
        <v>6</v>
      </c>
      <c r="D2052" s="6" t="s">
        <v>3966</v>
      </c>
      <c r="E2052" s="6"/>
      <c r="F2052" s="6" t="b">
        <f t="shared" si="1"/>
        <v>0</v>
      </c>
    </row>
    <row r="2053" ht="15.75" customHeight="1">
      <c r="A2053" s="3" t="s">
        <v>3967</v>
      </c>
      <c r="B2053" s="4"/>
      <c r="C2053" s="5"/>
      <c r="D2053" s="5"/>
      <c r="E2053" s="6"/>
      <c r="F2053" s="6" t="b">
        <f t="shared" si="1"/>
        <v>0</v>
      </c>
    </row>
    <row r="2054" ht="15.75" customHeight="1">
      <c r="A2054" s="7" t="s">
        <v>3968</v>
      </c>
      <c r="B2054" s="4" t="s">
        <v>3969</v>
      </c>
      <c r="C2054" s="5" t="s">
        <v>6</v>
      </c>
      <c r="D2054" s="6" t="s">
        <v>3970</v>
      </c>
      <c r="E2054" s="6"/>
      <c r="F2054" s="6" t="b">
        <f t="shared" si="1"/>
        <v>0</v>
      </c>
    </row>
    <row r="2055" ht="15.75" customHeight="1">
      <c r="A2055" s="7" t="s">
        <v>3971</v>
      </c>
      <c r="B2055" s="4" t="s">
        <v>3972</v>
      </c>
      <c r="C2055" s="5" t="s">
        <v>6</v>
      </c>
      <c r="D2055" s="6" t="s">
        <v>3973</v>
      </c>
      <c r="E2055" s="6"/>
      <c r="F2055" s="6" t="b">
        <f t="shared" si="1"/>
        <v>0</v>
      </c>
    </row>
    <row r="2056" ht="15.75" customHeight="1">
      <c r="A2056" s="7" t="s">
        <v>3974</v>
      </c>
      <c r="B2056" s="4" t="s">
        <v>3975</v>
      </c>
      <c r="C2056" s="5" t="s">
        <v>6</v>
      </c>
      <c r="D2056" s="6" t="s">
        <v>3973</v>
      </c>
      <c r="E2056" s="6"/>
      <c r="F2056" s="6" t="b">
        <f t="shared" si="1"/>
        <v>0</v>
      </c>
    </row>
    <row r="2057" ht="15.75" customHeight="1">
      <c r="A2057" s="7" t="s">
        <v>3976</v>
      </c>
      <c r="B2057" s="4" t="s">
        <v>3977</v>
      </c>
      <c r="C2057" s="5" t="s">
        <v>6</v>
      </c>
      <c r="D2057" s="6" t="s">
        <v>3973</v>
      </c>
      <c r="E2057" s="6"/>
      <c r="F2057" s="6" t="b">
        <f t="shared" si="1"/>
        <v>0</v>
      </c>
    </row>
    <row r="2058" ht="15.75" customHeight="1">
      <c r="A2058" s="7" t="s">
        <v>3978</v>
      </c>
      <c r="B2058" s="4" t="s">
        <v>3979</v>
      </c>
      <c r="C2058" s="5" t="s">
        <v>6</v>
      </c>
      <c r="D2058" s="6" t="s">
        <v>3980</v>
      </c>
      <c r="E2058" s="6"/>
      <c r="F2058" s="6" t="b">
        <f t="shared" si="1"/>
        <v>0</v>
      </c>
    </row>
    <row r="2059" ht="15.75" customHeight="1">
      <c r="A2059" s="7" t="s">
        <v>3981</v>
      </c>
      <c r="B2059" s="4" t="s">
        <v>3982</v>
      </c>
      <c r="C2059" s="5" t="s">
        <v>6</v>
      </c>
      <c r="D2059" s="6" t="s">
        <v>3983</v>
      </c>
      <c r="E2059" s="6"/>
      <c r="F2059" s="6" t="b">
        <f t="shared" si="1"/>
        <v>0</v>
      </c>
    </row>
    <row r="2060" ht="15.75" customHeight="1">
      <c r="A2060" s="7" t="s">
        <v>3984</v>
      </c>
      <c r="B2060" s="4" t="s">
        <v>3985</v>
      </c>
      <c r="C2060" s="5" t="s">
        <v>6</v>
      </c>
      <c r="D2060" s="6" t="s">
        <v>3983</v>
      </c>
      <c r="E2060" s="6"/>
      <c r="F2060" s="6" t="b">
        <f t="shared" si="1"/>
        <v>0</v>
      </c>
    </row>
    <row r="2061" ht="15.75" customHeight="1">
      <c r="A2061" s="7" t="s">
        <v>3986</v>
      </c>
      <c r="B2061" s="4" t="s">
        <v>3987</v>
      </c>
      <c r="C2061" s="5" t="s">
        <v>6</v>
      </c>
      <c r="D2061" s="6" t="s">
        <v>3983</v>
      </c>
      <c r="E2061" s="6"/>
      <c r="F2061" s="6" t="b">
        <f t="shared" si="1"/>
        <v>0</v>
      </c>
    </row>
    <row r="2062" ht="15.75" customHeight="1">
      <c r="A2062" s="7" t="s">
        <v>3988</v>
      </c>
      <c r="B2062" s="4" t="s">
        <v>3989</v>
      </c>
      <c r="C2062" s="5" t="s">
        <v>6</v>
      </c>
      <c r="D2062" s="6" t="s">
        <v>294</v>
      </c>
      <c r="E2062" s="6"/>
      <c r="F2062" s="6" t="b">
        <f t="shared" si="1"/>
        <v>0</v>
      </c>
    </row>
    <row r="2063" ht="15.75" customHeight="1">
      <c r="A2063" s="3" t="s">
        <v>3990</v>
      </c>
      <c r="B2063" s="4"/>
      <c r="C2063" s="5"/>
      <c r="D2063" s="5"/>
      <c r="E2063" s="6"/>
      <c r="F2063" s="6" t="b">
        <f t="shared" si="1"/>
        <v>0</v>
      </c>
    </row>
    <row r="2064" ht="15.75" customHeight="1">
      <c r="A2064" s="3" t="s">
        <v>3991</v>
      </c>
      <c r="B2064" s="4"/>
      <c r="C2064" s="5"/>
      <c r="D2064" s="5"/>
      <c r="E2064" s="6"/>
      <c r="F2064" s="6" t="b">
        <f t="shared" si="1"/>
        <v>0</v>
      </c>
    </row>
    <row r="2065" ht="15.75" customHeight="1">
      <c r="A2065" s="3" t="s">
        <v>3992</v>
      </c>
      <c r="B2065" s="4"/>
      <c r="C2065" s="5"/>
      <c r="D2065" s="5"/>
      <c r="E2065" s="6"/>
      <c r="F2065" s="6" t="b">
        <f t="shared" si="1"/>
        <v>0</v>
      </c>
    </row>
    <row r="2066" ht="15.75" customHeight="1">
      <c r="A2066" s="7" t="s">
        <v>3993</v>
      </c>
      <c r="B2066" s="4" t="s">
        <v>3994</v>
      </c>
      <c r="C2066" s="5" t="s">
        <v>6</v>
      </c>
      <c r="D2066" s="6" t="s">
        <v>28</v>
      </c>
      <c r="E2066" s="6"/>
      <c r="F2066" s="6" t="b">
        <f t="shared" si="1"/>
        <v>0</v>
      </c>
    </row>
    <row r="2067" ht="15.75" customHeight="1">
      <c r="A2067" s="3" t="s">
        <v>3995</v>
      </c>
      <c r="B2067" s="4"/>
      <c r="C2067" s="5"/>
      <c r="D2067" s="5"/>
      <c r="E2067" s="6"/>
      <c r="F2067" s="6" t="b">
        <f t="shared" si="1"/>
        <v>0</v>
      </c>
    </row>
    <row r="2068" ht="15.75" customHeight="1">
      <c r="A2068" s="7" t="s">
        <v>3996</v>
      </c>
      <c r="B2068" s="4" t="s">
        <v>3997</v>
      </c>
      <c r="C2068" s="5" t="s">
        <v>6</v>
      </c>
      <c r="D2068" s="6" t="s">
        <v>3998</v>
      </c>
      <c r="E2068" s="6"/>
      <c r="F2068" s="6" t="b">
        <f t="shared" si="1"/>
        <v>0</v>
      </c>
    </row>
    <row r="2069" ht="15.75" customHeight="1">
      <c r="A2069" s="7" t="s">
        <v>3999</v>
      </c>
      <c r="B2069" s="4" t="s">
        <v>4000</v>
      </c>
      <c r="C2069" s="5" t="s">
        <v>6</v>
      </c>
      <c r="D2069" s="6" t="s">
        <v>3998</v>
      </c>
      <c r="E2069" s="6"/>
      <c r="F2069" s="6" t="b">
        <f t="shared" si="1"/>
        <v>0</v>
      </c>
    </row>
    <row r="2070" ht="15.75" customHeight="1">
      <c r="A2070" s="7" t="s">
        <v>4001</v>
      </c>
      <c r="B2070" s="4" t="s">
        <v>4002</v>
      </c>
      <c r="C2070" s="5" t="s">
        <v>6</v>
      </c>
      <c r="D2070" s="6" t="s">
        <v>3998</v>
      </c>
      <c r="E2070" s="6"/>
      <c r="F2070" s="6" t="b">
        <f t="shared" si="1"/>
        <v>0</v>
      </c>
    </row>
    <row r="2071" ht="15.75" customHeight="1">
      <c r="A2071" s="7" t="s">
        <v>4003</v>
      </c>
      <c r="B2071" s="4" t="s">
        <v>4004</v>
      </c>
      <c r="C2071" s="5" t="s">
        <v>6</v>
      </c>
      <c r="D2071" s="6" t="s">
        <v>3998</v>
      </c>
      <c r="E2071" s="6"/>
      <c r="F2071" s="6" t="b">
        <f t="shared" si="1"/>
        <v>0</v>
      </c>
    </row>
    <row r="2072" ht="15.75" customHeight="1">
      <c r="A2072" s="7" t="s">
        <v>4005</v>
      </c>
      <c r="B2072" s="4" t="s">
        <v>4006</v>
      </c>
      <c r="C2072" s="5" t="s">
        <v>6</v>
      </c>
      <c r="D2072" s="6" t="s">
        <v>3998</v>
      </c>
      <c r="E2072" s="6"/>
      <c r="F2072" s="6" t="b">
        <f t="shared" si="1"/>
        <v>0</v>
      </c>
    </row>
    <row r="2073" ht="15.75" customHeight="1">
      <c r="A2073" s="7" t="s">
        <v>4007</v>
      </c>
      <c r="B2073" s="4" t="s">
        <v>4008</v>
      </c>
      <c r="C2073" s="5" t="s">
        <v>6</v>
      </c>
      <c r="D2073" s="6" t="s">
        <v>3998</v>
      </c>
      <c r="E2073" s="6"/>
      <c r="F2073" s="6" t="b">
        <f t="shared" si="1"/>
        <v>0</v>
      </c>
    </row>
    <row r="2074" ht="15.75" customHeight="1">
      <c r="A2074" s="7" t="s">
        <v>4009</v>
      </c>
      <c r="B2074" s="4" t="s">
        <v>4010</v>
      </c>
      <c r="C2074" s="5" t="s">
        <v>6</v>
      </c>
      <c r="D2074" s="6" t="s">
        <v>3998</v>
      </c>
      <c r="E2074" s="6"/>
      <c r="F2074" s="6" t="b">
        <f t="shared" si="1"/>
        <v>0</v>
      </c>
    </row>
    <row r="2075" ht="15.75" customHeight="1">
      <c r="A2075" s="7" t="s">
        <v>4011</v>
      </c>
      <c r="B2075" s="4" t="s">
        <v>4012</v>
      </c>
      <c r="C2075" s="5" t="s">
        <v>6</v>
      </c>
      <c r="D2075" s="6" t="s">
        <v>3998</v>
      </c>
      <c r="E2075" s="6"/>
      <c r="F2075" s="6" t="b">
        <f t="shared" si="1"/>
        <v>0</v>
      </c>
    </row>
    <row r="2076" ht="15.75" customHeight="1">
      <c r="A2076" s="7" t="s">
        <v>4013</v>
      </c>
      <c r="B2076" s="4" t="s">
        <v>4014</v>
      </c>
      <c r="C2076" s="5" t="s">
        <v>6</v>
      </c>
      <c r="D2076" s="6" t="s">
        <v>3998</v>
      </c>
      <c r="E2076" s="6"/>
      <c r="F2076" s="6" t="b">
        <f t="shared" si="1"/>
        <v>0</v>
      </c>
    </row>
    <row r="2077" ht="15.75" customHeight="1">
      <c r="A2077" s="7" t="s">
        <v>4015</v>
      </c>
      <c r="B2077" s="4" t="s">
        <v>4016</v>
      </c>
      <c r="C2077" s="5" t="s">
        <v>6</v>
      </c>
      <c r="D2077" s="6" t="s">
        <v>3998</v>
      </c>
      <c r="E2077" s="6"/>
      <c r="F2077" s="6" t="b">
        <f t="shared" si="1"/>
        <v>0</v>
      </c>
    </row>
    <row r="2078" ht="15.75" customHeight="1">
      <c r="A2078" s="7" t="s">
        <v>4017</v>
      </c>
      <c r="B2078" s="4" t="s">
        <v>4018</v>
      </c>
      <c r="C2078" s="5" t="s">
        <v>6</v>
      </c>
      <c r="D2078" s="6" t="s">
        <v>3998</v>
      </c>
      <c r="E2078" s="6"/>
      <c r="F2078" s="6" t="b">
        <f t="shared" si="1"/>
        <v>0</v>
      </c>
    </row>
    <row r="2079" ht="15.75" customHeight="1">
      <c r="A2079" s="7" t="s">
        <v>4019</v>
      </c>
      <c r="B2079" s="4" t="s">
        <v>4020</v>
      </c>
      <c r="C2079" s="5" t="s">
        <v>6</v>
      </c>
      <c r="D2079" s="6" t="s">
        <v>3998</v>
      </c>
      <c r="E2079" s="6"/>
      <c r="F2079" s="6" t="b">
        <f t="shared" si="1"/>
        <v>0</v>
      </c>
    </row>
    <row r="2080" ht="15.75" customHeight="1">
      <c r="A2080" s="7" t="s">
        <v>4021</v>
      </c>
      <c r="B2080" s="4" t="s">
        <v>4022</v>
      </c>
      <c r="C2080" s="5" t="s">
        <v>6</v>
      </c>
      <c r="D2080" s="6" t="s">
        <v>3998</v>
      </c>
      <c r="E2080" s="6"/>
      <c r="F2080" s="6" t="b">
        <f t="shared" si="1"/>
        <v>0</v>
      </c>
    </row>
    <row r="2081" ht="15.75" customHeight="1">
      <c r="A2081" s="7" t="s">
        <v>4023</v>
      </c>
      <c r="B2081" s="4" t="s">
        <v>4024</v>
      </c>
      <c r="C2081" s="5" t="s">
        <v>6</v>
      </c>
      <c r="D2081" s="6" t="s">
        <v>3998</v>
      </c>
      <c r="E2081" s="6"/>
      <c r="F2081" s="6" t="b">
        <f t="shared" si="1"/>
        <v>0</v>
      </c>
    </row>
    <row r="2082" ht="15.75" customHeight="1">
      <c r="A2082" s="7" t="s">
        <v>4025</v>
      </c>
      <c r="B2082" s="4" t="s">
        <v>4026</v>
      </c>
      <c r="C2082" s="5" t="s">
        <v>6</v>
      </c>
      <c r="D2082" s="6" t="s">
        <v>3998</v>
      </c>
      <c r="E2082" s="6"/>
      <c r="F2082" s="6" t="b">
        <f t="shared" si="1"/>
        <v>0</v>
      </c>
    </row>
    <row r="2083" ht="15.75" customHeight="1">
      <c r="A2083" s="3" t="s">
        <v>4027</v>
      </c>
      <c r="B2083" s="4"/>
      <c r="C2083" s="5"/>
      <c r="D2083" s="5"/>
      <c r="E2083" s="6"/>
      <c r="F2083" s="6" t="b">
        <f t="shared" si="1"/>
        <v>0</v>
      </c>
    </row>
    <row r="2084" ht="15.75" customHeight="1">
      <c r="A2084" s="7" t="s">
        <v>4028</v>
      </c>
      <c r="B2084" s="4" t="s">
        <v>4029</v>
      </c>
      <c r="C2084" s="5" t="s">
        <v>6</v>
      </c>
      <c r="D2084" s="6" t="s">
        <v>1048</v>
      </c>
      <c r="E2084" s="6"/>
      <c r="F2084" s="6" t="b">
        <f t="shared" si="1"/>
        <v>0</v>
      </c>
    </row>
    <row r="2085" ht="15.75" customHeight="1">
      <c r="A2085" s="7" t="s">
        <v>4030</v>
      </c>
      <c r="B2085" s="4" t="s">
        <v>4031</v>
      </c>
      <c r="C2085" s="5" t="s">
        <v>6</v>
      </c>
      <c r="D2085" s="6" t="s">
        <v>1048</v>
      </c>
      <c r="E2085" s="6"/>
      <c r="F2085" s="6" t="b">
        <f t="shared" si="1"/>
        <v>0</v>
      </c>
    </row>
    <row r="2086" ht="15.75" customHeight="1">
      <c r="A2086" s="7" t="s">
        <v>4032</v>
      </c>
      <c r="B2086" s="4" t="s">
        <v>4033</v>
      </c>
      <c r="C2086" s="5" t="s">
        <v>6</v>
      </c>
      <c r="D2086" s="6" t="s">
        <v>1048</v>
      </c>
      <c r="E2086" s="6"/>
      <c r="F2086" s="6" t="b">
        <f t="shared" si="1"/>
        <v>0</v>
      </c>
    </row>
    <row r="2087" ht="15.75" customHeight="1">
      <c r="A2087" s="3" t="s">
        <v>4034</v>
      </c>
      <c r="B2087" s="4"/>
      <c r="C2087" s="5"/>
      <c r="D2087" s="5"/>
      <c r="E2087" s="6"/>
      <c r="F2087" s="6" t="b">
        <f t="shared" si="1"/>
        <v>0</v>
      </c>
    </row>
    <row r="2088" ht="15.75" customHeight="1">
      <c r="A2088" s="7" t="s">
        <v>4035</v>
      </c>
      <c r="B2088" s="4" t="s">
        <v>4036</v>
      </c>
      <c r="C2088" s="5" t="s">
        <v>6</v>
      </c>
      <c r="D2088" s="6" t="s">
        <v>1118</v>
      </c>
      <c r="E2088" s="6"/>
      <c r="F2088" s="6" t="b">
        <f t="shared" si="1"/>
        <v>0</v>
      </c>
    </row>
    <row r="2089" ht="15.75" customHeight="1">
      <c r="A2089" s="3" t="s">
        <v>4037</v>
      </c>
      <c r="B2089" s="4"/>
      <c r="C2089" s="5"/>
      <c r="D2089" s="5"/>
      <c r="E2089" s="6"/>
      <c r="F2089" s="6" t="b">
        <f t="shared" si="1"/>
        <v>0</v>
      </c>
    </row>
    <row r="2090" ht="15.75" customHeight="1">
      <c r="A2090" s="3" t="s">
        <v>4038</v>
      </c>
      <c r="B2090" s="4"/>
      <c r="C2090" s="5"/>
      <c r="D2090" s="5"/>
      <c r="E2090" s="6"/>
      <c r="F2090" s="6" t="b">
        <f t="shared" si="1"/>
        <v>0</v>
      </c>
    </row>
    <row r="2091" ht="15.75" customHeight="1">
      <c r="A2091" s="7" t="s">
        <v>4039</v>
      </c>
      <c r="B2091" s="4" t="s">
        <v>4040</v>
      </c>
      <c r="C2091" s="5" t="s">
        <v>6</v>
      </c>
      <c r="D2091" s="6" t="s">
        <v>1118</v>
      </c>
      <c r="E2091" s="6"/>
      <c r="F2091" s="6" t="b">
        <f t="shared" si="1"/>
        <v>0</v>
      </c>
    </row>
    <row r="2092" ht="15.75" customHeight="1">
      <c r="A2092" s="7" t="s">
        <v>4041</v>
      </c>
      <c r="B2092" s="4" t="s">
        <v>4042</v>
      </c>
      <c r="C2092" s="5" t="s">
        <v>6</v>
      </c>
      <c r="D2092" s="6" t="s">
        <v>1710</v>
      </c>
      <c r="E2092" s="6"/>
      <c r="F2092" s="6" t="b">
        <f t="shared" si="1"/>
        <v>0</v>
      </c>
    </row>
    <row r="2093" ht="15.75" customHeight="1">
      <c r="A2093" s="7" t="s">
        <v>4043</v>
      </c>
      <c r="B2093" s="4" t="s">
        <v>4044</v>
      </c>
      <c r="C2093" s="5" t="s">
        <v>6</v>
      </c>
      <c r="D2093" s="6" t="s">
        <v>1710</v>
      </c>
      <c r="E2093" s="6"/>
      <c r="F2093" s="6" t="b">
        <f t="shared" si="1"/>
        <v>0</v>
      </c>
    </row>
    <row r="2094" ht="15.75" customHeight="1">
      <c r="A2094" s="7" t="s">
        <v>4045</v>
      </c>
      <c r="B2094" s="4" t="s">
        <v>4046</v>
      </c>
      <c r="C2094" s="5" t="s">
        <v>6</v>
      </c>
      <c r="D2094" s="6" t="s">
        <v>1710</v>
      </c>
      <c r="E2094" s="6"/>
      <c r="F2094" s="6" t="b">
        <f t="shared" si="1"/>
        <v>0</v>
      </c>
    </row>
    <row r="2095" ht="15.75" customHeight="1">
      <c r="A2095" s="7" t="s">
        <v>4047</v>
      </c>
      <c r="B2095" s="4" t="s">
        <v>4048</v>
      </c>
      <c r="C2095" s="5" t="s">
        <v>6</v>
      </c>
      <c r="D2095" s="6" t="s">
        <v>1710</v>
      </c>
      <c r="E2095" s="6"/>
      <c r="F2095" s="6" t="b">
        <f t="shared" si="1"/>
        <v>0</v>
      </c>
    </row>
    <row r="2096" ht="15.75" customHeight="1">
      <c r="A2096" s="7" t="s">
        <v>4049</v>
      </c>
      <c r="B2096" s="4" t="s">
        <v>4050</v>
      </c>
      <c r="C2096" s="5" t="s">
        <v>6</v>
      </c>
      <c r="D2096" s="6" t="s">
        <v>1710</v>
      </c>
      <c r="E2096" s="6"/>
      <c r="F2096" s="6" t="b">
        <f t="shared" si="1"/>
        <v>0</v>
      </c>
    </row>
    <row r="2097" ht="15.75" customHeight="1">
      <c r="A2097" s="7" t="s">
        <v>4051</v>
      </c>
      <c r="B2097" s="4" t="s">
        <v>4052</v>
      </c>
      <c r="C2097" s="5" t="s">
        <v>6</v>
      </c>
      <c r="D2097" s="6" t="s">
        <v>1710</v>
      </c>
      <c r="E2097" s="6"/>
      <c r="F2097" s="6" t="b">
        <f t="shared" si="1"/>
        <v>0</v>
      </c>
    </row>
    <row r="2098" ht="15.75" customHeight="1">
      <c r="A2098" s="7" t="s">
        <v>4053</v>
      </c>
      <c r="B2098" s="4" t="s">
        <v>4054</v>
      </c>
      <c r="C2098" s="5" t="s">
        <v>6</v>
      </c>
      <c r="D2098" s="6" t="s">
        <v>1710</v>
      </c>
      <c r="E2098" s="6"/>
      <c r="F2098" s="6" t="b">
        <f t="shared" si="1"/>
        <v>0</v>
      </c>
    </row>
    <row r="2099" ht="15.75" customHeight="1">
      <c r="A2099" s="7" t="s">
        <v>4055</v>
      </c>
      <c r="B2099" s="4" t="s">
        <v>4056</v>
      </c>
      <c r="C2099" s="5" t="s">
        <v>6</v>
      </c>
      <c r="D2099" s="6" t="s">
        <v>1710</v>
      </c>
      <c r="E2099" s="6"/>
      <c r="F2099" s="6" t="b">
        <f t="shared" si="1"/>
        <v>0</v>
      </c>
    </row>
    <row r="2100" ht="15.75" customHeight="1">
      <c r="A2100" s="7" t="s">
        <v>4057</v>
      </c>
      <c r="B2100" s="4" t="s">
        <v>4058</v>
      </c>
      <c r="C2100" s="5" t="s">
        <v>6</v>
      </c>
      <c r="D2100" s="6" t="s">
        <v>1710</v>
      </c>
      <c r="E2100" s="6"/>
      <c r="F2100" s="6" t="b">
        <f t="shared" si="1"/>
        <v>0</v>
      </c>
    </row>
    <row r="2101" ht="15.75" customHeight="1">
      <c r="A2101" s="7" t="s">
        <v>4059</v>
      </c>
      <c r="B2101" s="4" t="s">
        <v>4060</v>
      </c>
      <c r="C2101" s="5" t="s">
        <v>6</v>
      </c>
      <c r="D2101" s="6" t="s">
        <v>1710</v>
      </c>
      <c r="E2101" s="6"/>
      <c r="F2101" s="6" t="b">
        <f t="shared" si="1"/>
        <v>0</v>
      </c>
    </row>
    <row r="2102" ht="15.75" customHeight="1">
      <c r="A2102" s="7" t="s">
        <v>4061</v>
      </c>
      <c r="B2102" s="4" t="s">
        <v>4062</v>
      </c>
      <c r="C2102" s="5" t="s">
        <v>6</v>
      </c>
      <c r="D2102" s="6" t="s">
        <v>1710</v>
      </c>
      <c r="E2102" s="6"/>
      <c r="F2102" s="6" t="b">
        <f t="shared" si="1"/>
        <v>0</v>
      </c>
    </row>
    <row r="2103" ht="15.75" customHeight="1">
      <c r="A2103" s="7" t="s">
        <v>4063</v>
      </c>
      <c r="B2103" s="4" t="s">
        <v>4064</v>
      </c>
      <c r="C2103" s="5" t="s">
        <v>6</v>
      </c>
      <c r="D2103" s="6" t="s">
        <v>4065</v>
      </c>
      <c r="E2103" s="6"/>
      <c r="F2103" s="6" t="b">
        <f t="shared" si="1"/>
        <v>0</v>
      </c>
    </row>
    <row r="2104" ht="15.75" customHeight="1">
      <c r="A2104" s="3" t="s">
        <v>4066</v>
      </c>
      <c r="B2104" s="4"/>
      <c r="C2104" s="5"/>
      <c r="D2104" s="5"/>
      <c r="E2104" s="6"/>
      <c r="F2104" s="6" t="b">
        <f t="shared" si="1"/>
        <v>0</v>
      </c>
    </row>
    <row r="2105" ht="15.75" customHeight="1">
      <c r="A2105" s="3" t="s">
        <v>4067</v>
      </c>
      <c r="B2105" s="4"/>
      <c r="C2105" s="5"/>
      <c r="D2105" s="5"/>
      <c r="E2105" s="6"/>
      <c r="F2105" s="6" t="b">
        <f t="shared" si="1"/>
        <v>0</v>
      </c>
    </row>
    <row r="2106" ht="15.75" customHeight="1">
      <c r="A2106" s="3" t="s">
        <v>4068</v>
      </c>
      <c r="B2106" s="4"/>
      <c r="C2106" s="5"/>
      <c r="D2106" s="5"/>
      <c r="E2106" s="6"/>
      <c r="F2106" s="6" t="b">
        <f t="shared" si="1"/>
        <v>0</v>
      </c>
    </row>
    <row r="2107" ht="15.75" customHeight="1">
      <c r="A2107" s="3" t="s">
        <v>4069</v>
      </c>
      <c r="B2107" s="4"/>
      <c r="C2107" s="5"/>
      <c r="D2107" s="5"/>
      <c r="E2107" s="6"/>
      <c r="F2107" s="6" t="b">
        <f t="shared" si="1"/>
        <v>0</v>
      </c>
    </row>
    <row r="2108" ht="15.75" customHeight="1">
      <c r="A2108" s="3" t="s">
        <v>4070</v>
      </c>
      <c r="B2108" s="4"/>
      <c r="C2108" s="5"/>
      <c r="D2108" s="5"/>
      <c r="E2108" s="6"/>
      <c r="F2108" s="6" t="b">
        <f t="shared" si="1"/>
        <v>0</v>
      </c>
    </row>
    <row r="2109" ht="15.75" customHeight="1">
      <c r="A2109" s="3" t="s">
        <v>4071</v>
      </c>
      <c r="B2109" s="4"/>
      <c r="C2109" s="5"/>
      <c r="D2109" s="5"/>
      <c r="E2109" s="6"/>
      <c r="F2109" s="6" t="b">
        <f t="shared" si="1"/>
        <v>0</v>
      </c>
    </row>
    <row r="2110" ht="15.75" customHeight="1">
      <c r="A2110" s="3" t="s">
        <v>4072</v>
      </c>
      <c r="B2110" s="4"/>
      <c r="C2110" s="5"/>
      <c r="D2110" s="5"/>
      <c r="E2110" s="6"/>
      <c r="F2110" s="6" t="b">
        <f t="shared" si="1"/>
        <v>0</v>
      </c>
    </row>
    <row r="2111" ht="15.75" customHeight="1">
      <c r="A2111" s="3" t="s">
        <v>4073</v>
      </c>
      <c r="B2111" s="4"/>
      <c r="C2111" s="5"/>
      <c r="D2111" s="5"/>
      <c r="E2111" s="6"/>
      <c r="F2111" s="6" t="b">
        <f t="shared" si="1"/>
        <v>0</v>
      </c>
    </row>
    <row r="2112" ht="15.75" customHeight="1">
      <c r="A2112" s="3" t="s">
        <v>4074</v>
      </c>
      <c r="B2112" s="4"/>
      <c r="C2112" s="5"/>
      <c r="D2112" s="5"/>
      <c r="E2112" s="6"/>
      <c r="F2112" s="6" t="b">
        <f t="shared" si="1"/>
        <v>0</v>
      </c>
    </row>
    <row r="2113" ht="15.75" customHeight="1">
      <c r="A2113" s="3" t="s">
        <v>4075</v>
      </c>
      <c r="B2113" s="4"/>
      <c r="C2113" s="5"/>
      <c r="D2113" s="5"/>
      <c r="E2113" s="6"/>
      <c r="F2113" s="6" t="b">
        <f t="shared" si="1"/>
        <v>0</v>
      </c>
    </row>
    <row r="2114" ht="15.75" customHeight="1">
      <c r="A2114" s="3" t="s">
        <v>4076</v>
      </c>
      <c r="B2114" s="4"/>
      <c r="C2114" s="5"/>
      <c r="D2114" s="5"/>
      <c r="E2114" s="6"/>
      <c r="F2114" s="6" t="b">
        <f t="shared" si="1"/>
        <v>0</v>
      </c>
    </row>
    <row r="2115" ht="15.75" customHeight="1">
      <c r="A2115" s="3" t="s">
        <v>4077</v>
      </c>
      <c r="B2115" s="4"/>
      <c r="C2115" s="5"/>
      <c r="D2115" s="5"/>
      <c r="E2115" s="6"/>
      <c r="F2115" s="6" t="b">
        <f t="shared" si="1"/>
        <v>0</v>
      </c>
    </row>
    <row r="2116" ht="15.75" customHeight="1">
      <c r="A2116" s="3" t="s">
        <v>4078</v>
      </c>
      <c r="B2116" s="4"/>
      <c r="C2116" s="5"/>
      <c r="D2116" s="5"/>
      <c r="E2116" s="6"/>
      <c r="F2116" s="6" t="b">
        <f t="shared" si="1"/>
        <v>0</v>
      </c>
    </row>
    <row r="2117" ht="15.75" customHeight="1">
      <c r="A2117" s="3" t="s">
        <v>4079</v>
      </c>
      <c r="B2117" s="4"/>
      <c r="C2117" s="5"/>
      <c r="D2117" s="5"/>
      <c r="E2117" s="6"/>
      <c r="F2117" s="6" t="b">
        <f t="shared" si="1"/>
        <v>0</v>
      </c>
    </row>
    <row r="2118" ht="15.75" customHeight="1">
      <c r="A2118" s="3" t="s">
        <v>4080</v>
      </c>
      <c r="B2118" s="4"/>
      <c r="C2118" s="5"/>
      <c r="D2118" s="5"/>
      <c r="E2118" s="6"/>
      <c r="F2118" s="6" t="b">
        <f t="shared" si="1"/>
        <v>0</v>
      </c>
    </row>
    <row r="2119" ht="15.75" customHeight="1">
      <c r="A2119" s="3" t="s">
        <v>4081</v>
      </c>
      <c r="B2119" s="4"/>
      <c r="C2119" s="5"/>
      <c r="D2119" s="5"/>
      <c r="E2119" s="6"/>
      <c r="F2119" s="6" t="b">
        <f t="shared" si="1"/>
        <v>0</v>
      </c>
    </row>
    <row r="2120" ht="15.75" customHeight="1">
      <c r="A2120" s="3" t="s">
        <v>4082</v>
      </c>
      <c r="B2120" s="4"/>
      <c r="C2120" s="5"/>
      <c r="D2120" s="5"/>
      <c r="E2120" s="6"/>
      <c r="F2120" s="6" t="b">
        <f t="shared" si="1"/>
        <v>0</v>
      </c>
    </row>
    <row r="2121" ht="15.75" customHeight="1">
      <c r="A2121" s="3" t="s">
        <v>4083</v>
      </c>
      <c r="B2121" s="4"/>
      <c r="C2121" s="5"/>
      <c r="D2121" s="5"/>
      <c r="E2121" s="6"/>
      <c r="F2121" s="6" t="b">
        <f t="shared" si="1"/>
        <v>0</v>
      </c>
    </row>
    <row r="2122" ht="15.75" customHeight="1">
      <c r="A2122" s="3" t="s">
        <v>4084</v>
      </c>
      <c r="B2122" s="4"/>
      <c r="C2122" s="5"/>
      <c r="D2122" s="5"/>
      <c r="E2122" s="6"/>
      <c r="F2122" s="6" t="b">
        <f t="shared" si="1"/>
        <v>0</v>
      </c>
    </row>
    <row r="2123" ht="15.75" customHeight="1">
      <c r="A2123" s="3" t="s">
        <v>4085</v>
      </c>
      <c r="B2123" s="4"/>
      <c r="C2123" s="5"/>
      <c r="D2123" s="5"/>
      <c r="E2123" s="6"/>
      <c r="F2123" s="6" t="b">
        <f t="shared" si="1"/>
        <v>0</v>
      </c>
    </row>
    <row r="2124" ht="15.75" customHeight="1">
      <c r="A2124" s="3" t="s">
        <v>4086</v>
      </c>
      <c r="B2124" s="4"/>
      <c r="C2124" s="5"/>
      <c r="D2124" s="5"/>
      <c r="E2124" s="6"/>
      <c r="F2124" s="6" t="b">
        <f t="shared" si="1"/>
        <v>0</v>
      </c>
    </row>
    <row r="2125" ht="15.75" customHeight="1">
      <c r="A2125" s="3" t="s">
        <v>4087</v>
      </c>
      <c r="B2125" s="4"/>
      <c r="C2125" s="5"/>
      <c r="D2125" s="5"/>
      <c r="E2125" s="6"/>
      <c r="F2125" s="6" t="b">
        <f t="shared" si="1"/>
        <v>0</v>
      </c>
    </row>
    <row r="2126" ht="15.75" customHeight="1">
      <c r="A2126" s="3" t="s">
        <v>4088</v>
      </c>
      <c r="B2126" s="4"/>
      <c r="C2126" s="5"/>
      <c r="D2126" s="5"/>
      <c r="E2126" s="6"/>
      <c r="F2126" s="6" t="b">
        <f t="shared" si="1"/>
        <v>0</v>
      </c>
    </row>
    <row r="2127" ht="15.75" customHeight="1">
      <c r="A2127" s="3" t="s">
        <v>4089</v>
      </c>
      <c r="B2127" s="4"/>
      <c r="C2127" s="5"/>
      <c r="D2127" s="5"/>
      <c r="E2127" s="6"/>
      <c r="F2127" s="6" t="b">
        <f t="shared" si="1"/>
        <v>0</v>
      </c>
    </row>
    <row r="2128" ht="15.75" customHeight="1">
      <c r="A2128" s="3" t="s">
        <v>4090</v>
      </c>
      <c r="B2128" s="4"/>
      <c r="C2128" s="5"/>
      <c r="D2128" s="5"/>
      <c r="E2128" s="6"/>
      <c r="F2128" s="6" t="b">
        <f t="shared" si="1"/>
        <v>0</v>
      </c>
    </row>
    <row r="2129" ht="15.75" customHeight="1">
      <c r="A2129" s="3" t="s">
        <v>4091</v>
      </c>
      <c r="B2129" s="4"/>
      <c r="C2129" s="5"/>
      <c r="D2129" s="5"/>
      <c r="E2129" s="6"/>
      <c r="F2129" s="6" t="b">
        <f t="shared" si="1"/>
        <v>0</v>
      </c>
    </row>
    <row r="2130" ht="15.75" customHeight="1">
      <c r="A2130" s="7" t="s">
        <v>4092</v>
      </c>
      <c r="B2130" s="4" t="s">
        <v>4093</v>
      </c>
      <c r="C2130" s="5" t="s">
        <v>6</v>
      </c>
      <c r="D2130" s="6" t="s">
        <v>905</v>
      </c>
      <c r="E2130" s="6"/>
      <c r="F2130" s="6" t="b">
        <f t="shared" si="1"/>
        <v>0</v>
      </c>
    </row>
    <row r="2131" ht="15.75" customHeight="1">
      <c r="A2131" s="3" t="s">
        <v>4094</v>
      </c>
      <c r="B2131" s="4"/>
      <c r="C2131" s="5"/>
      <c r="D2131" s="5"/>
      <c r="E2131" s="6"/>
      <c r="F2131" s="6" t="b">
        <f t="shared" si="1"/>
        <v>0</v>
      </c>
    </row>
    <row r="2132" ht="15.75" customHeight="1">
      <c r="A2132" s="7" t="s">
        <v>4095</v>
      </c>
      <c r="B2132" s="4" t="s">
        <v>4096</v>
      </c>
      <c r="C2132" s="5" t="s">
        <v>6</v>
      </c>
      <c r="D2132" s="6" t="s">
        <v>769</v>
      </c>
      <c r="E2132" s="6"/>
      <c r="F2132" s="6" t="b">
        <f t="shared" si="1"/>
        <v>0</v>
      </c>
    </row>
    <row r="2133" ht="15.75" customHeight="1">
      <c r="A2133" s="7" t="s">
        <v>4097</v>
      </c>
      <c r="B2133" s="4" t="s">
        <v>4098</v>
      </c>
      <c r="C2133" s="5" t="s">
        <v>6</v>
      </c>
      <c r="D2133" s="6" t="s">
        <v>4099</v>
      </c>
      <c r="E2133" s="6"/>
      <c r="F2133" s="6" t="b">
        <f t="shared" si="1"/>
        <v>0</v>
      </c>
    </row>
    <row r="2134" ht="15.75" customHeight="1">
      <c r="A2134" s="7" t="s">
        <v>4100</v>
      </c>
      <c r="B2134" s="4" t="s">
        <v>4101</v>
      </c>
      <c r="C2134" s="5" t="s">
        <v>6</v>
      </c>
      <c r="D2134" s="6" t="s">
        <v>4099</v>
      </c>
      <c r="E2134" s="6"/>
      <c r="F2134" s="6" t="b">
        <f t="shared" si="1"/>
        <v>0</v>
      </c>
    </row>
    <row r="2135" ht="15.75" customHeight="1">
      <c r="A2135" s="7" t="s">
        <v>4102</v>
      </c>
      <c r="B2135" s="4" t="s">
        <v>4103</v>
      </c>
      <c r="C2135" s="5" t="s">
        <v>6</v>
      </c>
      <c r="D2135" s="6" t="s">
        <v>4099</v>
      </c>
      <c r="E2135" s="6"/>
      <c r="F2135" s="6" t="b">
        <f t="shared" si="1"/>
        <v>0</v>
      </c>
    </row>
    <row r="2136" ht="15.75" customHeight="1">
      <c r="A2136" s="7" t="s">
        <v>4104</v>
      </c>
      <c r="B2136" s="4" t="s">
        <v>1686</v>
      </c>
      <c r="C2136" s="5" t="s">
        <v>6</v>
      </c>
      <c r="D2136" s="6" t="s">
        <v>4099</v>
      </c>
      <c r="E2136" s="6"/>
      <c r="F2136" s="6" t="b">
        <f t="shared" si="1"/>
        <v>0</v>
      </c>
    </row>
    <row r="2137" ht="15.75" customHeight="1">
      <c r="A2137" s="7" t="s">
        <v>4105</v>
      </c>
      <c r="B2137" s="4" t="s">
        <v>4106</v>
      </c>
      <c r="C2137" s="5" t="s">
        <v>6</v>
      </c>
      <c r="D2137" s="6" t="s">
        <v>4099</v>
      </c>
      <c r="E2137" s="6"/>
      <c r="F2137" s="6" t="b">
        <f t="shared" si="1"/>
        <v>0</v>
      </c>
    </row>
    <row r="2138" ht="15.75" customHeight="1">
      <c r="A2138" s="7" t="s">
        <v>4107</v>
      </c>
      <c r="B2138" s="4" t="s">
        <v>4108</v>
      </c>
      <c r="C2138" s="5" t="s">
        <v>6</v>
      </c>
      <c r="D2138" s="6" t="s">
        <v>4099</v>
      </c>
      <c r="E2138" s="6"/>
      <c r="F2138" s="6" t="b">
        <f t="shared" si="1"/>
        <v>0</v>
      </c>
    </row>
    <row r="2139" ht="15.75" customHeight="1">
      <c r="A2139" s="7" t="s">
        <v>4109</v>
      </c>
      <c r="B2139" s="4" t="s">
        <v>4110</v>
      </c>
      <c r="C2139" s="5" t="s">
        <v>6</v>
      </c>
      <c r="D2139" s="6" t="s">
        <v>4099</v>
      </c>
      <c r="E2139" s="6"/>
      <c r="F2139" s="6" t="b">
        <f t="shared" si="1"/>
        <v>0</v>
      </c>
    </row>
    <row r="2140" ht="15.75" customHeight="1">
      <c r="A2140" s="7" t="s">
        <v>4111</v>
      </c>
      <c r="B2140" s="4" t="s">
        <v>4112</v>
      </c>
      <c r="C2140" s="5" t="s">
        <v>6</v>
      </c>
      <c r="D2140" s="6" t="s">
        <v>4113</v>
      </c>
      <c r="E2140" s="6"/>
      <c r="F2140" s="6" t="b">
        <f t="shared" si="1"/>
        <v>0</v>
      </c>
    </row>
    <row r="2141" ht="15.75" customHeight="1">
      <c r="A2141" s="7" t="s">
        <v>4114</v>
      </c>
      <c r="B2141" s="4" t="s">
        <v>4115</v>
      </c>
      <c r="C2141" s="5" t="s">
        <v>6</v>
      </c>
      <c r="D2141" s="6" t="s">
        <v>4116</v>
      </c>
      <c r="E2141" s="6"/>
      <c r="F2141" s="6" t="b">
        <f t="shared" si="1"/>
        <v>0</v>
      </c>
    </row>
    <row r="2142" ht="15.75" customHeight="1">
      <c r="A2142" s="3" t="s">
        <v>4117</v>
      </c>
      <c r="B2142" s="4"/>
      <c r="C2142" s="5"/>
      <c r="D2142" s="5"/>
      <c r="E2142" s="6"/>
      <c r="F2142" s="6" t="b">
        <f t="shared" si="1"/>
        <v>0</v>
      </c>
    </row>
    <row r="2143" ht="15.75" customHeight="1">
      <c r="A2143" s="3" t="s">
        <v>4118</v>
      </c>
      <c r="B2143" s="4"/>
      <c r="C2143" s="5"/>
      <c r="D2143" s="5"/>
      <c r="E2143" s="6"/>
      <c r="F2143" s="6" t="b">
        <f t="shared" si="1"/>
        <v>0</v>
      </c>
    </row>
    <row r="2144" ht="15.75" customHeight="1">
      <c r="A2144" s="3" t="s">
        <v>4119</v>
      </c>
      <c r="B2144" s="4"/>
      <c r="C2144" s="5"/>
      <c r="D2144" s="5"/>
      <c r="E2144" s="6"/>
      <c r="F2144" s="6" t="b">
        <f t="shared" si="1"/>
        <v>0</v>
      </c>
    </row>
    <row r="2145" ht="15.75" customHeight="1">
      <c r="A2145" s="7" t="s">
        <v>4120</v>
      </c>
      <c r="B2145" s="4" t="s">
        <v>4121</v>
      </c>
      <c r="C2145" s="5" t="s">
        <v>6</v>
      </c>
      <c r="D2145" s="6" t="s">
        <v>241</v>
      </c>
      <c r="E2145" s="6"/>
      <c r="F2145" s="6" t="b">
        <f t="shared" si="1"/>
        <v>0</v>
      </c>
    </row>
    <row r="2146" ht="15.75" customHeight="1">
      <c r="A2146" s="7" t="s">
        <v>4122</v>
      </c>
      <c r="B2146" s="4" t="s">
        <v>4123</v>
      </c>
      <c r="C2146" s="5" t="s">
        <v>6</v>
      </c>
      <c r="D2146" s="6" t="s">
        <v>4124</v>
      </c>
      <c r="E2146" s="6"/>
      <c r="F2146" s="6" t="b">
        <f t="shared" si="1"/>
        <v>0</v>
      </c>
    </row>
    <row r="2147" ht="15.75" customHeight="1">
      <c r="A2147" s="3" t="s">
        <v>4125</v>
      </c>
      <c r="B2147" s="4"/>
      <c r="C2147" s="5"/>
      <c r="D2147" s="5"/>
      <c r="E2147" s="6"/>
      <c r="F2147" s="6" t="b">
        <f t="shared" si="1"/>
        <v>0</v>
      </c>
    </row>
    <row r="2148" ht="15.75" customHeight="1">
      <c r="A2148" s="7" t="s">
        <v>4126</v>
      </c>
      <c r="B2148" s="4" t="s">
        <v>4127</v>
      </c>
      <c r="C2148" s="5" t="s">
        <v>6</v>
      </c>
      <c r="D2148" s="6" t="s">
        <v>4128</v>
      </c>
      <c r="E2148" s="6"/>
      <c r="F2148" s="6" t="b">
        <f t="shared" si="1"/>
        <v>0</v>
      </c>
    </row>
    <row r="2149" ht="15.75" customHeight="1">
      <c r="A2149" s="7" t="s">
        <v>4129</v>
      </c>
      <c r="B2149" s="4" t="s">
        <v>4130</v>
      </c>
      <c r="C2149" s="5" t="s">
        <v>6</v>
      </c>
      <c r="D2149" s="6" t="s">
        <v>4131</v>
      </c>
      <c r="E2149" s="6"/>
      <c r="F2149" s="6" t="b">
        <f t="shared" si="1"/>
        <v>0</v>
      </c>
    </row>
    <row r="2150" ht="15.75" customHeight="1">
      <c r="A2150" s="3" t="s">
        <v>4132</v>
      </c>
      <c r="B2150" s="4"/>
      <c r="C2150" s="5"/>
      <c r="D2150" s="5"/>
      <c r="E2150" s="6"/>
      <c r="F2150" s="6" t="b">
        <f t="shared" si="1"/>
        <v>0</v>
      </c>
    </row>
    <row r="2151" ht="15.75" customHeight="1">
      <c r="A2151" s="3" t="s">
        <v>4133</v>
      </c>
      <c r="B2151" s="4"/>
      <c r="C2151" s="5"/>
      <c r="D2151" s="5"/>
      <c r="E2151" s="6"/>
      <c r="F2151" s="6" t="b">
        <f t="shared" si="1"/>
        <v>0</v>
      </c>
    </row>
    <row r="2152" ht="15.75" customHeight="1">
      <c r="A2152" s="7" t="s">
        <v>4134</v>
      </c>
      <c r="B2152" s="4" t="s">
        <v>4135</v>
      </c>
      <c r="C2152" s="5" t="s">
        <v>6</v>
      </c>
      <c r="D2152" s="6" t="s">
        <v>4136</v>
      </c>
      <c r="E2152" s="6"/>
      <c r="F2152" s="6" t="b">
        <f t="shared" si="1"/>
        <v>0</v>
      </c>
    </row>
    <row r="2153" ht="15.75" customHeight="1">
      <c r="A2153" s="7" t="s">
        <v>4137</v>
      </c>
      <c r="B2153" s="4" t="s">
        <v>4138</v>
      </c>
      <c r="C2153" s="5" t="s">
        <v>16</v>
      </c>
      <c r="D2153" s="6" t="s">
        <v>4139</v>
      </c>
      <c r="E2153" s="6"/>
      <c r="F2153" s="6" t="b">
        <f t="shared" si="1"/>
        <v>0</v>
      </c>
    </row>
    <row r="2154" ht="15.75" customHeight="1">
      <c r="A2154" s="3" t="s">
        <v>4140</v>
      </c>
      <c r="B2154" s="4"/>
      <c r="C2154" s="5"/>
      <c r="D2154" s="5"/>
      <c r="E2154" s="6"/>
      <c r="F2154" s="6" t="b">
        <f t="shared" si="1"/>
        <v>0</v>
      </c>
    </row>
    <row r="2155" ht="15.75" customHeight="1">
      <c r="A2155" s="7" t="s">
        <v>4141</v>
      </c>
      <c r="B2155" s="4" t="s">
        <v>4142</v>
      </c>
      <c r="C2155" s="5" t="s">
        <v>16</v>
      </c>
      <c r="D2155" s="6" t="s">
        <v>4143</v>
      </c>
      <c r="E2155" s="6"/>
      <c r="F2155" s="6" t="b">
        <f t="shared" si="1"/>
        <v>0</v>
      </c>
    </row>
    <row r="2156" ht="15.75" customHeight="1">
      <c r="A2156" s="3" t="s">
        <v>4144</v>
      </c>
      <c r="B2156" s="4"/>
      <c r="C2156" s="5"/>
      <c r="D2156" s="5"/>
      <c r="E2156" s="6"/>
      <c r="F2156" s="6" t="b">
        <f t="shared" si="1"/>
        <v>0</v>
      </c>
    </row>
    <row r="2157" ht="15.75" customHeight="1">
      <c r="A2157" s="7" t="s">
        <v>4145</v>
      </c>
      <c r="B2157" s="4" t="s">
        <v>4146</v>
      </c>
      <c r="C2157" s="5" t="s">
        <v>16</v>
      </c>
      <c r="D2157" s="6" t="s">
        <v>4147</v>
      </c>
      <c r="E2157" s="6"/>
      <c r="F2157" s="6" t="b">
        <f t="shared" si="1"/>
        <v>0</v>
      </c>
    </row>
    <row r="2158" ht="15.75" customHeight="1">
      <c r="A2158" s="7" t="s">
        <v>4148</v>
      </c>
      <c r="B2158" s="4" t="s">
        <v>4149</v>
      </c>
      <c r="C2158" s="5" t="s">
        <v>16</v>
      </c>
      <c r="D2158" s="6" t="s">
        <v>4147</v>
      </c>
      <c r="E2158" s="6"/>
      <c r="F2158" s="6" t="b">
        <f t="shared" si="1"/>
        <v>0</v>
      </c>
    </row>
    <row r="2159" ht="15.75" customHeight="1">
      <c r="A2159" s="3" t="s">
        <v>4150</v>
      </c>
      <c r="B2159" s="4"/>
      <c r="C2159" s="5"/>
      <c r="D2159" s="5"/>
      <c r="E2159" s="6"/>
      <c r="F2159" s="6" t="b">
        <f t="shared" si="1"/>
        <v>0</v>
      </c>
    </row>
    <row r="2160" ht="15.75" customHeight="1">
      <c r="A2160" s="3" t="s">
        <v>4151</v>
      </c>
      <c r="B2160" s="4"/>
      <c r="C2160" s="5"/>
      <c r="D2160" s="5"/>
      <c r="E2160" s="6"/>
      <c r="F2160" s="6" t="b">
        <f t="shared" si="1"/>
        <v>0</v>
      </c>
    </row>
    <row r="2161" ht="15.75" customHeight="1">
      <c r="A2161" s="3" t="s">
        <v>4152</v>
      </c>
      <c r="B2161" s="4"/>
      <c r="C2161" s="5"/>
      <c r="D2161" s="5"/>
      <c r="E2161" s="6"/>
      <c r="F2161" s="6" t="b">
        <f t="shared" si="1"/>
        <v>0</v>
      </c>
    </row>
    <row r="2162" ht="15.75" customHeight="1">
      <c r="A2162" s="7" t="s">
        <v>4153</v>
      </c>
      <c r="B2162" s="4" t="s">
        <v>4154</v>
      </c>
      <c r="C2162" s="5" t="s">
        <v>16</v>
      </c>
      <c r="D2162" s="6" t="s">
        <v>4155</v>
      </c>
      <c r="E2162" s="6"/>
      <c r="F2162" s="6" t="b">
        <f t="shared" si="1"/>
        <v>0</v>
      </c>
    </row>
    <row r="2163" ht="15.75" customHeight="1">
      <c r="A2163" s="3" t="s">
        <v>4156</v>
      </c>
      <c r="B2163" s="4"/>
      <c r="C2163" s="5"/>
      <c r="D2163" s="5"/>
      <c r="E2163" s="6"/>
      <c r="F2163" s="6" t="b">
        <f t="shared" si="1"/>
        <v>0</v>
      </c>
    </row>
    <row r="2164" ht="15.75" customHeight="1">
      <c r="A2164" s="3" t="s">
        <v>4157</v>
      </c>
      <c r="B2164" s="4"/>
      <c r="C2164" s="5"/>
      <c r="D2164" s="5"/>
      <c r="E2164" s="6"/>
      <c r="F2164" s="6" t="b">
        <f t="shared" si="1"/>
        <v>0</v>
      </c>
    </row>
    <row r="2165" ht="15.75" customHeight="1">
      <c r="A2165" s="3" t="s">
        <v>4158</v>
      </c>
      <c r="B2165" s="4"/>
      <c r="C2165" s="5"/>
      <c r="D2165" s="5"/>
      <c r="E2165" s="6"/>
      <c r="F2165" s="6" t="b">
        <f t="shared" si="1"/>
        <v>0</v>
      </c>
    </row>
    <row r="2166" ht="15.75" customHeight="1">
      <c r="A2166" s="3" t="s">
        <v>4159</v>
      </c>
      <c r="B2166" s="4"/>
      <c r="C2166" s="5"/>
      <c r="D2166" s="5"/>
      <c r="E2166" s="6"/>
      <c r="F2166" s="6" t="b">
        <f t="shared" si="1"/>
        <v>0</v>
      </c>
    </row>
    <row r="2167" ht="15.75" customHeight="1">
      <c r="A2167" s="7" t="s">
        <v>4160</v>
      </c>
      <c r="B2167" s="4" t="s">
        <v>4161</v>
      </c>
      <c r="C2167" s="5" t="s">
        <v>16</v>
      </c>
      <c r="D2167" s="6" t="s">
        <v>4162</v>
      </c>
      <c r="E2167" s="6"/>
      <c r="F2167" s="6" t="b">
        <f t="shared" si="1"/>
        <v>0</v>
      </c>
    </row>
    <row r="2168" ht="15.75" customHeight="1">
      <c r="A2168" s="7" t="s">
        <v>4163</v>
      </c>
      <c r="B2168" s="4" t="s">
        <v>4164</v>
      </c>
      <c r="C2168" s="5" t="s">
        <v>16</v>
      </c>
      <c r="D2168" s="6" t="s">
        <v>4162</v>
      </c>
      <c r="E2168" s="6"/>
      <c r="F2168" s="6" t="b">
        <f t="shared" si="1"/>
        <v>0</v>
      </c>
    </row>
    <row r="2169" ht="15.75" customHeight="1">
      <c r="A2169" s="7" t="s">
        <v>4165</v>
      </c>
      <c r="B2169" s="4" t="s">
        <v>4166</v>
      </c>
      <c r="C2169" s="5" t="s">
        <v>16</v>
      </c>
      <c r="D2169" s="6" t="s">
        <v>1434</v>
      </c>
      <c r="E2169" s="6"/>
      <c r="F2169" s="6" t="b">
        <f t="shared" si="1"/>
        <v>0</v>
      </c>
    </row>
    <row r="2170" ht="15.75" customHeight="1">
      <c r="A2170" s="7" t="s">
        <v>4167</v>
      </c>
      <c r="B2170" s="4" t="s">
        <v>4168</v>
      </c>
      <c r="C2170" s="5" t="s">
        <v>16</v>
      </c>
      <c r="D2170" s="6" t="s">
        <v>1434</v>
      </c>
      <c r="E2170" s="6"/>
      <c r="F2170" s="6" t="b">
        <f t="shared" si="1"/>
        <v>0</v>
      </c>
    </row>
    <row r="2171" ht="15.75" customHeight="1">
      <c r="A2171" s="7" t="s">
        <v>4169</v>
      </c>
      <c r="B2171" s="4" t="s">
        <v>4170</v>
      </c>
      <c r="C2171" s="5" t="s">
        <v>16</v>
      </c>
      <c r="D2171" s="6" t="s">
        <v>1434</v>
      </c>
      <c r="E2171" s="6"/>
      <c r="F2171" s="6" t="b">
        <f t="shared" si="1"/>
        <v>0</v>
      </c>
    </row>
    <row r="2172" ht="15.75" customHeight="1">
      <c r="A2172" s="7" t="s">
        <v>4171</v>
      </c>
      <c r="B2172" s="4" t="s">
        <v>4172</v>
      </c>
      <c r="C2172" s="5" t="s">
        <v>16</v>
      </c>
      <c r="D2172" s="6" t="s">
        <v>1434</v>
      </c>
      <c r="E2172" s="6"/>
      <c r="F2172" s="6" t="b">
        <f t="shared" si="1"/>
        <v>0</v>
      </c>
    </row>
    <row r="2173" ht="15.75" customHeight="1">
      <c r="A2173" s="7" t="s">
        <v>4173</v>
      </c>
      <c r="B2173" s="4" t="s">
        <v>4174</v>
      </c>
      <c r="C2173" s="5" t="s">
        <v>16</v>
      </c>
      <c r="D2173" s="6" t="s">
        <v>1434</v>
      </c>
      <c r="E2173" s="6"/>
      <c r="F2173" s="6" t="b">
        <f t="shared" si="1"/>
        <v>0</v>
      </c>
    </row>
    <row r="2174" ht="15.75" customHeight="1">
      <c r="A2174" s="7" t="s">
        <v>4175</v>
      </c>
      <c r="B2174" s="4" t="s">
        <v>4176</v>
      </c>
      <c r="C2174" s="5" t="s">
        <v>16</v>
      </c>
      <c r="D2174" s="6" t="s">
        <v>1434</v>
      </c>
      <c r="E2174" s="6"/>
      <c r="F2174" s="6" t="b">
        <f t="shared" si="1"/>
        <v>0</v>
      </c>
    </row>
    <row r="2175" ht="15.75" customHeight="1">
      <c r="A2175" s="7" t="s">
        <v>4177</v>
      </c>
      <c r="B2175" s="4" t="s">
        <v>4178</v>
      </c>
      <c r="C2175" s="5" t="s">
        <v>16</v>
      </c>
      <c r="D2175" s="6" t="s">
        <v>1434</v>
      </c>
      <c r="E2175" s="6"/>
      <c r="F2175" s="6" t="b">
        <f t="shared" si="1"/>
        <v>0</v>
      </c>
    </row>
    <row r="2176" ht="15.75" customHeight="1">
      <c r="A2176" s="7" t="s">
        <v>4179</v>
      </c>
      <c r="B2176" s="4" t="s">
        <v>4180</v>
      </c>
      <c r="C2176" s="5" t="s">
        <v>16</v>
      </c>
      <c r="D2176" s="6" t="s">
        <v>1434</v>
      </c>
      <c r="E2176" s="6"/>
      <c r="F2176" s="6" t="b">
        <f t="shared" si="1"/>
        <v>0</v>
      </c>
    </row>
    <row r="2177" ht="15.75" customHeight="1">
      <c r="A2177" s="7" t="s">
        <v>4181</v>
      </c>
      <c r="B2177" s="4" t="s">
        <v>4182</v>
      </c>
      <c r="C2177" s="5" t="s">
        <v>16</v>
      </c>
      <c r="D2177" s="6" t="s">
        <v>4183</v>
      </c>
      <c r="E2177" s="6"/>
      <c r="F2177" s="6" t="b">
        <f t="shared" si="1"/>
        <v>0</v>
      </c>
    </row>
    <row r="2178" ht="15.75" customHeight="1">
      <c r="A2178" s="7" t="s">
        <v>4184</v>
      </c>
      <c r="B2178" s="4" t="s">
        <v>4185</v>
      </c>
      <c r="C2178" s="5" t="s">
        <v>16</v>
      </c>
      <c r="D2178" s="6" t="s">
        <v>4183</v>
      </c>
      <c r="E2178" s="6"/>
      <c r="F2178" s="6" t="b">
        <f t="shared" si="1"/>
        <v>0</v>
      </c>
    </row>
    <row r="2179" ht="15.75" customHeight="1">
      <c r="A2179" s="7" t="s">
        <v>4186</v>
      </c>
      <c r="B2179" s="4" t="s">
        <v>4187</v>
      </c>
      <c r="C2179" s="5" t="s">
        <v>16</v>
      </c>
      <c r="D2179" s="6" t="s">
        <v>4183</v>
      </c>
      <c r="E2179" s="6"/>
      <c r="F2179" s="6" t="b">
        <f t="shared" si="1"/>
        <v>0</v>
      </c>
    </row>
    <row r="2180" ht="15.75" customHeight="1">
      <c r="A2180" s="7" t="s">
        <v>4188</v>
      </c>
      <c r="B2180" s="4" t="s">
        <v>4189</v>
      </c>
      <c r="C2180" s="5" t="s">
        <v>16</v>
      </c>
      <c r="D2180" s="6" t="s">
        <v>4183</v>
      </c>
      <c r="E2180" s="6"/>
      <c r="F2180" s="6" t="b">
        <f t="shared" si="1"/>
        <v>0</v>
      </c>
    </row>
    <row r="2181" ht="15.75" customHeight="1">
      <c r="A2181" s="7" t="s">
        <v>4190</v>
      </c>
      <c r="B2181" s="4" t="s">
        <v>4191</v>
      </c>
      <c r="C2181" s="5" t="s">
        <v>16</v>
      </c>
      <c r="D2181" s="6" t="s">
        <v>4183</v>
      </c>
      <c r="E2181" s="6"/>
      <c r="F2181" s="6" t="b">
        <f t="shared" si="1"/>
        <v>0</v>
      </c>
    </row>
    <row r="2182" ht="15.75" customHeight="1">
      <c r="A2182" s="7" t="s">
        <v>4192</v>
      </c>
      <c r="B2182" s="4" t="s">
        <v>4193</v>
      </c>
      <c r="C2182" s="5" t="s">
        <v>16</v>
      </c>
      <c r="D2182" s="6" t="s">
        <v>4183</v>
      </c>
      <c r="E2182" s="6"/>
      <c r="F2182" s="6" t="b">
        <f t="shared" si="1"/>
        <v>0</v>
      </c>
    </row>
    <row r="2183" ht="15.75" customHeight="1">
      <c r="A2183" s="7" t="s">
        <v>4194</v>
      </c>
      <c r="B2183" s="4" t="s">
        <v>4195</v>
      </c>
      <c r="C2183" s="5" t="s">
        <v>16</v>
      </c>
      <c r="D2183" s="6" t="s">
        <v>4183</v>
      </c>
      <c r="E2183" s="6"/>
      <c r="F2183" s="6" t="b">
        <f t="shared" si="1"/>
        <v>0</v>
      </c>
    </row>
    <row r="2184" ht="15.75" customHeight="1">
      <c r="A2184" s="7" t="s">
        <v>4196</v>
      </c>
      <c r="B2184" s="4" t="s">
        <v>4197</v>
      </c>
      <c r="C2184" s="5" t="s">
        <v>16</v>
      </c>
      <c r="D2184" s="6" t="s">
        <v>4183</v>
      </c>
      <c r="E2184" s="6"/>
      <c r="F2184" s="6" t="b">
        <f t="shared" si="1"/>
        <v>0</v>
      </c>
    </row>
    <row r="2185" ht="15.75" customHeight="1">
      <c r="A2185" s="7" t="s">
        <v>4198</v>
      </c>
      <c r="B2185" s="4" t="s">
        <v>4199</v>
      </c>
      <c r="C2185" s="5" t="s">
        <v>16</v>
      </c>
      <c r="D2185" s="6" t="s">
        <v>4183</v>
      </c>
      <c r="E2185" s="6"/>
      <c r="F2185" s="6" t="b">
        <f t="shared" si="1"/>
        <v>0</v>
      </c>
    </row>
    <row r="2186" ht="15.75" customHeight="1">
      <c r="A2186" s="3" t="s">
        <v>4200</v>
      </c>
      <c r="B2186" s="4"/>
      <c r="C2186" s="5"/>
      <c r="D2186" s="5"/>
      <c r="E2186" s="6"/>
      <c r="F2186" s="6" t="b">
        <f t="shared" si="1"/>
        <v>0</v>
      </c>
    </row>
    <row r="2187" ht="15.75" customHeight="1">
      <c r="A2187" s="3" t="s">
        <v>4201</v>
      </c>
      <c r="B2187" s="4"/>
      <c r="C2187" s="5"/>
      <c r="D2187" s="5"/>
      <c r="E2187" s="6"/>
      <c r="F2187" s="6" t="b">
        <f t="shared" si="1"/>
        <v>0</v>
      </c>
    </row>
    <row r="2188" ht="15.75" customHeight="1">
      <c r="A2188" s="3" t="s">
        <v>4202</v>
      </c>
      <c r="B2188" s="4"/>
      <c r="C2188" s="5"/>
      <c r="D2188" s="5"/>
      <c r="E2188" s="6"/>
      <c r="F2188" s="6" t="b">
        <f t="shared" si="1"/>
        <v>0</v>
      </c>
    </row>
    <row r="2189" ht="15.75" customHeight="1">
      <c r="A2189" s="3" t="s">
        <v>4203</v>
      </c>
      <c r="B2189" s="4"/>
      <c r="C2189" s="5"/>
      <c r="D2189" s="5"/>
      <c r="E2189" s="6"/>
      <c r="F2189" s="6" t="b">
        <f t="shared" si="1"/>
        <v>0</v>
      </c>
    </row>
    <row r="2190" ht="15.75" customHeight="1">
      <c r="A2190" s="7" t="s">
        <v>4204</v>
      </c>
      <c r="B2190" s="4" t="s">
        <v>4205</v>
      </c>
      <c r="C2190" s="5" t="s">
        <v>16</v>
      </c>
      <c r="D2190" s="6" t="s">
        <v>4206</v>
      </c>
      <c r="E2190" s="6"/>
      <c r="F2190" s="6" t="b">
        <f t="shared" si="1"/>
        <v>0</v>
      </c>
    </row>
    <row r="2191" ht="15.75" customHeight="1">
      <c r="A2191" s="7" t="s">
        <v>4207</v>
      </c>
      <c r="B2191" s="4" t="s">
        <v>4208</v>
      </c>
      <c r="C2191" s="5" t="s">
        <v>16</v>
      </c>
      <c r="D2191" s="6" t="s">
        <v>4209</v>
      </c>
      <c r="E2191" s="6"/>
      <c r="F2191" s="6" t="b">
        <f t="shared" si="1"/>
        <v>0</v>
      </c>
    </row>
    <row r="2192" ht="15.75" customHeight="1">
      <c r="A2192" s="7" t="s">
        <v>4210</v>
      </c>
      <c r="B2192" s="4" t="s">
        <v>4211</v>
      </c>
      <c r="C2192" s="5" t="s">
        <v>16</v>
      </c>
      <c r="D2192" s="6" t="s">
        <v>4212</v>
      </c>
      <c r="E2192" s="6"/>
      <c r="F2192" s="6" t="b">
        <f t="shared" si="1"/>
        <v>0</v>
      </c>
    </row>
    <row r="2193" ht="15.75" customHeight="1">
      <c r="A2193" s="7" t="s">
        <v>4213</v>
      </c>
      <c r="B2193" s="4" t="s">
        <v>4214</v>
      </c>
      <c r="C2193" s="5" t="s">
        <v>16</v>
      </c>
      <c r="D2193" s="6" t="s">
        <v>4212</v>
      </c>
      <c r="E2193" s="6"/>
      <c r="F2193" s="6" t="b">
        <f t="shared" si="1"/>
        <v>0</v>
      </c>
    </row>
    <row r="2194" ht="15.75" customHeight="1">
      <c r="A2194" s="7" t="s">
        <v>4215</v>
      </c>
      <c r="B2194" s="4" t="s">
        <v>4216</v>
      </c>
      <c r="C2194" s="5" t="s">
        <v>16</v>
      </c>
      <c r="D2194" s="6" t="s">
        <v>183</v>
      </c>
      <c r="E2194" s="6"/>
      <c r="F2194" s="6" t="b">
        <f t="shared" si="1"/>
        <v>0</v>
      </c>
    </row>
    <row r="2195" ht="15.75" customHeight="1">
      <c r="A2195" s="7" t="s">
        <v>4217</v>
      </c>
      <c r="B2195" s="4" t="s">
        <v>4218</v>
      </c>
      <c r="C2195" s="5" t="s">
        <v>16</v>
      </c>
      <c r="D2195" s="6" t="s">
        <v>183</v>
      </c>
      <c r="E2195" s="6"/>
      <c r="F2195" s="6" t="b">
        <f t="shared" si="1"/>
        <v>0</v>
      </c>
    </row>
    <row r="2196" ht="15.75" customHeight="1">
      <c r="A2196" s="7" t="s">
        <v>4219</v>
      </c>
      <c r="B2196" s="4" t="s">
        <v>4220</v>
      </c>
      <c r="C2196" s="5" t="s">
        <v>16</v>
      </c>
      <c r="D2196" s="6" t="s">
        <v>437</v>
      </c>
      <c r="E2196" s="6"/>
      <c r="F2196" s="6" t="b">
        <f t="shared" si="1"/>
        <v>0</v>
      </c>
    </row>
    <row r="2197" ht="15.75" customHeight="1">
      <c r="A2197" s="7" t="s">
        <v>4221</v>
      </c>
      <c r="B2197" s="4" t="s">
        <v>4222</v>
      </c>
      <c r="C2197" s="5" t="s">
        <v>16</v>
      </c>
      <c r="D2197" s="6" t="s">
        <v>4223</v>
      </c>
      <c r="E2197" s="6"/>
      <c r="F2197" s="6" t="b">
        <f t="shared" si="1"/>
        <v>0</v>
      </c>
    </row>
    <row r="2198" ht="15.75" customHeight="1">
      <c r="A2198" s="7" t="s">
        <v>4224</v>
      </c>
      <c r="B2198" s="4" t="s">
        <v>4225</v>
      </c>
      <c r="C2198" s="5" t="s">
        <v>16</v>
      </c>
      <c r="D2198" s="6" t="s">
        <v>4223</v>
      </c>
      <c r="E2198" s="6"/>
      <c r="F2198" s="6" t="b">
        <f t="shared" si="1"/>
        <v>0</v>
      </c>
    </row>
    <row r="2199" ht="15.75" customHeight="1">
      <c r="A2199" s="3" t="s">
        <v>4226</v>
      </c>
      <c r="B2199" s="4"/>
      <c r="C2199" s="5"/>
      <c r="D2199" s="5"/>
      <c r="E2199" s="6"/>
      <c r="F2199" s="6" t="b">
        <f t="shared" si="1"/>
        <v>0</v>
      </c>
    </row>
    <row r="2200" ht="15.75" customHeight="1">
      <c r="A2200" s="7" t="s">
        <v>4227</v>
      </c>
      <c r="B2200" s="4" t="s">
        <v>4228</v>
      </c>
      <c r="C2200" s="5" t="s">
        <v>16</v>
      </c>
      <c r="D2200" s="6" t="s">
        <v>4223</v>
      </c>
      <c r="E2200" s="6"/>
      <c r="F2200" s="6" t="b">
        <f t="shared" si="1"/>
        <v>0</v>
      </c>
    </row>
    <row r="2201" ht="15.75" customHeight="1">
      <c r="A2201" s="3" t="s">
        <v>4229</v>
      </c>
      <c r="B2201" s="4"/>
      <c r="C2201" s="5"/>
      <c r="D2201" s="5"/>
      <c r="E2201" s="6"/>
      <c r="F2201" s="6" t="b">
        <f t="shared" si="1"/>
        <v>0</v>
      </c>
    </row>
    <row r="2202" ht="15.75" customHeight="1">
      <c r="A2202" s="3" t="s">
        <v>4230</v>
      </c>
      <c r="B2202" s="4"/>
      <c r="C2202" s="5"/>
      <c r="D2202" s="5"/>
      <c r="E2202" s="6"/>
      <c r="F2202" s="6" t="b">
        <f t="shared" si="1"/>
        <v>0</v>
      </c>
    </row>
    <row r="2203" ht="15.75" customHeight="1">
      <c r="A2203" s="3" t="s">
        <v>4231</v>
      </c>
      <c r="B2203" s="4"/>
      <c r="C2203" s="5"/>
      <c r="D2203" s="5"/>
      <c r="E2203" s="6"/>
      <c r="F2203" s="6" t="b">
        <f t="shared" si="1"/>
        <v>0</v>
      </c>
    </row>
    <row r="2204" ht="15.75" customHeight="1">
      <c r="A2204" s="7" t="s">
        <v>4232</v>
      </c>
      <c r="B2204" s="4" t="s">
        <v>4233</v>
      </c>
      <c r="C2204" s="5" t="s">
        <v>16</v>
      </c>
      <c r="D2204" s="6" t="s">
        <v>441</v>
      </c>
      <c r="E2204" s="6"/>
      <c r="F2204" s="6" t="b">
        <f t="shared" si="1"/>
        <v>0</v>
      </c>
    </row>
    <row r="2205" ht="15.75" customHeight="1">
      <c r="A2205" s="7" t="s">
        <v>4234</v>
      </c>
      <c r="B2205" s="4" t="s">
        <v>4235</v>
      </c>
      <c r="C2205" s="5" t="s">
        <v>16</v>
      </c>
      <c r="D2205" s="6" t="s">
        <v>441</v>
      </c>
      <c r="E2205" s="6"/>
      <c r="F2205" s="6" t="b">
        <f t="shared" si="1"/>
        <v>0</v>
      </c>
    </row>
    <row r="2206" ht="15.75" customHeight="1">
      <c r="A2206" s="3" t="s">
        <v>4236</v>
      </c>
      <c r="B2206" s="4"/>
      <c r="C2206" s="5"/>
      <c r="D2206" s="5"/>
      <c r="E2206" s="6"/>
      <c r="F2206" s="6" t="b">
        <f t="shared" si="1"/>
        <v>0</v>
      </c>
    </row>
    <row r="2207" ht="15.75" customHeight="1">
      <c r="A2207" s="3" t="s">
        <v>4237</v>
      </c>
      <c r="B2207" s="4"/>
      <c r="C2207" s="5"/>
      <c r="D2207" s="5"/>
      <c r="E2207" s="6"/>
      <c r="F2207" s="6" t="b">
        <f t="shared" si="1"/>
        <v>0</v>
      </c>
    </row>
    <row r="2208" ht="15.75" customHeight="1">
      <c r="A2208" s="3" t="s">
        <v>4238</v>
      </c>
      <c r="B2208" s="4"/>
      <c r="C2208" s="5"/>
      <c r="D2208" s="5"/>
      <c r="E2208" s="6"/>
      <c r="F2208" s="6" t="b">
        <f t="shared" si="1"/>
        <v>0</v>
      </c>
    </row>
    <row r="2209" ht="15.75" customHeight="1">
      <c r="A2209" s="3" t="s">
        <v>4239</v>
      </c>
      <c r="B2209" s="4"/>
      <c r="C2209" s="5"/>
      <c r="D2209" s="5"/>
      <c r="E2209" s="6"/>
      <c r="F2209" s="6" t="b">
        <f t="shared" si="1"/>
        <v>0</v>
      </c>
    </row>
    <row r="2210" ht="15.75" customHeight="1">
      <c r="A2210" s="3" t="s">
        <v>4240</v>
      </c>
      <c r="B2210" s="4"/>
      <c r="C2210" s="5"/>
      <c r="D2210" s="5"/>
      <c r="E2210" s="6"/>
      <c r="F2210" s="6" t="b">
        <f t="shared" si="1"/>
        <v>0</v>
      </c>
    </row>
    <row r="2211" ht="15.75" customHeight="1">
      <c r="A2211" s="3" t="s">
        <v>4241</v>
      </c>
      <c r="B2211" s="4"/>
      <c r="C2211" s="5"/>
      <c r="D2211" s="5"/>
      <c r="E2211" s="6"/>
      <c r="F2211" s="6" t="b">
        <f t="shared" si="1"/>
        <v>0</v>
      </c>
    </row>
    <row r="2212" ht="15.75" customHeight="1">
      <c r="A2212" s="7" t="s">
        <v>4242</v>
      </c>
      <c r="B2212" s="4" t="s">
        <v>4243</v>
      </c>
      <c r="C2212" s="5" t="s">
        <v>16</v>
      </c>
      <c r="D2212" s="6" t="s">
        <v>911</v>
      </c>
      <c r="E2212" s="6"/>
      <c r="F2212" s="6" t="b">
        <f t="shared" si="1"/>
        <v>0</v>
      </c>
    </row>
    <row r="2213" ht="15.75" customHeight="1">
      <c r="A2213" s="7" t="s">
        <v>4244</v>
      </c>
      <c r="B2213" s="4" t="s">
        <v>4245</v>
      </c>
      <c r="C2213" s="5" t="s">
        <v>16</v>
      </c>
      <c r="D2213" s="6" t="s">
        <v>911</v>
      </c>
      <c r="E2213" s="6"/>
      <c r="F2213" s="6" t="b">
        <f t="shared" si="1"/>
        <v>0</v>
      </c>
    </row>
    <row r="2214" ht="15.75" customHeight="1">
      <c r="A2214" s="7" t="s">
        <v>4246</v>
      </c>
      <c r="B2214" s="4" t="s">
        <v>4247</v>
      </c>
      <c r="C2214" s="5" t="s">
        <v>16</v>
      </c>
      <c r="D2214" s="6" t="s">
        <v>911</v>
      </c>
      <c r="E2214" s="6"/>
      <c r="F2214" s="6" t="b">
        <f t="shared" si="1"/>
        <v>0</v>
      </c>
    </row>
    <row r="2215" ht="15.75" customHeight="1">
      <c r="A2215" s="7" t="s">
        <v>4248</v>
      </c>
      <c r="B2215" s="4" t="s">
        <v>4249</v>
      </c>
      <c r="C2215" s="5" t="s">
        <v>16</v>
      </c>
      <c r="D2215" s="6" t="s">
        <v>1429</v>
      </c>
      <c r="E2215" s="6"/>
      <c r="F2215" s="6" t="b">
        <f t="shared" si="1"/>
        <v>0</v>
      </c>
    </row>
    <row r="2216" ht="15.75" customHeight="1">
      <c r="A2216" s="7" t="s">
        <v>4250</v>
      </c>
      <c r="B2216" s="4" t="s">
        <v>4251</v>
      </c>
      <c r="C2216" s="5" t="s">
        <v>16</v>
      </c>
      <c r="D2216" s="6" t="s">
        <v>1429</v>
      </c>
      <c r="E2216" s="6"/>
      <c r="F2216" s="6" t="b">
        <f t="shared" si="1"/>
        <v>0</v>
      </c>
    </row>
    <row r="2217" ht="15.75" customHeight="1">
      <c r="A2217" s="7" t="s">
        <v>4252</v>
      </c>
      <c r="B2217" s="4" t="s">
        <v>4253</v>
      </c>
      <c r="C2217" s="5" t="s">
        <v>16</v>
      </c>
      <c r="D2217" s="6" t="s">
        <v>1429</v>
      </c>
      <c r="E2217" s="6"/>
      <c r="F2217" s="6" t="b">
        <f t="shared" si="1"/>
        <v>0</v>
      </c>
    </row>
    <row r="2218" ht="15.75" customHeight="1">
      <c r="A2218" s="7" t="s">
        <v>4254</v>
      </c>
      <c r="B2218" s="4" t="s">
        <v>4255</v>
      </c>
      <c r="C2218" s="5" t="s">
        <v>16</v>
      </c>
      <c r="D2218" s="6" t="s">
        <v>1738</v>
      </c>
      <c r="E2218" s="6"/>
      <c r="F2218" s="6" t="b">
        <f t="shared" si="1"/>
        <v>0</v>
      </c>
    </row>
    <row r="2219" ht="15.75" customHeight="1">
      <c r="A2219" s="7" t="s">
        <v>4256</v>
      </c>
      <c r="B2219" s="4" t="s">
        <v>4257</v>
      </c>
      <c r="C2219" s="5" t="s">
        <v>16</v>
      </c>
      <c r="D2219" s="6" t="s">
        <v>1429</v>
      </c>
      <c r="E2219" s="6"/>
      <c r="F2219" s="6" t="b">
        <f t="shared" si="1"/>
        <v>0</v>
      </c>
    </row>
    <row r="2220" ht="15.75" customHeight="1">
      <c r="A2220" s="3" t="s">
        <v>4258</v>
      </c>
      <c r="B2220" s="4"/>
      <c r="C2220" s="5"/>
      <c r="D2220" s="5"/>
      <c r="E2220" s="6"/>
      <c r="F2220" s="6" t="b">
        <f t="shared" si="1"/>
        <v>0</v>
      </c>
    </row>
    <row r="2221" ht="15.75" customHeight="1">
      <c r="A2221" s="7" t="s">
        <v>4259</v>
      </c>
      <c r="B2221" s="4" t="s">
        <v>4260</v>
      </c>
      <c r="C2221" s="5" t="s">
        <v>16</v>
      </c>
      <c r="D2221" s="6" t="s">
        <v>1429</v>
      </c>
      <c r="E2221" s="6"/>
      <c r="F2221" s="6" t="b">
        <f t="shared" si="1"/>
        <v>0</v>
      </c>
    </row>
    <row r="2222" ht="15.75" customHeight="1">
      <c r="A2222" s="7" t="s">
        <v>4261</v>
      </c>
      <c r="B2222" s="4" t="s">
        <v>4262</v>
      </c>
      <c r="C2222" s="5" t="s">
        <v>16</v>
      </c>
      <c r="D2222" s="6" t="s">
        <v>1738</v>
      </c>
      <c r="E2222" s="6"/>
      <c r="F2222" s="6" t="b">
        <f t="shared" si="1"/>
        <v>0</v>
      </c>
    </row>
    <row r="2223" ht="15.75" customHeight="1">
      <c r="A2223" s="7" t="s">
        <v>4263</v>
      </c>
      <c r="B2223" s="4" t="s">
        <v>4264</v>
      </c>
      <c r="C2223" s="5" t="s">
        <v>16</v>
      </c>
      <c r="D2223" s="6" t="s">
        <v>1738</v>
      </c>
      <c r="E2223" s="6"/>
      <c r="F2223" s="6" t="b">
        <f t="shared" si="1"/>
        <v>0</v>
      </c>
    </row>
    <row r="2224" ht="15.75" customHeight="1">
      <c r="A2224" s="7" t="s">
        <v>4265</v>
      </c>
      <c r="B2224" s="4" t="s">
        <v>4266</v>
      </c>
      <c r="C2224" s="5" t="s">
        <v>16</v>
      </c>
      <c r="D2224" s="6" t="s">
        <v>1738</v>
      </c>
      <c r="E2224" s="6"/>
      <c r="F2224" s="6" t="b">
        <f t="shared" si="1"/>
        <v>0</v>
      </c>
    </row>
    <row r="2225" ht="15.75" customHeight="1">
      <c r="A2225" s="7" t="s">
        <v>4267</v>
      </c>
      <c r="B2225" s="4" t="s">
        <v>4268</v>
      </c>
      <c r="C2225" s="5" t="s">
        <v>16</v>
      </c>
      <c r="D2225" s="6" t="s">
        <v>1738</v>
      </c>
      <c r="E2225" s="6"/>
      <c r="F2225" s="6" t="b">
        <f t="shared" si="1"/>
        <v>0</v>
      </c>
    </row>
    <row r="2226" ht="15.75" customHeight="1">
      <c r="A2226" s="7" t="s">
        <v>4269</v>
      </c>
      <c r="B2226" s="4" t="s">
        <v>4270</v>
      </c>
      <c r="C2226" s="5" t="s">
        <v>16</v>
      </c>
      <c r="D2226" s="6" t="s">
        <v>1738</v>
      </c>
      <c r="E2226" s="6"/>
      <c r="F2226" s="6" t="b">
        <f t="shared" si="1"/>
        <v>0</v>
      </c>
    </row>
    <row r="2227" ht="15.75" customHeight="1">
      <c r="A2227" s="7" t="s">
        <v>4271</v>
      </c>
      <c r="B2227" s="4" t="s">
        <v>4272</v>
      </c>
      <c r="C2227" s="5" t="s">
        <v>16</v>
      </c>
      <c r="D2227" s="6" t="s">
        <v>1738</v>
      </c>
      <c r="E2227" s="6"/>
      <c r="F2227" s="6" t="b">
        <f t="shared" si="1"/>
        <v>0</v>
      </c>
    </row>
    <row r="2228" ht="15.75" customHeight="1">
      <c r="A2228" s="7" t="s">
        <v>4273</v>
      </c>
      <c r="B2228" s="4" t="s">
        <v>4274</v>
      </c>
      <c r="C2228" s="5" t="s">
        <v>16</v>
      </c>
      <c r="D2228" s="6" t="s">
        <v>1738</v>
      </c>
      <c r="E2228" s="6"/>
      <c r="F2228" s="6" t="b">
        <f t="shared" si="1"/>
        <v>0</v>
      </c>
    </row>
    <row r="2229" ht="15.75" customHeight="1">
      <c r="A2229" s="7" t="s">
        <v>4275</v>
      </c>
      <c r="B2229" s="4" t="s">
        <v>4276</v>
      </c>
      <c r="C2229" s="5" t="s">
        <v>16</v>
      </c>
      <c r="D2229" s="6" t="s">
        <v>1738</v>
      </c>
      <c r="E2229" s="6"/>
      <c r="F2229" s="6" t="b">
        <f t="shared" si="1"/>
        <v>0</v>
      </c>
    </row>
    <row r="2230" ht="15.75" customHeight="1">
      <c r="A2230" s="7" t="s">
        <v>4277</v>
      </c>
      <c r="B2230" s="4" t="s">
        <v>4278</v>
      </c>
      <c r="C2230" s="5" t="s">
        <v>16</v>
      </c>
      <c r="D2230" s="6" t="s">
        <v>1738</v>
      </c>
      <c r="E2230" s="6"/>
      <c r="F2230" s="6" t="b">
        <f t="shared" si="1"/>
        <v>0</v>
      </c>
    </row>
    <row r="2231" ht="15.75" customHeight="1">
      <c r="A2231" s="7" t="s">
        <v>4279</v>
      </c>
      <c r="B2231" s="4" t="s">
        <v>4280</v>
      </c>
      <c r="C2231" s="5" t="s">
        <v>16</v>
      </c>
      <c r="D2231" s="6" t="s">
        <v>4281</v>
      </c>
      <c r="E2231" s="6"/>
      <c r="F2231" s="6" t="b">
        <f t="shared" si="1"/>
        <v>0</v>
      </c>
    </row>
    <row r="2232" ht="15.75" customHeight="1">
      <c r="A2232" s="3" t="s">
        <v>4282</v>
      </c>
      <c r="B2232" s="4"/>
      <c r="C2232" s="5"/>
      <c r="D2232" s="5"/>
      <c r="E2232" s="6"/>
      <c r="F2232" s="6" t="b">
        <f t="shared" si="1"/>
        <v>0</v>
      </c>
    </row>
    <row r="2233" ht="15.75" customHeight="1">
      <c r="A2233" s="3" t="s">
        <v>4283</v>
      </c>
      <c r="B2233" s="4"/>
      <c r="C2233" s="5"/>
      <c r="D2233" s="5"/>
      <c r="E2233" s="6"/>
      <c r="F2233" s="6" t="b">
        <f t="shared" si="1"/>
        <v>0</v>
      </c>
    </row>
    <row r="2234" ht="15.75" customHeight="1">
      <c r="A2234" s="3" t="s">
        <v>4284</v>
      </c>
      <c r="B2234" s="4"/>
      <c r="C2234" s="5"/>
      <c r="D2234" s="5"/>
      <c r="E2234" s="6"/>
      <c r="F2234" s="6" t="b">
        <f t="shared" si="1"/>
        <v>0</v>
      </c>
    </row>
    <row r="2235" ht="15.75" customHeight="1">
      <c r="A2235" s="7" t="s">
        <v>4285</v>
      </c>
      <c r="B2235" s="4" t="s">
        <v>4286</v>
      </c>
      <c r="C2235" s="5" t="s">
        <v>16</v>
      </c>
      <c r="D2235" s="6" t="s">
        <v>4287</v>
      </c>
      <c r="E2235" s="6"/>
      <c r="F2235" s="6" t="b">
        <f t="shared" si="1"/>
        <v>0</v>
      </c>
    </row>
    <row r="2236" ht="15.75" customHeight="1">
      <c r="A2236" s="7" t="s">
        <v>4288</v>
      </c>
      <c r="B2236" s="4" t="s">
        <v>4289</v>
      </c>
      <c r="C2236" s="5" t="s">
        <v>16</v>
      </c>
      <c r="D2236" s="6" t="s">
        <v>2322</v>
      </c>
      <c r="E2236" s="6"/>
      <c r="F2236" s="6" t="b">
        <f t="shared" si="1"/>
        <v>0</v>
      </c>
    </row>
    <row r="2237" ht="15.75" customHeight="1">
      <c r="A2237" s="7" t="s">
        <v>4290</v>
      </c>
      <c r="B2237" s="4" t="s">
        <v>4291</v>
      </c>
      <c r="C2237" s="5" t="s">
        <v>16</v>
      </c>
      <c r="D2237" s="6" t="s">
        <v>2322</v>
      </c>
      <c r="E2237" s="6"/>
      <c r="F2237" s="6" t="b">
        <f t="shared" si="1"/>
        <v>0</v>
      </c>
    </row>
    <row r="2238" ht="15.75" customHeight="1">
      <c r="A2238" s="7" t="s">
        <v>4292</v>
      </c>
      <c r="B2238" s="4" t="s">
        <v>4293</v>
      </c>
      <c r="C2238" s="5" t="s">
        <v>16</v>
      </c>
      <c r="D2238" s="6" t="s">
        <v>2322</v>
      </c>
      <c r="E2238" s="6"/>
      <c r="F2238" s="6" t="b">
        <f t="shared" si="1"/>
        <v>0</v>
      </c>
    </row>
    <row r="2239" ht="15.75" customHeight="1">
      <c r="A2239" s="7" t="s">
        <v>4294</v>
      </c>
      <c r="B2239" s="4" t="s">
        <v>4295</v>
      </c>
      <c r="C2239" s="5" t="s">
        <v>16</v>
      </c>
      <c r="D2239" s="6" t="s">
        <v>4296</v>
      </c>
      <c r="E2239" s="6"/>
      <c r="F2239" s="6" t="b">
        <f t="shared" si="1"/>
        <v>0</v>
      </c>
    </row>
    <row r="2240" ht="15.75" customHeight="1">
      <c r="A2240" s="7" t="s">
        <v>4297</v>
      </c>
      <c r="B2240" s="4" t="s">
        <v>4298</v>
      </c>
      <c r="C2240" s="5" t="s">
        <v>16</v>
      </c>
      <c r="D2240" s="6" t="s">
        <v>4296</v>
      </c>
      <c r="E2240" s="6"/>
      <c r="F2240" s="6" t="b">
        <f t="shared" si="1"/>
        <v>0</v>
      </c>
    </row>
    <row r="2241" ht="15.75" customHeight="1">
      <c r="A2241" s="7" t="s">
        <v>4299</v>
      </c>
      <c r="B2241" s="4" t="s">
        <v>4300</v>
      </c>
      <c r="C2241" s="5" t="s">
        <v>16</v>
      </c>
      <c r="D2241" s="6" t="s">
        <v>4301</v>
      </c>
      <c r="E2241" s="6"/>
      <c r="F2241" s="6" t="b">
        <f t="shared" si="1"/>
        <v>0</v>
      </c>
    </row>
    <row r="2242" ht="15.75" customHeight="1">
      <c r="A2242" s="7" t="s">
        <v>4302</v>
      </c>
      <c r="B2242" s="4" t="s">
        <v>4303</v>
      </c>
      <c r="C2242" s="5" t="s">
        <v>6</v>
      </c>
      <c r="D2242" s="6" t="s">
        <v>4304</v>
      </c>
      <c r="E2242" s="6"/>
      <c r="F2242" s="6" t="b">
        <f t="shared" si="1"/>
        <v>0</v>
      </c>
    </row>
    <row r="2243" ht="15.75" customHeight="1">
      <c r="A2243" s="7" t="s">
        <v>4305</v>
      </c>
      <c r="B2243" s="4" t="s">
        <v>4306</v>
      </c>
      <c r="C2243" s="5" t="s">
        <v>6</v>
      </c>
      <c r="D2243" s="6" t="s">
        <v>4307</v>
      </c>
      <c r="E2243" s="6"/>
      <c r="F2243" s="6" t="b">
        <f t="shared" si="1"/>
        <v>0</v>
      </c>
    </row>
    <row r="2244" ht="15.75" customHeight="1">
      <c r="A2244" s="7" t="s">
        <v>4308</v>
      </c>
      <c r="B2244" s="4" t="s">
        <v>4309</v>
      </c>
      <c r="C2244" s="5" t="s">
        <v>6</v>
      </c>
      <c r="D2244" s="6" t="s">
        <v>4310</v>
      </c>
      <c r="E2244" s="6"/>
      <c r="F2244" s="6" t="b">
        <f t="shared" si="1"/>
        <v>0</v>
      </c>
    </row>
    <row r="2245" ht="15.75" customHeight="1">
      <c r="A2245" s="7" t="s">
        <v>4311</v>
      </c>
      <c r="B2245" s="4" t="s">
        <v>4312</v>
      </c>
      <c r="C2245" s="5" t="s">
        <v>6</v>
      </c>
      <c r="D2245" s="6" t="s">
        <v>4313</v>
      </c>
      <c r="E2245" s="6"/>
      <c r="F2245" s="6" t="b">
        <f t="shared" si="1"/>
        <v>0</v>
      </c>
    </row>
    <row r="2246" ht="15.75" customHeight="1">
      <c r="A2246" s="7" t="s">
        <v>4314</v>
      </c>
      <c r="B2246" s="4" t="s">
        <v>4315</v>
      </c>
      <c r="C2246" s="5" t="s">
        <v>6</v>
      </c>
      <c r="D2246" s="6" t="s">
        <v>4316</v>
      </c>
      <c r="E2246" s="6"/>
      <c r="F2246" s="6" t="b">
        <f t="shared" si="1"/>
        <v>0</v>
      </c>
    </row>
    <row r="2247" ht="15.75" customHeight="1">
      <c r="A2247" s="3" t="s">
        <v>4317</v>
      </c>
      <c r="B2247" s="4"/>
      <c r="C2247" s="5"/>
      <c r="D2247" s="5"/>
      <c r="E2247" s="6"/>
      <c r="F2247" s="6" t="b">
        <f t="shared" si="1"/>
        <v>0</v>
      </c>
    </row>
    <row r="2248" ht="15.75" customHeight="1">
      <c r="A2248" s="7" t="s">
        <v>4318</v>
      </c>
      <c r="B2248" s="4" t="s">
        <v>4319</v>
      </c>
      <c r="C2248" s="5" t="s">
        <v>6</v>
      </c>
      <c r="D2248" s="6" t="s">
        <v>4320</v>
      </c>
      <c r="E2248" s="6"/>
      <c r="F2248" s="6" t="b">
        <f t="shared" si="1"/>
        <v>0</v>
      </c>
    </row>
    <row r="2249" ht="15.75" customHeight="1">
      <c r="A2249" s="7" t="s">
        <v>4321</v>
      </c>
      <c r="B2249" s="4" t="s">
        <v>4322</v>
      </c>
      <c r="C2249" s="5" t="s">
        <v>6</v>
      </c>
      <c r="D2249" s="6" t="s">
        <v>4323</v>
      </c>
      <c r="E2249" s="6"/>
      <c r="F2249" s="6" t="b">
        <f t="shared" si="1"/>
        <v>0</v>
      </c>
    </row>
    <row r="2250" ht="15.75" customHeight="1">
      <c r="A2250" s="7" t="s">
        <v>4324</v>
      </c>
      <c r="B2250" s="4" t="s">
        <v>4325</v>
      </c>
      <c r="C2250" s="5" t="s">
        <v>6</v>
      </c>
      <c r="D2250" s="6" t="s">
        <v>4326</v>
      </c>
      <c r="E2250" s="6"/>
      <c r="F2250" s="6" t="b">
        <f t="shared" si="1"/>
        <v>0</v>
      </c>
    </row>
    <row r="2251" ht="15.75" customHeight="1">
      <c r="A2251" s="3" t="s">
        <v>4327</v>
      </c>
      <c r="B2251" s="4"/>
      <c r="C2251" s="5"/>
      <c r="D2251" s="5"/>
      <c r="E2251" s="6"/>
      <c r="F2251" s="6" t="b">
        <f t="shared" si="1"/>
        <v>0</v>
      </c>
    </row>
    <row r="2252" ht="15.75" customHeight="1">
      <c r="A2252" s="3" t="s">
        <v>4328</v>
      </c>
      <c r="B2252" s="4"/>
      <c r="C2252" s="5"/>
      <c r="D2252" s="5"/>
      <c r="E2252" s="6"/>
      <c r="F2252" s="6" t="b">
        <f t="shared" si="1"/>
        <v>0</v>
      </c>
    </row>
    <row r="2253" ht="15.75" customHeight="1">
      <c r="A2253" s="7" t="s">
        <v>4329</v>
      </c>
      <c r="B2253" s="4" t="s">
        <v>4330</v>
      </c>
      <c r="C2253" s="5" t="s">
        <v>6</v>
      </c>
      <c r="D2253" s="6" t="s">
        <v>4331</v>
      </c>
      <c r="E2253" s="6"/>
      <c r="F2253" s="6" t="b">
        <f t="shared" si="1"/>
        <v>0</v>
      </c>
    </row>
    <row r="2254" ht="15.75" customHeight="1">
      <c r="A2254" s="7" t="s">
        <v>4332</v>
      </c>
      <c r="B2254" s="4" t="s">
        <v>4333</v>
      </c>
      <c r="C2254" s="5" t="s">
        <v>6</v>
      </c>
      <c r="D2254" s="6" t="s">
        <v>4334</v>
      </c>
      <c r="E2254" s="6"/>
      <c r="F2254" s="6" t="b">
        <f t="shared" si="1"/>
        <v>0</v>
      </c>
    </row>
    <row r="2255" ht="15.75" customHeight="1">
      <c r="A2255" s="3" t="s">
        <v>4335</v>
      </c>
      <c r="B2255" s="4"/>
      <c r="C2255" s="5"/>
      <c r="D2255" s="5"/>
      <c r="E2255" s="6"/>
      <c r="F2255" s="6" t="b">
        <f t="shared" si="1"/>
        <v>0</v>
      </c>
    </row>
    <row r="2256" ht="15.75" customHeight="1">
      <c r="A2256" s="7" t="s">
        <v>4336</v>
      </c>
      <c r="B2256" s="4" t="s">
        <v>4337</v>
      </c>
      <c r="C2256" s="5" t="s">
        <v>16</v>
      </c>
      <c r="D2256" s="6" t="s">
        <v>4338</v>
      </c>
      <c r="E2256" s="6"/>
      <c r="F2256" s="6" t="b">
        <f t="shared" si="1"/>
        <v>0</v>
      </c>
    </row>
    <row r="2257" ht="15.75" customHeight="1">
      <c r="A2257" s="7" t="s">
        <v>4339</v>
      </c>
      <c r="B2257" s="4" t="s">
        <v>4340</v>
      </c>
      <c r="C2257" s="5" t="s">
        <v>6</v>
      </c>
      <c r="D2257" s="6" t="s">
        <v>4341</v>
      </c>
      <c r="E2257" s="6"/>
      <c r="F2257" s="6" t="b">
        <f t="shared" si="1"/>
        <v>0</v>
      </c>
    </row>
    <row r="2258" ht="15.75" customHeight="1">
      <c r="A2258" s="7" t="s">
        <v>4342</v>
      </c>
      <c r="B2258" s="4" t="s">
        <v>4343</v>
      </c>
      <c r="C2258" s="5" t="s">
        <v>6</v>
      </c>
      <c r="D2258" s="6" t="s">
        <v>4344</v>
      </c>
      <c r="E2258" s="6"/>
      <c r="F2258" s="6" t="b">
        <f t="shared" si="1"/>
        <v>0</v>
      </c>
    </row>
    <row r="2259" ht="15.75" customHeight="1">
      <c r="A2259" s="7" t="s">
        <v>4345</v>
      </c>
      <c r="B2259" s="4" t="s">
        <v>4346</v>
      </c>
      <c r="C2259" s="5" t="s">
        <v>6</v>
      </c>
      <c r="D2259" s="6" t="s">
        <v>4347</v>
      </c>
      <c r="E2259" s="6"/>
      <c r="F2259" s="6" t="b">
        <f t="shared" si="1"/>
        <v>0</v>
      </c>
    </row>
    <row r="2260" ht="15.75" customHeight="1">
      <c r="A2260" s="7" t="s">
        <v>4348</v>
      </c>
      <c r="B2260" s="4" t="s">
        <v>4349</v>
      </c>
      <c r="C2260" s="5" t="s">
        <v>6</v>
      </c>
      <c r="D2260" s="6" t="s">
        <v>4350</v>
      </c>
      <c r="E2260" s="6"/>
      <c r="F2260" s="6" t="b">
        <f t="shared" si="1"/>
        <v>0</v>
      </c>
    </row>
    <row r="2261" ht="15.75" customHeight="1">
      <c r="A2261" s="3" t="s">
        <v>4351</v>
      </c>
      <c r="B2261" s="4"/>
      <c r="C2261" s="5"/>
      <c r="D2261" s="5"/>
      <c r="E2261" s="6"/>
      <c r="F2261" s="6" t="b">
        <f t="shared" si="1"/>
        <v>0</v>
      </c>
    </row>
    <row r="2262" ht="15.75" customHeight="1">
      <c r="A2262" s="3" t="s">
        <v>4352</v>
      </c>
      <c r="B2262" s="4"/>
      <c r="C2262" s="5"/>
      <c r="D2262" s="5"/>
      <c r="E2262" s="6"/>
      <c r="F2262" s="6" t="b">
        <f t="shared" si="1"/>
        <v>0</v>
      </c>
    </row>
    <row r="2263" ht="15.75" customHeight="1">
      <c r="A2263" s="3" t="s">
        <v>4353</v>
      </c>
      <c r="B2263" s="4"/>
      <c r="C2263" s="5"/>
      <c r="D2263" s="5"/>
      <c r="E2263" s="6"/>
      <c r="F2263" s="6" t="b">
        <f t="shared" si="1"/>
        <v>0</v>
      </c>
    </row>
    <row r="2264" ht="15.75" customHeight="1">
      <c r="A2264" s="7" t="s">
        <v>4354</v>
      </c>
      <c r="B2264" s="4" t="s">
        <v>4355</v>
      </c>
      <c r="C2264" s="5" t="s">
        <v>6</v>
      </c>
      <c r="D2264" s="6" t="s">
        <v>4356</v>
      </c>
      <c r="E2264" s="6"/>
      <c r="F2264" s="6" t="b">
        <f t="shared" si="1"/>
        <v>0</v>
      </c>
    </row>
    <row r="2265" ht="15.75" customHeight="1">
      <c r="A2265" s="3" t="s">
        <v>4357</v>
      </c>
      <c r="B2265" s="4"/>
      <c r="C2265" s="5"/>
      <c r="D2265" s="5"/>
      <c r="E2265" s="6"/>
      <c r="F2265" s="6" t="b">
        <f t="shared" si="1"/>
        <v>0</v>
      </c>
    </row>
    <row r="2266" ht="15.75" customHeight="1">
      <c r="A2266" s="7" t="s">
        <v>4358</v>
      </c>
      <c r="B2266" s="4" t="s">
        <v>4359</v>
      </c>
      <c r="C2266" s="5" t="s">
        <v>16</v>
      </c>
      <c r="D2266" s="6" t="s">
        <v>4360</v>
      </c>
      <c r="E2266" s="6"/>
      <c r="F2266" s="6" t="b">
        <f t="shared" si="1"/>
        <v>0</v>
      </c>
    </row>
    <row r="2267" ht="15.75" customHeight="1">
      <c r="A2267" s="7" t="s">
        <v>4361</v>
      </c>
      <c r="B2267" s="4" t="s">
        <v>4362</v>
      </c>
      <c r="C2267" s="5" t="s">
        <v>6</v>
      </c>
      <c r="D2267" s="6" t="s">
        <v>4363</v>
      </c>
      <c r="E2267" s="6"/>
      <c r="F2267" s="6" t="b">
        <f t="shared" si="1"/>
        <v>0</v>
      </c>
    </row>
    <row r="2268" ht="15.75" customHeight="1">
      <c r="A2268" s="7" t="s">
        <v>4364</v>
      </c>
      <c r="B2268" s="4" t="s">
        <v>4365</v>
      </c>
      <c r="C2268" s="5" t="s">
        <v>6</v>
      </c>
      <c r="D2268" s="6" t="s">
        <v>4366</v>
      </c>
      <c r="E2268" s="6"/>
      <c r="F2268" s="6" t="b">
        <f t="shared" si="1"/>
        <v>0</v>
      </c>
    </row>
    <row r="2269" ht="15.75" customHeight="1">
      <c r="A2269" s="3" t="s">
        <v>4367</v>
      </c>
      <c r="B2269" s="4"/>
      <c r="C2269" s="5"/>
      <c r="D2269" s="5"/>
      <c r="E2269" s="6"/>
      <c r="F2269" s="6" t="b">
        <f t="shared" si="1"/>
        <v>0</v>
      </c>
    </row>
    <row r="2270" ht="15.75" customHeight="1">
      <c r="A2270" s="7" t="s">
        <v>4368</v>
      </c>
      <c r="B2270" s="4" t="s">
        <v>4369</v>
      </c>
      <c r="C2270" s="5" t="s">
        <v>6</v>
      </c>
      <c r="D2270" s="6" t="s">
        <v>4370</v>
      </c>
      <c r="E2270" s="6"/>
      <c r="F2270" s="6" t="b">
        <f t="shared" si="1"/>
        <v>0</v>
      </c>
    </row>
    <row r="2271" ht="15.75" customHeight="1">
      <c r="A2271" s="7" t="s">
        <v>4371</v>
      </c>
      <c r="B2271" s="4" t="s">
        <v>4372</v>
      </c>
      <c r="C2271" s="5" t="s">
        <v>6</v>
      </c>
      <c r="D2271" s="6" t="s">
        <v>4373</v>
      </c>
      <c r="E2271" s="6"/>
      <c r="F2271" s="6" t="b">
        <f t="shared" si="1"/>
        <v>0</v>
      </c>
    </row>
    <row r="2272" ht="15.75" customHeight="1">
      <c r="A2272" s="7" t="s">
        <v>4374</v>
      </c>
      <c r="B2272" s="4" t="s">
        <v>4375</v>
      </c>
      <c r="C2272" s="5" t="s">
        <v>6</v>
      </c>
      <c r="D2272" s="6" t="s">
        <v>4376</v>
      </c>
      <c r="E2272" s="6"/>
      <c r="F2272" s="6" t="b">
        <f t="shared" si="1"/>
        <v>0</v>
      </c>
    </row>
    <row r="2273" ht="15.75" customHeight="1">
      <c r="A2273" s="3" t="s">
        <v>4377</v>
      </c>
      <c r="B2273" s="4"/>
      <c r="C2273" s="5"/>
      <c r="D2273" s="5"/>
      <c r="E2273" s="6"/>
      <c r="F2273" s="6" t="b">
        <f t="shared" si="1"/>
        <v>0</v>
      </c>
    </row>
    <row r="2274" ht="15.75" customHeight="1">
      <c r="A2274" s="3" t="s">
        <v>4378</v>
      </c>
      <c r="B2274" s="4"/>
      <c r="C2274" s="5"/>
      <c r="D2274" s="5"/>
      <c r="E2274" s="6"/>
      <c r="F2274" s="6" t="b">
        <f t="shared" si="1"/>
        <v>0</v>
      </c>
    </row>
    <row r="2275" ht="15.75" customHeight="1">
      <c r="A2275" s="7" t="s">
        <v>4379</v>
      </c>
      <c r="B2275" s="4" t="s">
        <v>4380</v>
      </c>
      <c r="C2275" s="5" t="s">
        <v>6</v>
      </c>
      <c r="D2275" s="6" t="s">
        <v>4381</v>
      </c>
      <c r="E2275" s="6"/>
      <c r="F2275" s="6" t="b">
        <f t="shared" si="1"/>
        <v>0</v>
      </c>
    </row>
    <row r="2276" ht="15.75" customHeight="1">
      <c r="A2276" s="7" t="s">
        <v>4382</v>
      </c>
      <c r="B2276" s="4" t="s">
        <v>4383</v>
      </c>
      <c r="C2276" s="5" t="s">
        <v>6</v>
      </c>
      <c r="D2276" s="6" t="s">
        <v>4381</v>
      </c>
      <c r="E2276" s="6"/>
      <c r="F2276" s="6" t="b">
        <f t="shared" si="1"/>
        <v>0</v>
      </c>
    </row>
    <row r="2277" ht="15.75" customHeight="1">
      <c r="A2277" s="7" t="s">
        <v>4384</v>
      </c>
      <c r="B2277" s="4" t="s">
        <v>4385</v>
      </c>
      <c r="C2277" s="5" t="s">
        <v>6</v>
      </c>
      <c r="D2277" s="6" t="s">
        <v>4386</v>
      </c>
      <c r="E2277" s="6"/>
      <c r="F2277" s="6" t="b">
        <f t="shared" si="1"/>
        <v>0</v>
      </c>
    </row>
    <row r="2278" ht="15.75" customHeight="1">
      <c r="A2278" s="3" t="s">
        <v>4387</v>
      </c>
      <c r="B2278" s="4"/>
      <c r="C2278" s="5"/>
      <c r="D2278" s="5"/>
      <c r="E2278" s="6"/>
      <c r="F2278" s="6" t="b">
        <f t="shared" si="1"/>
        <v>0</v>
      </c>
    </row>
    <row r="2279" ht="15.75" customHeight="1">
      <c r="A2279" s="7" t="s">
        <v>4388</v>
      </c>
      <c r="B2279" s="4" t="s">
        <v>4389</v>
      </c>
      <c r="C2279" s="5" t="s">
        <v>16</v>
      </c>
      <c r="D2279" s="6" t="s">
        <v>4390</v>
      </c>
      <c r="E2279" s="6"/>
      <c r="F2279" s="6" t="b">
        <f t="shared" si="1"/>
        <v>0</v>
      </c>
    </row>
    <row r="2280" ht="15.75" customHeight="1">
      <c r="A2280" s="7" t="s">
        <v>4391</v>
      </c>
      <c r="B2280" s="4" t="s">
        <v>4392</v>
      </c>
      <c r="C2280" s="5" t="s">
        <v>16</v>
      </c>
      <c r="D2280" s="6" t="s">
        <v>4393</v>
      </c>
      <c r="E2280" s="6"/>
      <c r="F2280" s="6" t="b">
        <f t="shared" si="1"/>
        <v>0</v>
      </c>
    </row>
    <row r="2281" ht="15.75" customHeight="1">
      <c r="A2281" s="7" t="s">
        <v>4394</v>
      </c>
      <c r="B2281" s="4" t="s">
        <v>4395</v>
      </c>
      <c r="C2281" s="5" t="s">
        <v>6</v>
      </c>
      <c r="D2281" s="6" t="s">
        <v>4396</v>
      </c>
      <c r="E2281" s="6"/>
      <c r="F2281" s="6" t="b">
        <f t="shared" si="1"/>
        <v>0</v>
      </c>
    </row>
    <row r="2282" ht="15.75" customHeight="1">
      <c r="A2282" s="7" t="s">
        <v>4397</v>
      </c>
      <c r="B2282" s="4" t="s">
        <v>4398</v>
      </c>
      <c r="C2282" s="5" t="s">
        <v>16</v>
      </c>
      <c r="D2282" s="6" t="s">
        <v>4399</v>
      </c>
      <c r="E2282" s="6"/>
      <c r="F2282" s="6" t="b">
        <f t="shared" si="1"/>
        <v>0</v>
      </c>
    </row>
    <row r="2283" ht="15.75" customHeight="1">
      <c r="A2283" s="3" t="s">
        <v>4400</v>
      </c>
      <c r="B2283" s="4"/>
      <c r="C2283" s="5"/>
      <c r="D2283" s="5"/>
      <c r="E2283" s="6"/>
      <c r="F2283" s="6" t="b">
        <f t="shared" si="1"/>
        <v>0</v>
      </c>
    </row>
    <row r="2284" ht="15.75" customHeight="1">
      <c r="A2284" s="3" t="s">
        <v>4401</v>
      </c>
      <c r="B2284" s="4"/>
      <c r="C2284" s="5"/>
      <c r="D2284" s="5"/>
      <c r="E2284" s="6"/>
      <c r="F2284" s="6" t="b">
        <f t="shared" si="1"/>
        <v>0</v>
      </c>
    </row>
    <row r="2285" ht="15.75" customHeight="1">
      <c r="A2285" s="3" t="s">
        <v>4402</v>
      </c>
      <c r="B2285" s="4"/>
      <c r="C2285" s="5"/>
      <c r="D2285" s="5"/>
      <c r="E2285" s="6"/>
      <c r="F2285" s="6" t="b">
        <f t="shared" si="1"/>
        <v>0</v>
      </c>
    </row>
    <row r="2286" ht="15.75" customHeight="1">
      <c r="A2286" s="3" t="s">
        <v>4403</v>
      </c>
      <c r="B2286" s="4"/>
      <c r="C2286" s="5"/>
      <c r="D2286" s="5"/>
      <c r="E2286" s="6"/>
      <c r="F2286" s="6" t="b">
        <f t="shared" si="1"/>
        <v>0</v>
      </c>
    </row>
    <row r="2287" ht="15.75" customHeight="1">
      <c r="A2287" s="3" t="s">
        <v>4404</v>
      </c>
      <c r="B2287" s="4"/>
      <c r="C2287" s="5"/>
      <c r="D2287" s="5"/>
      <c r="E2287" s="6"/>
      <c r="F2287" s="6" t="b">
        <f t="shared" si="1"/>
        <v>0</v>
      </c>
    </row>
    <row r="2288" ht="15.75" customHeight="1">
      <c r="A2288" s="7" t="s">
        <v>4405</v>
      </c>
      <c r="B2288" s="4" t="s">
        <v>4406</v>
      </c>
      <c r="C2288" s="5" t="s">
        <v>16</v>
      </c>
      <c r="D2288" s="6" t="s">
        <v>4407</v>
      </c>
      <c r="E2288" s="6"/>
      <c r="F2288" s="6" t="b">
        <f t="shared" si="1"/>
        <v>0</v>
      </c>
    </row>
    <row r="2289" ht="15.75" customHeight="1">
      <c r="A2289" s="7" t="s">
        <v>4408</v>
      </c>
      <c r="B2289" s="4" t="s">
        <v>4409</v>
      </c>
      <c r="C2289" s="5" t="s">
        <v>16</v>
      </c>
      <c r="D2289" s="6" t="s">
        <v>4410</v>
      </c>
      <c r="E2289" s="6"/>
      <c r="F2289" s="6" t="b">
        <f t="shared" si="1"/>
        <v>0</v>
      </c>
    </row>
    <row r="2290" ht="15.75" customHeight="1">
      <c r="A2290" s="7" t="s">
        <v>4411</v>
      </c>
      <c r="B2290" s="4" t="s">
        <v>4412</v>
      </c>
      <c r="C2290" s="5" t="s">
        <v>16</v>
      </c>
      <c r="D2290" s="6" t="s">
        <v>4413</v>
      </c>
      <c r="E2290" s="6"/>
      <c r="F2290" s="6" t="b">
        <f t="shared" si="1"/>
        <v>0</v>
      </c>
    </row>
    <row r="2291" ht="15.75" customHeight="1">
      <c r="A2291" s="7" t="s">
        <v>4414</v>
      </c>
      <c r="B2291" s="4" t="s">
        <v>4415</v>
      </c>
      <c r="C2291" s="5" t="s">
        <v>16</v>
      </c>
      <c r="D2291" s="6" t="s">
        <v>4416</v>
      </c>
      <c r="E2291" s="6"/>
      <c r="F2291" s="6" t="b">
        <f t="shared" si="1"/>
        <v>0</v>
      </c>
    </row>
    <row r="2292" ht="15.75" customHeight="1">
      <c r="A2292" s="7" t="s">
        <v>4417</v>
      </c>
      <c r="B2292" s="4" t="s">
        <v>4418</v>
      </c>
      <c r="C2292" s="5" t="s">
        <v>16</v>
      </c>
      <c r="D2292" s="6" t="s">
        <v>4416</v>
      </c>
      <c r="E2292" s="6"/>
      <c r="F2292" s="6" t="b">
        <f t="shared" si="1"/>
        <v>0</v>
      </c>
    </row>
    <row r="2293" ht="15.75" customHeight="1">
      <c r="A2293" s="7" t="s">
        <v>4419</v>
      </c>
      <c r="B2293" s="4" t="s">
        <v>4420</v>
      </c>
      <c r="C2293" s="5" t="s">
        <v>16</v>
      </c>
      <c r="D2293" s="6" t="s">
        <v>4416</v>
      </c>
      <c r="E2293" s="6"/>
      <c r="F2293" s="6" t="b">
        <f t="shared" si="1"/>
        <v>0</v>
      </c>
    </row>
    <row r="2294" ht="15.75" customHeight="1">
      <c r="A2294" s="7" t="s">
        <v>4421</v>
      </c>
      <c r="B2294" s="4" t="s">
        <v>1169</v>
      </c>
      <c r="C2294" s="5" t="s">
        <v>16</v>
      </c>
      <c r="D2294" s="6" t="s">
        <v>4416</v>
      </c>
      <c r="E2294" s="6"/>
      <c r="F2294" s="6" t="b">
        <f t="shared" si="1"/>
        <v>0</v>
      </c>
    </row>
    <row r="2295" ht="15.75" customHeight="1">
      <c r="A2295" s="7" t="s">
        <v>4422</v>
      </c>
      <c r="B2295" s="4" t="s">
        <v>4423</v>
      </c>
      <c r="C2295" s="5" t="s">
        <v>16</v>
      </c>
      <c r="D2295" s="6" t="s">
        <v>4416</v>
      </c>
      <c r="E2295" s="6"/>
      <c r="F2295" s="6" t="b">
        <f t="shared" si="1"/>
        <v>0</v>
      </c>
    </row>
    <row r="2296" ht="15.75" customHeight="1">
      <c r="A2296" s="7" t="s">
        <v>4424</v>
      </c>
      <c r="B2296" s="4" t="s">
        <v>4425</v>
      </c>
      <c r="C2296" s="5" t="s">
        <v>16</v>
      </c>
      <c r="D2296" s="6" t="s">
        <v>139</v>
      </c>
      <c r="E2296" s="6"/>
      <c r="F2296" s="6" t="b">
        <f t="shared" si="1"/>
        <v>0</v>
      </c>
    </row>
    <row r="2297" ht="15.75" customHeight="1">
      <c r="A2297" s="3" t="s">
        <v>4426</v>
      </c>
      <c r="B2297" s="4"/>
      <c r="C2297" s="5"/>
      <c r="D2297" s="5"/>
      <c r="E2297" s="6"/>
      <c r="F2297" s="6" t="b">
        <f t="shared" si="1"/>
        <v>0</v>
      </c>
    </row>
    <row r="2298" ht="15.75" customHeight="1">
      <c r="A2298" s="3" t="s">
        <v>4427</v>
      </c>
      <c r="B2298" s="4"/>
      <c r="C2298" s="5"/>
      <c r="D2298" s="5"/>
      <c r="E2298" s="6"/>
      <c r="F2298" s="6" t="b">
        <f t="shared" si="1"/>
        <v>0</v>
      </c>
    </row>
    <row r="2299" ht="15.75" customHeight="1">
      <c r="A2299" s="7" t="s">
        <v>4428</v>
      </c>
      <c r="B2299" s="4" t="s">
        <v>4429</v>
      </c>
      <c r="C2299" s="5" t="s">
        <v>16</v>
      </c>
      <c r="D2299" s="6" t="s">
        <v>4430</v>
      </c>
      <c r="E2299" s="6"/>
      <c r="F2299" s="6" t="b">
        <f t="shared" si="1"/>
        <v>0</v>
      </c>
    </row>
    <row r="2300" ht="15.75" customHeight="1">
      <c r="A2300" s="7" t="s">
        <v>4431</v>
      </c>
      <c r="B2300" s="4" t="s">
        <v>4432</v>
      </c>
      <c r="C2300" s="5" t="s">
        <v>16</v>
      </c>
      <c r="D2300" s="6" t="s">
        <v>4430</v>
      </c>
      <c r="E2300" s="6"/>
      <c r="F2300" s="6" t="b">
        <f t="shared" si="1"/>
        <v>0</v>
      </c>
    </row>
    <row r="2301" ht="15.75" customHeight="1">
      <c r="A2301" s="7" t="s">
        <v>4433</v>
      </c>
      <c r="B2301" s="4" t="s">
        <v>4434</v>
      </c>
      <c r="C2301" s="5" t="s">
        <v>16</v>
      </c>
      <c r="D2301" s="6" t="s">
        <v>4430</v>
      </c>
      <c r="E2301" s="6"/>
      <c r="F2301" s="6" t="b">
        <f t="shared" si="1"/>
        <v>0</v>
      </c>
    </row>
    <row r="2302" ht="15.75" customHeight="1">
      <c r="A2302" s="7" t="s">
        <v>4435</v>
      </c>
      <c r="B2302" s="4" t="s">
        <v>4436</v>
      </c>
      <c r="C2302" s="5" t="s">
        <v>16</v>
      </c>
      <c r="D2302" s="6" t="s">
        <v>4437</v>
      </c>
      <c r="E2302" s="6"/>
      <c r="F2302" s="6" t="b">
        <f t="shared" si="1"/>
        <v>0</v>
      </c>
    </row>
    <row r="2303" ht="15.75" customHeight="1">
      <c r="A2303" s="7" t="s">
        <v>4438</v>
      </c>
      <c r="B2303" s="4" t="s">
        <v>4439</v>
      </c>
      <c r="C2303" s="5" t="s">
        <v>16</v>
      </c>
      <c r="D2303" s="6" t="s">
        <v>4437</v>
      </c>
      <c r="E2303" s="6"/>
      <c r="F2303" s="6" t="b">
        <f t="shared" si="1"/>
        <v>0</v>
      </c>
    </row>
    <row r="2304" ht="15.75" customHeight="1">
      <c r="A2304" s="7" t="s">
        <v>4440</v>
      </c>
      <c r="B2304" s="4" t="s">
        <v>4441</v>
      </c>
      <c r="C2304" s="5" t="s">
        <v>16</v>
      </c>
      <c r="D2304" s="6" t="s">
        <v>4437</v>
      </c>
      <c r="E2304" s="6"/>
      <c r="F2304" s="6" t="b">
        <f t="shared" si="1"/>
        <v>0</v>
      </c>
    </row>
    <row r="2305" ht="15.75" customHeight="1">
      <c r="A2305" s="7" t="s">
        <v>4442</v>
      </c>
      <c r="B2305" s="4" t="s">
        <v>4443</v>
      </c>
      <c r="C2305" s="5" t="s">
        <v>16</v>
      </c>
      <c r="D2305" s="6" t="s">
        <v>4437</v>
      </c>
      <c r="E2305" s="6"/>
      <c r="F2305" s="6" t="b">
        <f t="shared" si="1"/>
        <v>0</v>
      </c>
    </row>
    <row r="2306" ht="15.75" customHeight="1">
      <c r="A2306" s="7" t="s">
        <v>4444</v>
      </c>
      <c r="B2306" s="4" t="s">
        <v>4445</v>
      </c>
      <c r="C2306" s="5" t="s">
        <v>16</v>
      </c>
      <c r="D2306" s="6" t="s">
        <v>4446</v>
      </c>
      <c r="E2306" s="6"/>
      <c r="F2306" s="6" t="b">
        <f t="shared" si="1"/>
        <v>0</v>
      </c>
    </row>
    <row r="2307" ht="15.75" customHeight="1">
      <c r="A2307" s="3" t="s">
        <v>4447</v>
      </c>
      <c r="B2307" s="4"/>
      <c r="C2307" s="5"/>
      <c r="D2307" s="5"/>
      <c r="E2307" s="6"/>
      <c r="F2307" s="6" t="b">
        <f t="shared" si="1"/>
        <v>0</v>
      </c>
    </row>
    <row r="2308" ht="15.75" customHeight="1">
      <c r="A2308" s="7" t="s">
        <v>4448</v>
      </c>
      <c r="B2308" s="4" t="s">
        <v>4449</v>
      </c>
      <c r="C2308" s="5" t="s">
        <v>16</v>
      </c>
      <c r="D2308" s="6" t="s">
        <v>702</v>
      </c>
      <c r="E2308" s="6"/>
      <c r="F2308" s="6" t="b">
        <f t="shared" si="1"/>
        <v>0</v>
      </c>
    </row>
    <row r="2309" ht="15.75" customHeight="1">
      <c r="A2309" s="3" t="s">
        <v>4450</v>
      </c>
      <c r="B2309" s="4"/>
      <c r="C2309" s="5"/>
      <c r="D2309" s="5"/>
      <c r="E2309" s="6"/>
      <c r="F2309" s="6" t="b">
        <f t="shared" si="1"/>
        <v>0</v>
      </c>
    </row>
    <row r="2310" ht="15.75" customHeight="1">
      <c r="A2310" s="3" t="s">
        <v>4451</v>
      </c>
      <c r="B2310" s="4"/>
      <c r="C2310" s="5"/>
      <c r="D2310" s="5"/>
      <c r="E2310" s="6"/>
      <c r="F2310" s="6" t="b">
        <f t="shared" si="1"/>
        <v>0</v>
      </c>
    </row>
    <row r="2311" ht="15.75" customHeight="1">
      <c r="A2311" s="3" t="s">
        <v>4452</v>
      </c>
      <c r="B2311" s="4"/>
      <c r="C2311" s="5"/>
      <c r="D2311" s="5"/>
      <c r="E2311" s="6"/>
      <c r="F2311" s="6" t="b">
        <f t="shared" si="1"/>
        <v>0</v>
      </c>
    </row>
    <row r="2312" ht="15.75" customHeight="1">
      <c r="A2312" s="7" t="s">
        <v>4453</v>
      </c>
      <c r="B2312" s="4" t="s">
        <v>4454</v>
      </c>
      <c r="C2312" s="5" t="s">
        <v>16</v>
      </c>
      <c r="D2312" s="6" t="s">
        <v>4455</v>
      </c>
      <c r="E2312" s="6"/>
      <c r="F2312" s="6" t="b">
        <f t="shared" si="1"/>
        <v>0</v>
      </c>
    </row>
    <row r="2313" ht="15.75" customHeight="1">
      <c r="A2313" s="7" t="s">
        <v>4456</v>
      </c>
      <c r="B2313" s="4" t="s">
        <v>4457</v>
      </c>
      <c r="C2313" s="5" t="s">
        <v>16</v>
      </c>
      <c r="D2313" s="6" t="s">
        <v>4455</v>
      </c>
      <c r="E2313" s="6"/>
      <c r="F2313" s="6" t="b">
        <f t="shared" si="1"/>
        <v>0</v>
      </c>
    </row>
    <row r="2314" ht="15.75" customHeight="1">
      <c r="A2314" s="7" t="s">
        <v>4458</v>
      </c>
      <c r="B2314" s="4" t="s">
        <v>4459</v>
      </c>
      <c r="C2314" s="5" t="s">
        <v>16</v>
      </c>
      <c r="D2314" s="6" t="s">
        <v>1531</v>
      </c>
      <c r="E2314" s="6"/>
      <c r="F2314" s="6" t="b">
        <f t="shared" si="1"/>
        <v>0</v>
      </c>
    </row>
    <row r="2315" ht="15.75" customHeight="1">
      <c r="A2315" s="7" t="s">
        <v>4460</v>
      </c>
      <c r="B2315" s="4" t="s">
        <v>4461</v>
      </c>
      <c r="C2315" s="5" t="s">
        <v>16</v>
      </c>
      <c r="D2315" s="6" t="s">
        <v>1531</v>
      </c>
      <c r="E2315" s="6"/>
      <c r="F2315" s="6" t="b">
        <f t="shared" si="1"/>
        <v>0</v>
      </c>
    </row>
    <row r="2316" ht="15.75" customHeight="1">
      <c r="A2316" s="7" t="s">
        <v>4462</v>
      </c>
      <c r="B2316" s="4" t="s">
        <v>4463</v>
      </c>
      <c r="C2316" s="5" t="s">
        <v>16</v>
      </c>
      <c r="D2316" s="6" t="s">
        <v>1531</v>
      </c>
      <c r="E2316" s="6"/>
      <c r="F2316" s="6" t="b">
        <f t="shared" si="1"/>
        <v>0</v>
      </c>
    </row>
    <row r="2317" ht="15.75" customHeight="1">
      <c r="A2317" s="3" t="s">
        <v>4464</v>
      </c>
      <c r="B2317" s="4"/>
      <c r="C2317" s="5"/>
      <c r="D2317" s="5"/>
      <c r="E2317" s="6"/>
      <c r="F2317" s="6" t="b">
        <f t="shared" si="1"/>
        <v>0</v>
      </c>
    </row>
    <row r="2318" ht="15.75" customHeight="1">
      <c r="A2318" s="7" t="s">
        <v>4465</v>
      </c>
      <c r="B2318" s="4" t="s">
        <v>4466</v>
      </c>
      <c r="C2318" s="5" t="s">
        <v>16</v>
      </c>
      <c r="D2318" s="6" t="s">
        <v>1531</v>
      </c>
      <c r="E2318" s="6"/>
      <c r="F2318" s="6" t="b">
        <f t="shared" si="1"/>
        <v>0</v>
      </c>
    </row>
    <row r="2319" ht="15.75" customHeight="1">
      <c r="A2319" s="7" t="s">
        <v>4467</v>
      </c>
      <c r="B2319" s="4" t="s">
        <v>4468</v>
      </c>
      <c r="C2319" s="5" t="s">
        <v>16</v>
      </c>
      <c r="D2319" s="6" t="s">
        <v>1531</v>
      </c>
      <c r="E2319" s="6"/>
      <c r="F2319" s="6" t="b">
        <f t="shared" si="1"/>
        <v>0</v>
      </c>
    </row>
    <row r="2320" ht="15.75" customHeight="1">
      <c r="A2320" s="7" t="s">
        <v>4469</v>
      </c>
      <c r="B2320" s="4" t="s">
        <v>4470</v>
      </c>
      <c r="C2320" s="5" t="s">
        <v>16</v>
      </c>
      <c r="D2320" s="6" t="s">
        <v>2001</v>
      </c>
      <c r="E2320" s="6"/>
      <c r="F2320" s="6" t="b">
        <f t="shared" si="1"/>
        <v>0</v>
      </c>
    </row>
    <row r="2321" ht="15.75" customHeight="1">
      <c r="A2321" s="7" t="s">
        <v>4471</v>
      </c>
      <c r="B2321" s="4" t="s">
        <v>4472</v>
      </c>
      <c r="C2321" s="5" t="s">
        <v>16</v>
      </c>
      <c r="D2321" s="6" t="s">
        <v>2001</v>
      </c>
      <c r="E2321" s="6"/>
      <c r="F2321" s="6" t="b">
        <f t="shared" si="1"/>
        <v>0</v>
      </c>
    </row>
    <row r="2322" ht="15.75" customHeight="1">
      <c r="A2322" s="7" t="s">
        <v>4473</v>
      </c>
      <c r="B2322" s="4" t="s">
        <v>4474</v>
      </c>
      <c r="C2322" s="5" t="s">
        <v>16</v>
      </c>
      <c r="D2322" s="6" t="s">
        <v>2001</v>
      </c>
      <c r="E2322" s="6"/>
      <c r="F2322" s="6" t="b">
        <f t="shared" si="1"/>
        <v>0</v>
      </c>
    </row>
    <row r="2323" ht="15.75" customHeight="1">
      <c r="A2323" s="7" t="s">
        <v>4475</v>
      </c>
      <c r="B2323" s="4" t="s">
        <v>4476</v>
      </c>
      <c r="C2323" s="5" t="s">
        <v>16</v>
      </c>
      <c r="D2323" s="6" t="s">
        <v>2001</v>
      </c>
      <c r="E2323" s="6"/>
      <c r="F2323" s="6" t="b">
        <f t="shared" si="1"/>
        <v>0</v>
      </c>
    </row>
    <row r="2324" ht="15.75" customHeight="1">
      <c r="A2324" s="7" t="s">
        <v>4477</v>
      </c>
      <c r="B2324" s="4" t="s">
        <v>4478</v>
      </c>
      <c r="C2324" s="5" t="s">
        <v>16</v>
      </c>
      <c r="D2324" s="6" t="s">
        <v>2001</v>
      </c>
      <c r="E2324" s="6"/>
      <c r="F2324" s="6" t="b">
        <f t="shared" si="1"/>
        <v>0</v>
      </c>
    </row>
    <row r="2325" ht="15.75" customHeight="1">
      <c r="A2325" s="7" t="s">
        <v>4479</v>
      </c>
      <c r="B2325" s="4" t="s">
        <v>4480</v>
      </c>
      <c r="C2325" s="5" t="s">
        <v>16</v>
      </c>
      <c r="D2325" s="6" t="s">
        <v>2001</v>
      </c>
      <c r="E2325" s="6"/>
      <c r="F2325" s="6" t="b">
        <f t="shared" si="1"/>
        <v>0</v>
      </c>
    </row>
    <row r="2326" ht="15.75" customHeight="1">
      <c r="A2326" s="7" t="s">
        <v>4481</v>
      </c>
      <c r="B2326" s="4" t="s">
        <v>4482</v>
      </c>
      <c r="C2326" s="5" t="s">
        <v>16</v>
      </c>
      <c r="D2326" s="6" t="s">
        <v>2001</v>
      </c>
      <c r="E2326" s="6"/>
      <c r="F2326" s="6" t="b">
        <f t="shared" si="1"/>
        <v>0</v>
      </c>
    </row>
    <row r="2327" ht="15.75" customHeight="1">
      <c r="A2327" s="7" t="s">
        <v>4483</v>
      </c>
      <c r="B2327" s="4" t="s">
        <v>4484</v>
      </c>
      <c r="C2327" s="5" t="s">
        <v>16</v>
      </c>
      <c r="D2327" s="6" t="s">
        <v>2001</v>
      </c>
      <c r="E2327" s="6"/>
      <c r="F2327" s="6" t="b">
        <f t="shared" si="1"/>
        <v>0</v>
      </c>
    </row>
    <row r="2328" ht="15.75" customHeight="1">
      <c r="A2328" s="7" t="s">
        <v>4485</v>
      </c>
      <c r="B2328" s="4" t="s">
        <v>4486</v>
      </c>
      <c r="C2328" s="5" t="s">
        <v>16</v>
      </c>
      <c r="D2328" s="6" t="s">
        <v>2001</v>
      </c>
      <c r="E2328" s="6"/>
      <c r="F2328" s="6" t="b">
        <f t="shared" si="1"/>
        <v>0</v>
      </c>
    </row>
    <row r="2329" ht="15.75" customHeight="1">
      <c r="A2329" s="3" t="s">
        <v>4487</v>
      </c>
      <c r="B2329" s="4"/>
      <c r="C2329" s="5"/>
      <c r="D2329" s="5"/>
      <c r="E2329" s="6"/>
      <c r="F2329" s="6" t="b">
        <f t="shared" si="1"/>
        <v>0</v>
      </c>
    </row>
    <row r="2330" ht="15.75" customHeight="1">
      <c r="A2330" s="7" t="s">
        <v>4488</v>
      </c>
      <c r="B2330" s="4" t="s">
        <v>4489</v>
      </c>
      <c r="C2330" s="5" t="s">
        <v>16</v>
      </c>
      <c r="D2330" s="6" t="s">
        <v>4490</v>
      </c>
      <c r="E2330" s="6"/>
      <c r="F2330" s="6" t="b">
        <f t="shared" si="1"/>
        <v>0</v>
      </c>
    </row>
    <row r="2331" ht="15.75" customHeight="1">
      <c r="A2331" s="3" t="s">
        <v>4491</v>
      </c>
      <c r="B2331" s="4"/>
      <c r="C2331" s="5"/>
      <c r="D2331" s="5"/>
      <c r="E2331" s="6"/>
      <c r="F2331" s="6" t="b">
        <f t="shared" si="1"/>
        <v>0</v>
      </c>
    </row>
    <row r="2332" ht="15.75" customHeight="1">
      <c r="A2332" s="7" t="s">
        <v>4492</v>
      </c>
      <c r="B2332" s="4" t="s">
        <v>4493</v>
      </c>
      <c r="C2332" s="5" t="s">
        <v>16</v>
      </c>
      <c r="D2332" s="6" t="s">
        <v>4494</v>
      </c>
      <c r="E2332" s="6"/>
      <c r="F2332" s="6" t="b">
        <f t="shared" si="1"/>
        <v>0</v>
      </c>
    </row>
    <row r="2333" ht="15.75" customHeight="1">
      <c r="A2333" s="7" t="s">
        <v>4495</v>
      </c>
      <c r="B2333" s="4" t="s">
        <v>4496</v>
      </c>
      <c r="C2333" s="5" t="s">
        <v>16</v>
      </c>
      <c r="D2333" s="6" t="s">
        <v>4497</v>
      </c>
      <c r="E2333" s="6"/>
      <c r="F2333" s="6" t="b">
        <f t="shared" si="1"/>
        <v>0</v>
      </c>
    </row>
    <row r="2334" ht="15.75" customHeight="1">
      <c r="A2334" s="7" t="s">
        <v>4498</v>
      </c>
      <c r="B2334" s="4" t="s">
        <v>4499</v>
      </c>
      <c r="C2334" s="5" t="s">
        <v>16</v>
      </c>
      <c r="D2334" s="6" t="s">
        <v>4500</v>
      </c>
      <c r="E2334" s="6"/>
      <c r="F2334" s="6" t="b">
        <f t="shared" si="1"/>
        <v>0</v>
      </c>
    </row>
    <row r="2335" ht="15.75" customHeight="1">
      <c r="A2335" s="7" t="s">
        <v>4501</v>
      </c>
      <c r="B2335" s="4" t="s">
        <v>4502</v>
      </c>
      <c r="C2335" s="5" t="s">
        <v>16</v>
      </c>
      <c r="D2335" s="6" t="s">
        <v>4500</v>
      </c>
      <c r="E2335" s="6"/>
      <c r="F2335" s="6" t="b">
        <f t="shared" si="1"/>
        <v>0</v>
      </c>
    </row>
    <row r="2336" ht="15.75" customHeight="1">
      <c r="A2336" s="7" t="s">
        <v>4503</v>
      </c>
      <c r="B2336" s="4" t="s">
        <v>4504</v>
      </c>
      <c r="C2336" s="5" t="s">
        <v>16</v>
      </c>
      <c r="D2336" s="6" t="s">
        <v>4500</v>
      </c>
      <c r="E2336" s="6"/>
      <c r="F2336" s="6" t="b">
        <f t="shared" si="1"/>
        <v>0</v>
      </c>
    </row>
    <row r="2337" ht="15.75" customHeight="1">
      <c r="A2337" s="7" t="s">
        <v>4505</v>
      </c>
      <c r="B2337" s="4" t="s">
        <v>4506</v>
      </c>
      <c r="C2337" s="5" t="s">
        <v>16</v>
      </c>
      <c r="D2337" s="6" t="s">
        <v>4507</v>
      </c>
      <c r="E2337" s="6"/>
      <c r="F2337" s="6" t="b">
        <f t="shared" si="1"/>
        <v>0</v>
      </c>
    </row>
    <row r="2338" ht="15.75" customHeight="1">
      <c r="A2338" s="3" t="s">
        <v>4508</v>
      </c>
      <c r="B2338" s="4"/>
      <c r="C2338" s="5"/>
      <c r="D2338" s="5"/>
      <c r="E2338" s="6"/>
      <c r="F2338" s="6" t="b">
        <f t="shared" si="1"/>
        <v>0</v>
      </c>
    </row>
    <row r="2339" ht="15.75" customHeight="1">
      <c r="A2339" s="3" t="s">
        <v>4509</v>
      </c>
      <c r="B2339" s="4"/>
      <c r="C2339" s="5"/>
      <c r="D2339" s="5"/>
      <c r="E2339" s="6"/>
      <c r="F2339" s="6" t="b">
        <f t="shared" si="1"/>
        <v>0</v>
      </c>
    </row>
    <row r="2340" ht="15.75" customHeight="1">
      <c r="A2340" s="7" t="s">
        <v>4510</v>
      </c>
      <c r="B2340" s="4" t="s">
        <v>4511</v>
      </c>
      <c r="C2340" s="5" t="s">
        <v>16</v>
      </c>
      <c r="D2340" s="6" t="s">
        <v>4512</v>
      </c>
      <c r="E2340" s="6"/>
      <c r="F2340" s="6" t="b">
        <f t="shared" si="1"/>
        <v>0</v>
      </c>
    </row>
    <row r="2341" ht="15.75" customHeight="1">
      <c r="A2341" s="3" t="s">
        <v>4513</v>
      </c>
      <c r="B2341" s="4"/>
      <c r="C2341" s="5"/>
      <c r="D2341" s="5"/>
      <c r="E2341" s="6"/>
      <c r="F2341" s="6" t="b">
        <f t="shared" si="1"/>
        <v>0</v>
      </c>
    </row>
    <row r="2342" ht="15.75" customHeight="1">
      <c r="A2342" s="7" t="s">
        <v>4514</v>
      </c>
      <c r="B2342" s="4" t="s">
        <v>4515</v>
      </c>
      <c r="C2342" s="5" t="s">
        <v>16</v>
      </c>
      <c r="D2342" s="6" t="s">
        <v>4516</v>
      </c>
      <c r="E2342" s="6"/>
      <c r="F2342" s="6" t="b">
        <f t="shared" si="1"/>
        <v>0</v>
      </c>
    </row>
    <row r="2343" ht="15.75" customHeight="1">
      <c r="A2343" s="7" t="s">
        <v>4517</v>
      </c>
      <c r="B2343" s="4" t="s">
        <v>4518</v>
      </c>
      <c r="C2343" s="5" t="s">
        <v>16</v>
      </c>
      <c r="D2343" s="6" t="s">
        <v>4519</v>
      </c>
      <c r="E2343" s="6"/>
      <c r="F2343" s="6" t="b">
        <f t="shared" si="1"/>
        <v>0</v>
      </c>
    </row>
    <row r="2344" ht="15.75" customHeight="1">
      <c r="A2344" s="7" t="s">
        <v>4520</v>
      </c>
      <c r="B2344" s="4" t="s">
        <v>4521</v>
      </c>
      <c r="C2344" s="5" t="s">
        <v>16</v>
      </c>
      <c r="D2344" s="6" t="s">
        <v>4522</v>
      </c>
      <c r="E2344" s="6"/>
      <c r="F2344" s="6" t="b">
        <f t="shared" si="1"/>
        <v>0</v>
      </c>
    </row>
    <row r="2345" ht="15.75" customHeight="1">
      <c r="A2345" s="7" t="s">
        <v>4523</v>
      </c>
      <c r="B2345" s="4" t="s">
        <v>4524</v>
      </c>
      <c r="C2345" s="5" t="s">
        <v>16</v>
      </c>
      <c r="D2345" s="6" t="s">
        <v>4522</v>
      </c>
      <c r="E2345" s="6"/>
      <c r="F2345" s="6" t="b">
        <f t="shared" si="1"/>
        <v>0</v>
      </c>
    </row>
    <row r="2346" ht="15.75" customHeight="1">
      <c r="A2346" s="3" t="s">
        <v>4525</v>
      </c>
      <c r="B2346" s="4"/>
      <c r="C2346" s="5"/>
      <c r="D2346" s="5"/>
      <c r="E2346" s="6"/>
      <c r="F2346" s="6" t="b">
        <f t="shared" si="1"/>
        <v>0</v>
      </c>
    </row>
    <row r="2347" ht="15.75" customHeight="1">
      <c r="A2347" s="7" t="s">
        <v>4526</v>
      </c>
      <c r="B2347" s="4" t="s">
        <v>4527</v>
      </c>
      <c r="C2347" s="5" t="s">
        <v>16</v>
      </c>
      <c r="D2347" s="6" t="s">
        <v>914</v>
      </c>
      <c r="E2347" s="6"/>
      <c r="F2347" s="6" t="b">
        <f t="shared" si="1"/>
        <v>0</v>
      </c>
    </row>
    <row r="2348" ht="15.75" customHeight="1">
      <c r="A2348" s="7" t="s">
        <v>4528</v>
      </c>
      <c r="B2348" s="4" t="s">
        <v>4529</v>
      </c>
      <c r="C2348" s="5" t="s">
        <v>16</v>
      </c>
      <c r="D2348" s="6" t="s">
        <v>4530</v>
      </c>
      <c r="E2348" s="6"/>
      <c r="F2348" s="6" t="b">
        <f t="shared" si="1"/>
        <v>0</v>
      </c>
    </row>
    <row r="2349" ht="15.75" customHeight="1">
      <c r="A2349" s="7" t="s">
        <v>4531</v>
      </c>
      <c r="B2349" s="4" t="s">
        <v>4532</v>
      </c>
      <c r="C2349" s="5" t="s">
        <v>16</v>
      </c>
      <c r="D2349" s="6" t="s">
        <v>4533</v>
      </c>
      <c r="E2349" s="6"/>
      <c r="F2349" s="6" t="b">
        <f t="shared" si="1"/>
        <v>0</v>
      </c>
    </row>
    <row r="2350" ht="15.75" customHeight="1">
      <c r="A2350" s="7" t="s">
        <v>4534</v>
      </c>
      <c r="B2350" s="4" t="s">
        <v>4535</v>
      </c>
      <c r="C2350" s="5" t="s">
        <v>16</v>
      </c>
      <c r="D2350" s="6" t="s">
        <v>4533</v>
      </c>
      <c r="E2350" s="6"/>
      <c r="F2350" s="6" t="b">
        <f t="shared" si="1"/>
        <v>0</v>
      </c>
    </row>
    <row r="2351" ht="15.75" customHeight="1">
      <c r="A2351" s="7" t="s">
        <v>4536</v>
      </c>
      <c r="B2351" s="4" t="s">
        <v>4537</v>
      </c>
      <c r="C2351" s="5" t="s">
        <v>16</v>
      </c>
      <c r="D2351" s="6" t="s">
        <v>4533</v>
      </c>
      <c r="E2351" s="6"/>
      <c r="F2351" s="6" t="b">
        <f t="shared" si="1"/>
        <v>0</v>
      </c>
    </row>
    <row r="2352" ht="15.75" customHeight="1">
      <c r="A2352" s="7" t="s">
        <v>4538</v>
      </c>
      <c r="B2352" s="4" t="s">
        <v>4539</v>
      </c>
      <c r="C2352" s="5" t="s">
        <v>16</v>
      </c>
      <c r="D2352" s="6" t="s">
        <v>4533</v>
      </c>
      <c r="E2352" s="6"/>
      <c r="F2352" s="6" t="b">
        <f t="shared" si="1"/>
        <v>0</v>
      </c>
    </row>
    <row r="2353" ht="15.75" customHeight="1">
      <c r="A2353" s="7" t="s">
        <v>4540</v>
      </c>
      <c r="B2353" s="4" t="s">
        <v>4541</v>
      </c>
      <c r="C2353" s="5" t="s">
        <v>16</v>
      </c>
      <c r="D2353" s="6" t="s">
        <v>4542</v>
      </c>
      <c r="E2353" s="6"/>
      <c r="F2353" s="6" t="b">
        <f t="shared" si="1"/>
        <v>0</v>
      </c>
    </row>
    <row r="2354" ht="15.75" customHeight="1">
      <c r="A2354" s="7" t="s">
        <v>4543</v>
      </c>
      <c r="B2354" s="9" t="s">
        <v>4544</v>
      </c>
      <c r="C2354" s="5" t="s">
        <v>16</v>
      </c>
      <c r="D2354" s="6" t="s">
        <v>4545</v>
      </c>
      <c r="E2354" s="6"/>
      <c r="F2354" s="6" t="b">
        <f t="shared" si="1"/>
        <v>0</v>
      </c>
    </row>
    <row r="2355" ht="15.75" customHeight="1">
      <c r="A2355" s="7" t="s">
        <v>4546</v>
      </c>
      <c r="B2355" s="4" t="s">
        <v>4547</v>
      </c>
      <c r="C2355" s="5" t="s">
        <v>16</v>
      </c>
      <c r="D2355" s="6" t="s">
        <v>4548</v>
      </c>
      <c r="E2355" s="6"/>
      <c r="F2355" s="6" t="b">
        <f t="shared" si="1"/>
        <v>0</v>
      </c>
    </row>
    <row r="2356" ht="15.75" customHeight="1">
      <c r="A2356" s="7" t="s">
        <v>4549</v>
      </c>
      <c r="B2356" s="4" t="s">
        <v>4550</v>
      </c>
      <c r="C2356" s="5" t="s">
        <v>16</v>
      </c>
      <c r="D2356" s="6" t="s">
        <v>4548</v>
      </c>
      <c r="E2356" s="6"/>
      <c r="F2356" s="6" t="b">
        <f t="shared" si="1"/>
        <v>0</v>
      </c>
    </row>
    <row r="2357" ht="15.75" customHeight="1">
      <c r="A2357" s="7" t="s">
        <v>4551</v>
      </c>
      <c r="B2357" s="4" t="s">
        <v>4552</v>
      </c>
      <c r="C2357" s="5" t="s">
        <v>16</v>
      </c>
      <c r="D2357" s="6" t="s">
        <v>4553</v>
      </c>
      <c r="E2357" s="6"/>
      <c r="F2357" s="6" t="b">
        <f t="shared" si="1"/>
        <v>0</v>
      </c>
    </row>
    <row r="2358" ht="15.75" customHeight="1">
      <c r="A2358" s="3" t="s">
        <v>4554</v>
      </c>
      <c r="B2358" s="4"/>
      <c r="C2358" s="5"/>
      <c r="D2358" s="5"/>
      <c r="E2358" s="6"/>
      <c r="F2358" s="6" t="b">
        <f t="shared" si="1"/>
        <v>0</v>
      </c>
    </row>
    <row r="2359" ht="15.75" customHeight="1">
      <c r="A2359" s="7" t="s">
        <v>4555</v>
      </c>
      <c r="B2359" s="4" t="s">
        <v>4556</v>
      </c>
      <c r="C2359" s="5" t="s">
        <v>16</v>
      </c>
      <c r="D2359" s="6" t="s">
        <v>1233</v>
      </c>
      <c r="E2359" s="6"/>
      <c r="F2359" s="6" t="b">
        <f t="shared" si="1"/>
        <v>0</v>
      </c>
    </row>
    <row r="2360" ht="15.75" customHeight="1">
      <c r="A2360" s="7" t="s">
        <v>4557</v>
      </c>
      <c r="B2360" s="4" t="s">
        <v>4558</v>
      </c>
      <c r="C2360" s="5" t="s">
        <v>16</v>
      </c>
      <c r="D2360" s="6" t="s">
        <v>1233</v>
      </c>
      <c r="E2360" s="6"/>
      <c r="F2360" s="6" t="b">
        <f t="shared" si="1"/>
        <v>0</v>
      </c>
    </row>
    <row r="2361" ht="15.75" customHeight="1">
      <c r="A2361" s="3" t="s">
        <v>4559</v>
      </c>
      <c r="B2361" s="4"/>
      <c r="C2361" s="5"/>
      <c r="D2361" s="5"/>
      <c r="E2361" s="6"/>
      <c r="F2361" s="6" t="b">
        <f t="shared" si="1"/>
        <v>0</v>
      </c>
    </row>
    <row r="2362" ht="15.75" customHeight="1">
      <c r="A2362" s="3" t="s">
        <v>4560</v>
      </c>
      <c r="B2362" s="4"/>
      <c r="C2362" s="5"/>
      <c r="D2362" s="5"/>
      <c r="E2362" s="6"/>
      <c r="F2362" s="6" t="b">
        <f t="shared" si="1"/>
        <v>0</v>
      </c>
    </row>
    <row r="2363" ht="15.75" customHeight="1">
      <c r="A2363" s="7" t="s">
        <v>4561</v>
      </c>
      <c r="B2363" s="4" t="s">
        <v>4562</v>
      </c>
      <c r="C2363" s="5" t="s">
        <v>16</v>
      </c>
      <c r="D2363" s="6" t="s">
        <v>4563</v>
      </c>
      <c r="E2363" s="6"/>
      <c r="F2363" s="6" t="b">
        <f t="shared" si="1"/>
        <v>0</v>
      </c>
    </row>
    <row r="2364" ht="15.75" customHeight="1">
      <c r="A2364" s="7" t="s">
        <v>4564</v>
      </c>
      <c r="B2364" s="4" t="s">
        <v>4565</v>
      </c>
      <c r="C2364" s="5" t="s">
        <v>16</v>
      </c>
      <c r="D2364" s="6" t="s">
        <v>4563</v>
      </c>
      <c r="E2364" s="6"/>
      <c r="F2364" s="6" t="b">
        <f t="shared" si="1"/>
        <v>0</v>
      </c>
    </row>
    <row r="2365" ht="15.75" customHeight="1">
      <c r="A2365" s="7" t="s">
        <v>4566</v>
      </c>
      <c r="B2365" s="4" t="s">
        <v>4567</v>
      </c>
      <c r="C2365" s="5" t="s">
        <v>16</v>
      </c>
      <c r="D2365" s="6" t="s">
        <v>4563</v>
      </c>
      <c r="E2365" s="6"/>
      <c r="F2365" s="6" t="b">
        <f t="shared" si="1"/>
        <v>0</v>
      </c>
    </row>
    <row r="2366" ht="15.75" customHeight="1">
      <c r="A2366" s="7" t="s">
        <v>4568</v>
      </c>
      <c r="B2366" s="4" t="s">
        <v>4569</v>
      </c>
      <c r="C2366" s="5" t="s">
        <v>16</v>
      </c>
      <c r="D2366" s="6" t="s">
        <v>4563</v>
      </c>
      <c r="E2366" s="6"/>
      <c r="F2366" s="6" t="b">
        <f t="shared" si="1"/>
        <v>0</v>
      </c>
    </row>
    <row r="2367" ht="15.75" customHeight="1">
      <c r="A2367" s="7" t="s">
        <v>4570</v>
      </c>
      <c r="B2367" s="4" t="s">
        <v>4571</v>
      </c>
      <c r="C2367" s="5" t="s">
        <v>16</v>
      </c>
      <c r="D2367" s="6" t="s">
        <v>4572</v>
      </c>
      <c r="E2367" s="6"/>
      <c r="F2367" s="6" t="b">
        <f t="shared" si="1"/>
        <v>0</v>
      </c>
    </row>
    <row r="2368" ht="15.75" customHeight="1">
      <c r="A2368" s="7" t="s">
        <v>4573</v>
      </c>
      <c r="B2368" s="4" t="s">
        <v>4574</v>
      </c>
      <c r="C2368" s="5" t="s">
        <v>16</v>
      </c>
      <c r="D2368" s="6" t="s">
        <v>4572</v>
      </c>
      <c r="E2368" s="6"/>
      <c r="F2368" s="6" t="b">
        <f t="shared" si="1"/>
        <v>0</v>
      </c>
    </row>
    <row r="2369" ht="15.75" customHeight="1">
      <c r="A2369" s="3" t="s">
        <v>4575</v>
      </c>
      <c r="B2369" s="4"/>
      <c r="C2369" s="5"/>
      <c r="D2369" s="5"/>
      <c r="E2369" s="6"/>
      <c r="F2369" s="6" t="b">
        <f t="shared" si="1"/>
        <v>0</v>
      </c>
    </row>
    <row r="2370" ht="15.75" customHeight="1">
      <c r="A2370" s="3" t="s">
        <v>4576</v>
      </c>
      <c r="B2370" s="4"/>
      <c r="C2370" s="5"/>
      <c r="D2370" s="5"/>
      <c r="E2370" s="6"/>
      <c r="F2370" s="6" t="b">
        <f t="shared" si="1"/>
        <v>0</v>
      </c>
    </row>
    <row r="2371" ht="15.75" customHeight="1">
      <c r="A2371" s="7" t="s">
        <v>4577</v>
      </c>
      <c r="B2371" s="4" t="s">
        <v>4578</v>
      </c>
      <c r="C2371" s="5" t="s">
        <v>16</v>
      </c>
      <c r="D2371" s="6" t="s">
        <v>4579</v>
      </c>
      <c r="E2371" s="6"/>
      <c r="F2371" s="6" t="b">
        <f t="shared" si="1"/>
        <v>0</v>
      </c>
    </row>
    <row r="2372" ht="15.75" customHeight="1">
      <c r="A2372" s="7" t="s">
        <v>4580</v>
      </c>
      <c r="B2372" s="4" t="s">
        <v>4581</v>
      </c>
      <c r="C2372" s="5" t="s">
        <v>16</v>
      </c>
      <c r="D2372" s="6" t="s">
        <v>4582</v>
      </c>
      <c r="E2372" s="6"/>
      <c r="F2372" s="6" t="b">
        <f t="shared" si="1"/>
        <v>0</v>
      </c>
    </row>
    <row r="2373" ht="15.75" customHeight="1">
      <c r="A2373" s="7" t="s">
        <v>4583</v>
      </c>
      <c r="B2373" s="4" t="s">
        <v>4584</v>
      </c>
      <c r="C2373" s="5" t="s">
        <v>16</v>
      </c>
      <c r="D2373" s="6" t="s">
        <v>4585</v>
      </c>
      <c r="E2373" s="6"/>
      <c r="F2373" s="6" t="b">
        <f t="shared" si="1"/>
        <v>0</v>
      </c>
    </row>
    <row r="2374" ht="15.75" customHeight="1">
      <c r="A2374" s="7" t="s">
        <v>4586</v>
      </c>
      <c r="B2374" s="4" t="s">
        <v>4587</v>
      </c>
      <c r="C2374" s="5" t="s">
        <v>16</v>
      </c>
      <c r="D2374" s="6" t="s">
        <v>4588</v>
      </c>
      <c r="E2374" s="6"/>
      <c r="F2374" s="6" t="b">
        <f t="shared" si="1"/>
        <v>0</v>
      </c>
    </row>
    <row r="2375" ht="15.75" customHeight="1">
      <c r="A2375" s="7" t="s">
        <v>4589</v>
      </c>
      <c r="B2375" s="4" t="s">
        <v>4590</v>
      </c>
      <c r="C2375" s="5" t="s">
        <v>16</v>
      </c>
      <c r="D2375" s="6" t="s">
        <v>4591</v>
      </c>
      <c r="E2375" s="6"/>
      <c r="F2375" s="6" t="b">
        <f t="shared" si="1"/>
        <v>0</v>
      </c>
    </row>
    <row r="2376" ht="15.75" customHeight="1">
      <c r="A2376" s="7" t="s">
        <v>4592</v>
      </c>
      <c r="B2376" s="4" t="s">
        <v>4593</v>
      </c>
      <c r="C2376" s="5" t="s">
        <v>16</v>
      </c>
      <c r="D2376" s="6" t="s">
        <v>4591</v>
      </c>
      <c r="E2376" s="6"/>
      <c r="F2376" s="6" t="b">
        <f t="shared" si="1"/>
        <v>0</v>
      </c>
    </row>
    <row r="2377" ht="15.75" customHeight="1">
      <c r="A2377" s="7" t="s">
        <v>4594</v>
      </c>
      <c r="B2377" s="4" t="s">
        <v>4595</v>
      </c>
      <c r="C2377" s="5" t="s">
        <v>16</v>
      </c>
      <c r="D2377" s="6" t="s">
        <v>4596</v>
      </c>
      <c r="E2377" s="6"/>
      <c r="F2377" s="6" t="b">
        <f t="shared" si="1"/>
        <v>0</v>
      </c>
    </row>
    <row r="2378" ht="15.75" customHeight="1">
      <c r="A2378" s="3" t="s">
        <v>4597</v>
      </c>
      <c r="B2378" s="4"/>
      <c r="C2378" s="5"/>
      <c r="D2378" s="5"/>
      <c r="E2378" s="6"/>
      <c r="F2378" s="6" t="b">
        <f t="shared" si="1"/>
        <v>0</v>
      </c>
    </row>
    <row r="2379" ht="15.75" customHeight="1">
      <c r="A2379" s="3" t="s">
        <v>4598</v>
      </c>
      <c r="B2379" s="4"/>
      <c r="C2379" s="5"/>
      <c r="D2379" s="5"/>
      <c r="E2379" s="6"/>
      <c r="F2379" s="6" t="b">
        <f t="shared" si="1"/>
        <v>0</v>
      </c>
    </row>
    <row r="2380" ht="15.75" customHeight="1">
      <c r="A2380" s="7" t="s">
        <v>4599</v>
      </c>
      <c r="B2380" s="4" t="s">
        <v>4600</v>
      </c>
      <c r="C2380" s="5" t="s">
        <v>16</v>
      </c>
      <c r="D2380" s="6" t="s">
        <v>4601</v>
      </c>
      <c r="E2380" s="6"/>
      <c r="F2380" s="6" t="b">
        <f t="shared" si="1"/>
        <v>0</v>
      </c>
    </row>
    <row r="2381" ht="15.75" customHeight="1">
      <c r="A2381" s="7" t="s">
        <v>4602</v>
      </c>
      <c r="B2381" s="4" t="s">
        <v>4603</v>
      </c>
      <c r="C2381" s="5" t="s">
        <v>16</v>
      </c>
      <c r="D2381" s="6" t="s">
        <v>4601</v>
      </c>
      <c r="E2381" s="6"/>
      <c r="F2381" s="6" t="b">
        <f t="shared" si="1"/>
        <v>0</v>
      </c>
    </row>
    <row r="2382" ht="15.75" customHeight="1">
      <c r="A2382" s="7" t="s">
        <v>4604</v>
      </c>
      <c r="B2382" s="4" t="s">
        <v>4605</v>
      </c>
      <c r="C2382" s="5" t="s">
        <v>16</v>
      </c>
      <c r="D2382" s="6" t="s">
        <v>4606</v>
      </c>
      <c r="E2382" s="6"/>
      <c r="F2382" s="6" t="b">
        <f t="shared" si="1"/>
        <v>0</v>
      </c>
    </row>
    <row r="2383" ht="15.75" customHeight="1">
      <c r="A2383" s="7" t="s">
        <v>4607</v>
      </c>
      <c r="B2383" s="4" t="s">
        <v>4608</v>
      </c>
      <c r="C2383" s="5" t="s">
        <v>16</v>
      </c>
      <c r="D2383" s="6" t="s">
        <v>4606</v>
      </c>
      <c r="E2383" s="6"/>
      <c r="F2383" s="6" t="b">
        <f t="shared" si="1"/>
        <v>0</v>
      </c>
    </row>
    <row r="2384" ht="15.75" customHeight="1">
      <c r="A2384" s="7" t="s">
        <v>4609</v>
      </c>
      <c r="B2384" s="4" t="s">
        <v>4610</v>
      </c>
      <c r="C2384" s="5" t="s">
        <v>16</v>
      </c>
      <c r="D2384" s="6" t="s">
        <v>4606</v>
      </c>
      <c r="E2384" s="6"/>
      <c r="F2384" s="6" t="b">
        <f t="shared" si="1"/>
        <v>0</v>
      </c>
    </row>
    <row r="2385" ht="15.75" customHeight="1">
      <c r="A2385" s="7" t="s">
        <v>4611</v>
      </c>
      <c r="B2385" s="4" t="s">
        <v>4612</v>
      </c>
      <c r="C2385" s="5" t="s">
        <v>16</v>
      </c>
      <c r="D2385" s="6" t="s">
        <v>4613</v>
      </c>
      <c r="E2385" s="6"/>
      <c r="F2385" s="6" t="b">
        <f t="shared" si="1"/>
        <v>0</v>
      </c>
    </row>
    <row r="2386" ht="15.75" customHeight="1">
      <c r="A2386" s="7" t="s">
        <v>4614</v>
      </c>
      <c r="B2386" s="4" t="s">
        <v>4615</v>
      </c>
      <c r="C2386" s="5" t="s">
        <v>16</v>
      </c>
      <c r="D2386" s="6" t="s">
        <v>4613</v>
      </c>
      <c r="E2386" s="6"/>
      <c r="F2386" s="6" t="b">
        <f t="shared" si="1"/>
        <v>0</v>
      </c>
    </row>
    <row r="2387" ht="15.75" customHeight="1">
      <c r="A2387" s="7" t="s">
        <v>4616</v>
      </c>
      <c r="B2387" s="4" t="s">
        <v>4617</v>
      </c>
      <c r="C2387" s="5" t="s">
        <v>16</v>
      </c>
      <c r="D2387" s="6" t="s">
        <v>4618</v>
      </c>
      <c r="E2387" s="6"/>
      <c r="F2387" s="6" t="b">
        <f t="shared" si="1"/>
        <v>0</v>
      </c>
    </row>
    <row r="2388" ht="15.75" customHeight="1">
      <c r="A2388" s="3" t="s">
        <v>4619</v>
      </c>
      <c r="B2388" s="4"/>
      <c r="C2388" s="5"/>
      <c r="D2388" s="5"/>
      <c r="E2388" s="6"/>
      <c r="F2388" s="6" t="b">
        <f t="shared" si="1"/>
        <v>0</v>
      </c>
    </row>
    <row r="2389" ht="15.75" customHeight="1">
      <c r="A2389" s="3" t="s">
        <v>4620</v>
      </c>
      <c r="B2389" s="4"/>
      <c r="C2389" s="5"/>
      <c r="D2389" s="5"/>
      <c r="E2389" s="6"/>
      <c r="F2389" s="6" t="b">
        <f t="shared" si="1"/>
        <v>0</v>
      </c>
    </row>
    <row r="2390" ht="15.75" customHeight="1">
      <c r="A2390" s="3" t="s">
        <v>4621</v>
      </c>
      <c r="B2390" s="4"/>
      <c r="C2390" s="5"/>
      <c r="D2390" s="5"/>
      <c r="E2390" s="6"/>
      <c r="F2390" s="6" t="b">
        <f t="shared" si="1"/>
        <v>0</v>
      </c>
    </row>
    <row r="2391" ht="15.75" customHeight="1">
      <c r="A2391" s="3" t="s">
        <v>4622</v>
      </c>
      <c r="B2391" s="4"/>
      <c r="C2391" s="5"/>
      <c r="D2391" s="5"/>
      <c r="E2391" s="6"/>
      <c r="F2391" s="6" t="b">
        <f t="shared" si="1"/>
        <v>0</v>
      </c>
    </row>
    <row r="2392" ht="15.75" customHeight="1">
      <c r="A2392" s="7" t="s">
        <v>4623</v>
      </c>
      <c r="B2392" s="4" t="s">
        <v>4624</v>
      </c>
      <c r="C2392" s="5" t="s">
        <v>16</v>
      </c>
      <c r="D2392" s="6" t="s">
        <v>4625</v>
      </c>
      <c r="E2392" s="6"/>
      <c r="F2392" s="6" t="b">
        <f t="shared" si="1"/>
        <v>0</v>
      </c>
    </row>
    <row r="2393" ht="15.75" customHeight="1">
      <c r="A2393" s="7" t="s">
        <v>4626</v>
      </c>
      <c r="B2393" s="4" t="s">
        <v>4627</v>
      </c>
      <c r="C2393" s="5" t="s">
        <v>16</v>
      </c>
      <c r="D2393" s="6" t="s">
        <v>4628</v>
      </c>
      <c r="E2393" s="6"/>
      <c r="F2393" s="6" t="b">
        <f t="shared" si="1"/>
        <v>0</v>
      </c>
    </row>
    <row r="2394" ht="15.75" customHeight="1">
      <c r="A2394" s="7" t="s">
        <v>4629</v>
      </c>
      <c r="B2394" s="4" t="s">
        <v>4630</v>
      </c>
      <c r="C2394" s="5" t="s">
        <v>16</v>
      </c>
      <c r="D2394" s="6" t="s">
        <v>4628</v>
      </c>
      <c r="E2394" s="6"/>
      <c r="F2394" s="6" t="b">
        <f t="shared" si="1"/>
        <v>0</v>
      </c>
    </row>
    <row r="2395" ht="15.75" customHeight="1">
      <c r="A2395" s="3" t="s">
        <v>4631</v>
      </c>
      <c r="B2395" s="4"/>
      <c r="C2395" s="5"/>
      <c r="D2395" s="5"/>
      <c r="E2395" s="6"/>
      <c r="F2395" s="6" t="b">
        <f t="shared" si="1"/>
        <v>0</v>
      </c>
    </row>
    <row r="2396" ht="15.75" customHeight="1">
      <c r="A2396" s="7" t="s">
        <v>4632</v>
      </c>
      <c r="B2396" s="4" t="s">
        <v>4633</v>
      </c>
      <c r="C2396" s="5" t="s">
        <v>16</v>
      </c>
      <c r="D2396" s="6" t="s">
        <v>4634</v>
      </c>
      <c r="E2396" s="6"/>
      <c r="F2396" s="6" t="b">
        <f t="shared" si="1"/>
        <v>0</v>
      </c>
    </row>
    <row r="2397" ht="15.75" customHeight="1">
      <c r="A2397" s="7" t="s">
        <v>4635</v>
      </c>
      <c r="B2397" s="4" t="s">
        <v>4636</v>
      </c>
      <c r="C2397" s="5" t="s">
        <v>16</v>
      </c>
      <c r="D2397" s="6" t="s">
        <v>4637</v>
      </c>
      <c r="E2397" s="6"/>
      <c r="F2397" s="6" t="b">
        <f t="shared" si="1"/>
        <v>0</v>
      </c>
    </row>
    <row r="2398" ht="15.75" customHeight="1">
      <c r="A2398" s="3" t="s">
        <v>4638</v>
      </c>
      <c r="B2398" s="4"/>
      <c r="C2398" s="5"/>
      <c r="D2398" s="5"/>
      <c r="E2398" s="6"/>
      <c r="F2398" s="6" t="b">
        <f t="shared" si="1"/>
        <v>0</v>
      </c>
    </row>
    <row r="2399" ht="15.75" customHeight="1">
      <c r="A2399" s="7" t="s">
        <v>4639</v>
      </c>
      <c r="B2399" s="4" t="s">
        <v>4640</v>
      </c>
      <c r="C2399" s="5" t="s">
        <v>16</v>
      </c>
      <c r="D2399" s="6" t="s">
        <v>4641</v>
      </c>
      <c r="E2399" s="6"/>
      <c r="F2399" s="6" t="b">
        <f t="shared" si="1"/>
        <v>0</v>
      </c>
    </row>
    <row r="2400" ht="15.75" customHeight="1">
      <c r="A2400" s="3" t="s">
        <v>4642</v>
      </c>
      <c r="B2400" s="4"/>
      <c r="C2400" s="5"/>
      <c r="D2400" s="5"/>
      <c r="E2400" s="6"/>
      <c r="F2400" s="6" t="b">
        <f t="shared" si="1"/>
        <v>0</v>
      </c>
    </row>
    <row r="2401" ht="15.75" customHeight="1">
      <c r="A2401" s="7" t="s">
        <v>4643</v>
      </c>
      <c r="B2401" s="4" t="s">
        <v>4644</v>
      </c>
      <c r="C2401" s="5" t="s">
        <v>16</v>
      </c>
      <c r="D2401" s="6" t="s">
        <v>4645</v>
      </c>
      <c r="E2401" s="6"/>
      <c r="F2401" s="6" t="b">
        <f t="shared" si="1"/>
        <v>0</v>
      </c>
    </row>
    <row r="2402" ht="15.75" customHeight="1">
      <c r="A2402" s="7" t="s">
        <v>4646</v>
      </c>
      <c r="B2402" s="4" t="s">
        <v>4647</v>
      </c>
      <c r="C2402" s="5" t="s">
        <v>16</v>
      </c>
      <c r="D2402" s="6" t="s">
        <v>4648</v>
      </c>
      <c r="E2402" s="6"/>
      <c r="F2402" s="6" t="b">
        <f t="shared" si="1"/>
        <v>0</v>
      </c>
    </row>
    <row r="2403" ht="15.75" customHeight="1">
      <c r="A2403" s="7" t="s">
        <v>4649</v>
      </c>
      <c r="B2403" s="4" t="s">
        <v>4650</v>
      </c>
      <c r="C2403" s="5" t="s">
        <v>16</v>
      </c>
      <c r="D2403" s="6" t="s">
        <v>4648</v>
      </c>
      <c r="E2403" s="6"/>
      <c r="F2403" s="6" t="b">
        <f t="shared" si="1"/>
        <v>0</v>
      </c>
    </row>
    <row r="2404" ht="15.75" customHeight="1">
      <c r="A2404" s="7" t="s">
        <v>4651</v>
      </c>
      <c r="B2404" s="4" t="s">
        <v>4652</v>
      </c>
      <c r="C2404" s="5" t="s">
        <v>16</v>
      </c>
      <c r="D2404" s="6" t="s">
        <v>4648</v>
      </c>
      <c r="E2404" s="6"/>
      <c r="F2404" s="6" t="b">
        <f t="shared" si="1"/>
        <v>0</v>
      </c>
    </row>
    <row r="2405" ht="15.75" customHeight="1">
      <c r="A2405" s="3" t="s">
        <v>4653</v>
      </c>
      <c r="B2405" s="4"/>
      <c r="C2405" s="5"/>
      <c r="D2405" s="5"/>
      <c r="E2405" s="6"/>
      <c r="F2405" s="6" t="b">
        <f t="shared" si="1"/>
        <v>0</v>
      </c>
    </row>
    <row r="2406" ht="15.75" customHeight="1">
      <c r="A2406" s="7" t="s">
        <v>4654</v>
      </c>
      <c r="B2406" s="4" t="s">
        <v>4655</v>
      </c>
      <c r="C2406" s="5" t="s">
        <v>16</v>
      </c>
      <c r="D2406" s="6" t="s">
        <v>4656</v>
      </c>
      <c r="E2406" s="6"/>
      <c r="F2406" s="6" t="b">
        <f t="shared" si="1"/>
        <v>0</v>
      </c>
    </row>
    <row r="2407" ht="15.75" customHeight="1">
      <c r="A2407" s="7" t="s">
        <v>4657</v>
      </c>
      <c r="B2407" s="4" t="s">
        <v>4658</v>
      </c>
      <c r="C2407" s="5" t="s">
        <v>16</v>
      </c>
      <c r="D2407" s="6" t="s">
        <v>4659</v>
      </c>
      <c r="E2407" s="6"/>
      <c r="F2407" s="6" t="b">
        <f t="shared" si="1"/>
        <v>0</v>
      </c>
    </row>
    <row r="2408" ht="15.75" customHeight="1">
      <c r="A2408" s="7" t="s">
        <v>4660</v>
      </c>
      <c r="B2408" s="4" t="s">
        <v>4661</v>
      </c>
      <c r="C2408" s="5" t="s">
        <v>16</v>
      </c>
      <c r="D2408" s="6" t="s">
        <v>4662</v>
      </c>
      <c r="E2408" s="6"/>
      <c r="F2408" s="6" t="b">
        <f t="shared" si="1"/>
        <v>0</v>
      </c>
    </row>
    <row r="2409" ht="15.75" customHeight="1">
      <c r="A2409" s="7" t="s">
        <v>4663</v>
      </c>
      <c r="B2409" s="4" t="s">
        <v>4664</v>
      </c>
      <c r="C2409" s="5" t="s">
        <v>16</v>
      </c>
      <c r="D2409" s="6" t="s">
        <v>2434</v>
      </c>
      <c r="E2409" s="6"/>
      <c r="F2409" s="6" t="b">
        <f t="shared" si="1"/>
        <v>0</v>
      </c>
    </row>
    <row r="2410" ht="15.75" customHeight="1">
      <c r="A2410" s="3" t="s">
        <v>4665</v>
      </c>
      <c r="B2410" s="4"/>
      <c r="C2410" s="5"/>
      <c r="D2410" s="5"/>
      <c r="E2410" s="6"/>
      <c r="F2410" s="6" t="b">
        <f t="shared" si="1"/>
        <v>0</v>
      </c>
    </row>
    <row r="2411" ht="15.75" customHeight="1">
      <c r="A2411" s="3" t="s">
        <v>4666</v>
      </c>
      <c r="B2411" s="4"/>
      <c r="C2411" s="5"/>
      <c r="D2411" s="5"/>
      <c r="E2411" s="6"/>
      <c r="F2411" s="6" t="b">
        <f t="shared" si="1"/>
        <v>0</v>
      </c>
    </row>
    <row r="2412" ht="15.75" customHeight="1">
      <c r="A2412" s="7" t="s">
        <v>4667</v>
      </c>
      <c r="B2412" s="4" t="s">
        <v>4668</v>
      </c>
      <c r="C2412" s="5" t="s">
        <v>16</v>
      </c>
      <c r="D2412" s="6" t="s">
        <v>4669</v>
      </c>
      <c r="E2412" s="6"/>
      <c r="F2412" s="6" t="b">
        <f t="shared" si="1"/>
        <v>0</v>
      </c>
    </row>
    <row r="2413" ht="15.75" customHeight="1">
      <c r="A2413" s="7" t="s">
        <v>4670</v>
      </c>
      <c r="B2413" s="4" t="s">
        <v>4671</v>
      </c>
      <c r="C2413" s="5" t="s">
        <v>16</v>
      </c>
      <c r="D2413" s="6" t="s">
        <v>4669</v>
      </c>
      <c r="E2413" s="6"/>
      <c r="F2413" s="6" t="b">
        <f t="shared" si="1"/>
        <v>0</v>
      </c>
    </row>
    <row r="2414" ht="15.75" customHeight="1">
      <c r="A2414" s="7" t="s">
        <v>4672</v>
      </c>
      <c r="B2414" s="4" t="s">
        <v>4673</v>
      </c>
      <c r="C2414" s="5" t="s">
        <v>16</v>
      </c>
      <c r="D2414" s="6" t="s">
        <v>4669</v>
      </c>
      <c r="E2414" s="6"/>
      <c r="F2414" s="6" t="b">
        <f t="shared" si="1"/>
        <v>0</v>
      </c>
    </row>
    <row r="2415" ht="15.75" customHeight="1">
      <c r="A2415" s="7" t="s">
        <v>4674</v>
      </c>
      <c r="B2415" s="4" t="s">
        <v>4675</v>
      </c>
      <c r="C2415" s="5" t="s">
        <v>16</v>
      </c>
      <c r="D2415" s="6" t="s">
        <v>4669</v>
      </c>
      <c r="E2415" s="6"/>
      <c r="F2415" s="6" t="b">
        <f t="shared" si="1"/>
        <v>0</v>
      </c>
    </row>
    <row r="2416" ht="15.75" customHeight="1">
      <c r="A2416" s="7" t="s">
        <v>4676</v>
      </c>
      <c r="B2416" s="4" t="s">
        <v>4677</v>
      </c>
      <c r="C2416" s="5" t="s">
        <v>16</v>
      </c>
      <c r="D2416" s="6" t="s">
        <v>4669</v>
      </c>
      <c r="E2416" s="6"/>
      <c r="F2416" s="6" t="b">
        <f t="shared" si="1"/>
        <v>0</v>
      </c>
    </row>
    <row r="2417" ht="15.75" customHeight="1">
      <c r="A2417" s="7" t="s">
        <v>4678</v>
      </c>
      <c r="B2417" s="4" t="s">
        <v>4679</v>
      </c>
      <c r="C2417" s="5" t="s">
        <v>16</v>
      </c>
      <c r="D2417" s="6" t="s">
        <v>4669</v>
      </c>
      <c r="E2417" s="6"/>
      <c r="F2417" s="6" t="b">
        <f t="shared" si="1"/>
        <v>0</v>
      </c>
    </row>
    <row r="2418" ht="15.75" customHeight="1">
      <c r="A2418" s="7" t="s">
        <v>4680</v>
      </c>
      <c r="B2418" s="4" t="s">
        <v>4681</v>
      </c>
      <c r="C2418" s="5" t="s">
        <v>16</v>
      </c>
      <c r="D2418" s="6" t="s">
        <v>4669</v>
      </c>
      <c r="E2418" s="6"/>
      <c r="F2418" s="6" t="b">
        <f t="shared" si="1"/>
        <v>0</v>
      </c>
    </row>
    <row r="2419" ht="15.75" customHeight="1">
      <c r="A2419" s="3" t="s">
        <v>4682</v>
      </c>
      <c r="B2419" s="4"/>
      <c r="C2419" s="5"/>
      <c r="D2419" s="5"/>
      <c r="E2419" s="6"/>
      <c r="F2419" s="6" t="b">
        <f t="shared" si="1"/>
        <v>0</v>
      </c>
    </row>
    <row r="2420" ht="15.75" customHeight="1">
      <c r="A2420" s="7" t="s">
        <v>4683</v>
      </c>
      <c r="B2420" s="4" t="s">
        <v>4684</v>
      </c>
      <c r="C2420" s="5" t="s">
        <v>16</v>
      </c>
      <c r="D2420" s="6" t="s">
        <v>4669</v>
      </c>
      <c r="E2420" s="6"/>
      <c r="F2420" s="6" t="b">
        <f t="shared" si="1"/>
        <v>0</v>
      </c>
    </row>
    <row r="2421" ht="15.75" customHeight="1">
      <c r="A2421" s="3" t="s">
        <v>4685</v>
      </c>
      <c r="B2421" s="4"/>
      <c r="C2421" s="5"/>
      <c r="D2421" s="5"/>
      <c r="E2421" s="6"/>
      <c r="F2421" s="6" t="b">
        <f t="shared" si="1"/>
        <v>0</v>
      </c>
    </row>
    <row r="2422" ht="15.75" customHeight="1">
      <c r="A2422" s="7" t="s">
        <v>4686</v>
      </c>
      <c r="B2422" s="4" t="s">
        <v>4687</v>
      </c>
      <c r="C2422" s="5" t="s">
        <v>16</v>
      </c>
      <c r="D2422" s="6" t="s">
        <v>4688</v>
      </c>
      <c r="E2422" s="6"/>
      <c r="F2422" s="6" t="b">
        <f t="shared" si="1"/>
        <v>0</v>
      </c>
    </row>
    <row r="2423" ht="15.75" customHeight="1">
      <c r="A2423" s="3" t="s">
        <v>4689</v>
      </c>
      <c r="B2423" s="4"/>
      <c r="C2423" s="5"/>
      <c r="D2423" s="5"/>
      <c r="E2423" s="6"/>
      <c r="F2423" s="6" t="b">
        <f t="shared" si="1"/>
        <v>0</v>
      </c>
    </row>
    <row r="2424" ht="15.75" customHeight="1">
      <c r="A2424" s="3" t="s">
        <v>4690</v>
      </c>
      <c r="B2424" s="4"/>
      <c r="C2424" s="5"/>
      <c r="D2424" s="5"/>
      <c r="E2424" s="6"/>
      <c r="F2424" s="6" t="b">
        <f t="shared" si="1"/>
        <v>0</v>
      </c>
    </row>
    <row r="2425" ht="15.75" customHeight="1">
      <c r="A2425" s="3" t="s">
        <v>4691</v>
      </c>
      <c r="B2425" s="4"/>
      <c r="C2425" s="5"/>
      <c r="D2425" s="5"/>
      <c r="E2425" s="6"/>
      <c r="F2425" s="6" t="b">
        <f t="shared" si="1"/>
        <v>0</v>
      </c>
    </row>
    <row r="2426" ht="15.75" customHeight="1">
      <c r="A2426" s="7" t="s">
        <v>4692</v>
      </c>
      <c r="B2426" s="4" t="s">
        <v>4693</v>
      </c>
      <c r="C2426" s="5" t="s">
        <v>16</v>
      </c>
      <c r="D2426" s="6" t="s">
        <v>1199</v>
      </c>
      <c r="E2426" s="6"/>
      <c r="F2426" s="6" t="b">
        <f t="shared" si="1"/>
        <v>0</v>
      </c>
    </row>
    <row r="2427" ht="15.75" customHeight="1">
      <c r="A2427" s="7" t="s">
        <v>4694</v>
      </c>
      <c r="B2427" s="4" t="s">
        <v>4695</v>
      </c>
      <c r="C2427" s="5" t="s">
        <v>16</v>
      </c>
      <c r="D2427" s="6" t="s">
        <v>1199</v>
      </c>
      <c r="E2427" s="6"/>
      <c r="F2427" s="6" t="b">
        <f t="shared" si="1"/>
        <v>0</v>
      </c>
    </row>
    <row r="2428" ht="15.75" customHeight="1">
      <c r="A2428" s="7" t="s">
        <v>4696</v>
      </c>
      <c r="B2428" s="4" t="s">
        <v>4697</v>
      </c>
      <c r="C2428" s="5" t="s">
        <v>16</v>
      </c>
      <c r="D2428" s="6" t="s">
        <v>1199</v>
      </c>
      <c r="E2428" s="6"/>
      <c r="F2428" s="6" t="b">
        <f t="shared" si="1"/>
        <v>0</v>
      </c>
    </row>
    <row r="2429" ht="15.75" customHeight="1">
      <c r="A2429" s="3" t="s">
        <v>4698</v>
      </c>
      <c r="B2429" s="4"/>
      <c r="C2429" s="5"/>
      <c r="D2429" s="5"/>
      <c r="E2429" s="6"/>
      <c r="F2429" s="6" t="b">
        <f t="shared" si="1"/>
        <v>0</v>
      </c>
    </row>
    <row r="2430" ht="15.75" customHeight="1">
      <c r="A2430" s="7" t="s">
        <v>4699</v>
      </c>
      <c r="B2430" s="4" t="s">
        <v>4700</v>
      </c>
      <c r="C2430" s="5" t="s">
        <v>16</v>
      </c>
      <c r="D2430" s="6" t="s">
        <v>1199</v>
      </c>
      <c r="E2430" s="6"/>
      <c r="F2430" s="6" t="b">
        <f t="shared" si="1"/>
        <v>0</v>
      </c>
    </row>
    <row r="2431" ht="15.75" customHeight="1">
      <c r="A2431" s="3" t="s">
        <v>4701</v>
      </c>
      <c r="B2431" s="4"/>
      <c r="C2431" s="5"/>
      <c r="D2431" s="5"/>
      <c r="E2431" s="6"/>
      <c r="F2431" s="6" t="b">
        <f t="shared" si="1"/>
        <v>0</v>
      </c>
    </row>
    <row r="2432" ht="15.75" customHeight="1">
      <c r="A2432" s="7" t="s">
        <v>4702</v>
      </c>
      <c r="B2432" s="4" t="s">
        <v>4703</v>
      </c>
      <c r="C2432" s="5" t="s">
        <v>16</v>
      </c>
      <c r="D2432" s="6" t="s">
        <v>1199</v>
      </c>
      <c r="E2432" s="6"/>
      <c r="F2432" s="6" t="b">
        <f t="shared" si="1"/>
        <v>0</v>
      </c>
    </row>
    <row r="2433" ht="15.75" customHeight="1">
      <c r="A2433" s="7" t="s">
        <v>4704</v>
      </c>
      <c r="B2433" s="4" t="s">
        <v>4705</v>
      </c>
      <c r="C2433" s="5" t="s">
        <v>16</v>
      </c>
      <c r="D2433" s="6" t="s">
        <v>1400</v>
      </c>
      <c r="E2433" s="6"/>
      <c r="F2433" s="6" t="b">
        <f t="shared" si="1"/>
        <v>0</v>
      </c>
    </row>
    <row r="2434" ht="15.75" customHeight="1">
      <c r="A2434" s="7" t="s">
        <v>4706</v>
      </c>
      <c r="B2434" s="4" t="s">
        <v>4707</v>
      </c>
      <c r="C2434" s="5" t="s">
        <v>16</v>
      </c>
      <c r="D2434" s="6" t="s">
        <v>1400</v>
      </c>
      <c r="E2434" s="6"/>
      <c r="F2434" s="6" t="b">
        <f t="shared" si="1"/>
        <v>0</v>
      </c>
    </row>
    <row r="2435" ht="15.75" customHeight="1">
      <c r="A2435" s="7" t="s">
        <v>4708</v>
      </c>
      <c r="B2435" s="4" t="s">
        <v>4709</v>
      </c>
      <c r="C2435" s="5" t="s">
        <v>16</v>
      </c>
      <c r="D2435" s="6" t="s">
        <v>1400</v>
      </c>
      <c r="E2435" s="6"/>
      <c r="F2435" s="6" t="b">
        <f t="shared" si="1"/>
        <v>0</v>
      </c>
    </row>
    <row r="2436" ht="15.75" customHeight="1">
      <c r="A2436" s="7" t="s">
        <v>4710</v>
      </c>
      <c r="B2436" s="4" t="s">
        <v>4711</v>
      </c>
      <c r="C2436" s="5" t="s">
        <v>16</v>
      </c>
      <c r="D2436" s="6" t="s">
        <v>1400</v>
      </c>
      <c r="E2436" s="6"/>
      <c r="F2436" s="6" t="b">
        <f t="shared" si="1"/>
        <v>0</v>
      </c>
    </row>
    <row r="2437" ht="15.75" customHeight="1">
      <c r="A2437" s="7" t="s">
        <v>4712</v>
      </c>
      <c r="B2437" s="4" t="s">
        <v>4713</v>
      </c>
      <c r="C2437" s="5" t="s">
        <v>16</v>
      </c>
      <c r="D2437" s="6" t="s">
        <v>1400</v>
      </c>
      <c r="E2437" s="6"/>
      <c r="F2437" s="6" t="b">
        <f t="shared" si="1"/>
        <v>0</v>
      </c>
    </row>
    <row r="2438" ht="15.75" customHeight="1">
      <c r="A2438" s="7" t="s">
        <v>4714</v>
      </c>
      <c r="B2438" s="4" t="s">
        <v>4715</v>
      </c>
      <c r="C2438" s="5" t="s">
        <v>16</v>
      </c>
      <c r="D2438" s="6" t="s">
        <v>1400</v>
      </c>
      <c r="E2438" s="6"/>
      <c r="F2438" s="6" t="b">
        <f t="shared" si="1"/>
        <v>0</v>
      </c>
    </row>
    <row r="2439" ht="15.75" customHeight="1">
      <c r="A2439" s="7" t="s">
        <v>4716</v>
      </c>
      <c r="B2439" s="4" t="s">
        <v>4717</v>
      </c>
      <c r="C2439" s="5" t="s">
        <v>16</v>
      </c>
      <c r="D2439" s="6" t="s">
        <v>1761</v>
      </c>
      <c r="E2439" s="6"/>
      <c r="F2439" s="6" t="b">
        <f t="shared" si="1"/>
        <v>0</v>
      </c>
    </row>
    <row r="2440" ht="15.75" customHeight="1">
      <c r="A2440" s="7" t="s">
        <v>4718</v>
      </c>
      <c r="B2440" s="4" t="s">
        <v>4719</v>
      </c>
      <c r="C2440" s="5" t="s">
        <v>16</v>
      </c>
      <c r="D2440" s="6" t="s">
        <v>1761</v>
      </c>
      <c r="E2440" s="6"/>
      <c r="F2440" s="6" t="b">
        <f t="shared" si="1"/>
        <v>0</v>
      </c>
    </row>
    <row r="2441" ht="15.75" customHeight="1">
      <c r="A2441" s="7" t="s">
        <v>4720</v>
      </c>
      <c r="B2441" s="4" t="s">
        <v>4721</v>
      </c>
      <c r="C2441" s="5" t="s">
        <v>16</v>
      </c>
      <c r="D2441" s="6" t="s">
        <v>1761</v>
      </c>
      <c r="E2441" s="6"/>
      <c r="F2441" s="6" t="b">
        <f t="shared" si="1"/>
        <v>0</v>
      </c>
    </row>
    <row r="2442" ht="15.75" customHeight="1">
      <c r="A2442" s="7" t="s">
        <v>4722</v>
      </c>
      <c r="B2442" s="4" t="s">
        <v>4723</v>
      </c>
      <c r="C2442" s="5" t="s">
        <v>16</v>
      </c>
      <c r="D2442" s="6" t="s">
        <v>1761</v>
      </c>
      <c r="E2442" s="6"/>
      <c r="F2442" s="6" t="b">
        <f t="shared" si="1"/>
        <v>0</v>
      </c>
    </row>
    <row r="2443" ht="15.75" customHeight="1">
      <c r="A2443" s="7" t="s">
        <v>4724</v>
      </c>
      <c r="B2443" s="4" t="s">
        <v>4725</v>
      </c>
      <c r="C2443" s="5" t="s">
        <v>16</v>
      </c>
      <c r="D2443" s="6" t="s">
        <v>1761</v>
      </c>
      <c r="E2443" s="6"/>
      <c r="F2443" s="6" t="b">
        <f t="shared" si="1"/>
        <v>0</v>
      </c>
    </row>
    <row r="2444" ht="15.75" customHeight="1">
      <c r="A2444" s="7" t="s">
        <v>4726</v>
      </c>
      <c r="B2444" s="4" t="s">
        <v>4727</v>
      </c>
      <c r="C2444" s="5" t="s">
        <v>16</v>
      </c>
      <c r="D2444" s="6" t="s">
        <v>1761</v>
      </c>
      <c r="E2444" s="6"/>
      <c r="F2444" s="6" t="b">
        <f t="shared" si="1"/>
        <v>0</v>
      </c>
    </row>
    <row r="2445" ht="15.75" customHeight="1">
      <c r="A2445" s="7" t="s">
        <v>4728</v>
      </c>
      <c r="B2445" s="4" t="s">
        <v>4729</v>
      </c>
      <c r="C2445" s="5" t="s">
        <v>16</v>
      </c>
      <c r="D2445" s="6" t="s">
        <v>1761</v>
      </c>
      <c r="E2445" s="6"/>
      <c r="F2445" s="6" t="b">
        <f t="shared" si="1"/>
        <v>0</v>
      </c>
    </row>
    <row r="2446" ht="15.75" customHeight="1">
      <c r="A2446" s="7" t="s">
        <v>4730</v>
      </c>
      <c r="B2446" s="4" t="s">
        <v>4731</v>
      </c>
      <c r="C2446" s="5" t="s">
        <v>16</v>
      </c>
      <c r="D2446" s="6" t="s">
        <v>1761</v>
      </c>
      <c r="E2446" s="6"/>
      <c r="F2446" s="6" t="b">
        <f t="shared" si="1"/>
        <v>0</v>
      </c>
    </row>
    <row r="2447" ht="15.75" customHeight="1">
      <c r="A2447" s="7" t="s">
        <v>4732</v>
      </c>
      <c r="B2447" s="4" t="s">
        <v>4733</v>
      </c>
      <c r="C2447" s="5" t="s">
        <v>16</v>
      </c>
      <c r="D2447" s="6" t="s">
        <v>1761</v>
      </c>
      <c r="E2447" s="6"/>
      <c r="F2447" s="6" t="b">
        <f t="shared" si="1"/>
        <v>0</v>
      </c>
    </row>
    <row r="2448" ht="15.75" customHeight="1">
      <c r="A2448" s="7" t="s">
        <v>4734</v>
      </c>
      <c r="B2448" s="4" t="s">
        <v>4735</v>
      </c>
      <c r="C2448" s="5" t="s">
        <v>16</v>
      </c>
      <c r="D2448" s="6" t="s">
        <v>1761</v>
      </c>
      <c r="E2448" s="6"/>
      <c r="F2448" s="6" t="b">
        <f t="shared" si="1"/>
        <v>0</v>
      </c>
    </row>
    <row r="2449" ht="15.75" customHeight="1">
      <c r="A2449" s="7" t="s">
        <v>4736</v>
      </c>
      <c r="B2449" s="4" t="s">
        <v>4737</v>
      </c>
      <c r="C2449" s="5" t="s">
        <v>16</v>
      </c>
      <c r="D2449" s="6" t="s">
        <v>1761</v>
      </c>
      <c r="E2449" s="6"/>
      <c r="F2449" s="6" t="b">
        <f t="shared" si="1"/>
        <v>0</v>
      </c>
    </row>
    <row r="2450" ht="15.75" customHeight="1">
      <c r="A2450" s="3" t="s">
        <v>4738</v>
      </c>
      <c r="B2450" s="4"/>
      <c r="C2450" s="5"/>
      <c r="D2450" s="5"/>
      <c r="E2450" s="6"/>
      <c r="F2450" s="6" t="b">
        <f t="shared" si="1"/>
        <v>0</v>
      </c>
    </row>
    <row r="2451" ht="15.75" customHeight="1">
      <c r="A2451" s="7" t="s">
        <v>4739</v>
      </c>
      <c r="B2451" s="4" t="s">
        <v>4740</v>
      </c>
      <c r="C2451" s="5" t="s">
        <v>16</v>
      </c>
      <c r="D2451" s="6" t="s">
        <v>4741</v>
      </c>
      <c r="E2451" s="6"/>
      <c r="F2451" s="6" t="b">
        <f t="shared" si="1"/>
        <v>0</v>
      </c>
    </row>
    <row r="2452" ht="15.75" customHeight="1">
      <c r="A2452" s="7" t="s">
        <v>4742</v>
      </c>
      <c r="B2452" s="4" t="s">
        <v>4743</v>
      </c>
      <c r="C2452" s="5" t="s">
        <v>16</v>
      </c>
      <c r="D2452" s="6" t="s">
        <v>4744</v>
      </c>
      <c r="E2452" s="6"/>
      <c r="F2452" s="6" t="b">
        <f t="shared" si="1"/>
        <v>0</v>
      </c>
    </row>
    <row r="2453" ht="15.75" customHeight="1">
      <c r="A2453" s="7" t="s">
        <v>4745</v>
      </c>
      <c r="B2453" s="4" t="s">
        <v>4746</v>
      </c>
      <c r="C2453" s="5" t="s">
        <v>16</v>
      </c>
      <c r="D2453" s="6" t="s">
        <v>1276</v>
      </c>
      <c r="E2453" s="6"/>
      <c r="F2453" s="6" t="b">
        <f t="shared" si="1"/>
        <v>0</v>
      </c>
    </row>
    <row r="2454" ht="15.75" customHeight="1">
      <c r="A2454" s="3" t="s">
        <v>4747</v>
      </c>
      <c r="B2454" s="4"/>
      <c r="C2454" s="5"/>
      <c r="D2454" s="5"/>
      <c r="E2454" s="6"/>
      <c r="F2454" s="6" t="b">
        <f t="shared" si="1"/>
        <v>0</v>
      </c>
    </row>
    <row r="2455" ht="16.5" customHeight="1">
      <c r="A2455" s="7" t="s">
        <v>4748</v>
      </c>
      <c r="B2455" s="4" t="s">
        <v>4749</v>
      </c>
      <c r="C2455" s="5" t="s">
        <v>16</v>
      </c>
      <c r="D2455" s="6" t="s">
        <v>1276</v>
      </c>
      <c r="E2455" s="6"/>
      <c r="F2455" s="6" t="b">
        <f t="shared" si="1"/>
        <v>0</v>
      </c>
    </row>
    <row r="2456" ht="16.5" customHeight="1">
      <c r="A2456" s="3" t="s">
        <v>4750</v>
      </c>
      <c r="B2456" s="4"/>
      <c r="C2456" s="5"/>
      <c r="D2456" s="5"/>
      <c r="E2456" s="6"/>
      <c r="F2456" s="6" t="b">
        <f t="shared" si="1"/>
        <v>0</v>
      </c>
    </row>
    <row r="2457" ht="16.5" customHeight="1">
      <c r="A2457" s="7" t="s">
        <v>4751</v>
      </c>
      <c r="B2457" s="4" t="s">
        <v>4752</v>
      </c>
      <c r="C2457" s="5" t="s">
        <v>16</v>
      </c>
      <c r="D2457" s="6" t="s">
        <v>4753</v>
      </c>
      <c r="E2457" s="6"/>
      <c r="F2457" s="6" t="b">
        <f t="shared" si="1"/>
        <v>0</v>
      </c>
    </row>
    <row r="2458" ht="15.75" customHeight="1">
      <c r="A2458" s="7" t="s">
        <v>4754</v>
      </c>
      <c r="B2458" s="4" t="s">
        <v>4755</v>
      </c>
      <c r="C2458" s="5" t="s">
        <v>16</v>
      </c>
      <c r="D2458" s="6" t="s">
        <v>4756</v>
      </c>
      <c r="E2458" s="6"/>
      <c r="F2458" s="6" t="b">
        <f t="shared" si="1"/>
        <v>0</v>
      </c>
    </row>
    <row r="2459" ht="15.75" customHeight="1">
      <c r="A2459" s="7" t="s">
        <v>4757</v>
      </c>
      <c r="B2459" s="4" t="s">
        <v>4758</v>
      </c>
      <c r="C2459" s="5" t="s">
        <v>16</v>
      </c>
      <c r="D2459" s="6" t="s">
        <v>4759</v>
      </c>
      <c r="E2459" s="6"/>
      <c r="F2459" s="6" t="b">
        <f t="shared" si="1"/>
        <v>0</v>
      </c>
    </row>
    <row r="2460" ht="15.75" customHeight="1">
      <c r="A2460" s="7" t="s">
        <v>4760</v>
      </c>
      <c r="B2460" s="4" t="s">
        <v>4761</v>
      </c>
      <c r="C2460" s="5" t="s">
        <v>16</v>
      </c>
      <c r="D2460" s="6" t="s">
        <v>4759</v>
      </c>
      <c r="E2460" s="6"/>
      <c r="F2460" s="6" t="b">
        <f t="shared" si="1"/>
        <v>0</v>
      </c>
    </row>
    <row r="2461" ht="15.75" customHeight="1">
      <c r="A2461" s="7" t="s">
        <v>4762</v>
      </c>
      <c r="B2461" s="4" t="s">
        <v>4763</v>
      </c>
      <c r="C2461" s="5" t="s">
        <v>16</v>
      </c>
      <c r="D2461" s="6" t="s">
        <v>4764</v>
      </c>
      <c r="E2461" s="6"/>
      <c r="F2461" s="6" t="b">
        <f t="shared" si="1"/>
        <v>0</v>
      </c>
    </row>
    <row r="2462" ht="15.75" customHeight="1">
      <c r="A2462" s="7" t="s">
        <v>4765</v>
      </c>
      <c r="B2462" s="4" t="s">
        <v>4766</v>
      </c>
      <c r="C2462" s="5" t="s">
        <v>16</v>
      </c>
      <c r="D2462" s="6" t="s">
        <v>4764</v>
      </c>
      <c r="E2462" s="6"/>
      <c r="F2462" s="6" t="b">
        <f t="shared" si="1"/>
        <v>0</v>
      </c>
    </row>
    <row r="2463" ht="15.75" customHeight="1">
      <c r="A2463" s="7" t="s">
        <v>4767</v>
      </c>
      <c r="B2463" s="4" t="s">
        <v>4768</v>
      </c>
      <c r="C2463" s="5" t="s">
        <v>6</v>
      </c>
      <c r="D2463" s="6" t="s">
        <v>4769</v>
      </c>
      <c r="E2463" s="6"/>
      <c r="F2463" s="6" t="b">
        <f t="shared" si="1"/>
        <v>0</v>
      </c>
    </row>
    <row r="2464" ht="15.75" customHeight="1">
      <c r="A2464" s="3" t="s">
        <v>4770</v>
      </c>
      <c r="B2464" s="4"/>
      <c r="C2464" s="5"/>
      <c r="D2464" s="5"/>
      <c r="E2464" s="6"/>
      <c r="F2464" s="6" t="b">
        <f t="shared" si="1"/>
        <v>0</v>
      </c>
    </row>
    <row r="2465" ht="15.75" customHeight="1">
      <c r="A2465" s="3" t="s">
        <v>4771</v>
      </c>
      <c r="B2465" s="4"/>
      <c r="C2465" s="5"/>
      <c r="D2465" s="5"/>
      <c r="E2465" s="6"/>
      <c r="F2465" s="6" t="b">
        <f t="shared" si="1"/>
        <v>0</v>
      </c>
    </row>
    <row r="2466" ht="15.75" customHeight="1">
      <c r="A2466" s="3" t="s">
        <v>4772</v>
      </c>
      <c r="B2466" s="4"/>
      <c r="C2466" s="5"/>
      <c r="D2466" s="5"/>
      <c r="E2466" s="6"/>
      <c r="F2466" s="6" t="b">
        <f t="shared" si="1"/>
        <v>0</v>
      </c>
    </row>
    <row r="2467" ht="15.75" customHeight="1">
      <c r="A2467" s="7" t="s">
        <v>4773</v>
      </c>
      <c r="B2467" s="4" t="s">
        <v>4774</v>
      </c>
      <c r="C2467" s="5" t="s">
        <v>6</v>
      </c>
      <c r="D2467" s="6" t="s">
        <v>4775</v>
      </c>
      <c r="E2467" s="6"/>
      <c r="F2467" s="6" t="b">
        <f t="shared" si="1"/>
        <v>0</v>
      </c>
    </row>
    <row r="2468" ht="15.75" customHeight="1">
      <c r="A2468" s="7" t="s">
        <v>4776</v>
      </c>
      <c r="B2468" s="4" t="s">
        <v>4777</v>
      </c>
      <c r="C2468" s="5" t="s">
        <v>16</v>
      </c>
      <c r="D2468" s="6" t="s">
        <v>4778</v>
      </c>
      <c r="E2468" s="6"/>
      <c r="F2468" s="6" t="b">
        <f t="shared" si="1"/>
        <v>0</v>
      </c>
    </row>
    <row r="2469" ht="15.75" customHeight="1">
      <c r="A2469" s="7" t="s">
        <v>4779</v>
      </c>
      <c r="B2469" s="4" t="s">
        <v>4780</v>
      </c>
      <c r="C2469" s="5" t="s">
        <v>16</v>
      </c>
      <c r="D2469" s="6" t="s">
        <v>4781</v>
      </c>
      <c r="E2469" s="6"/>
      <c r="F2469" s="6" t="b">
        <f t="shared" si="1"/>
        <v>0</v>
      </c>
    </row>
    <row r="2470" ht="15.75" customHeight="1">
      <c r="A2470" s="3" t="s">
        <v>4782</v>
      </c>
      <c r="B2470" s="4"/>
      <c r="C2470" s="5"/>
      <c r="D2470" s="5"/>
      <c r="E2470" s="6"/>
      <c r="F2470" s="6" t="b">
        <f t="shared" si="1"/>
        <v>0</v>
      </c>
    </row>
    <row r="2471" ht="15.75" customHeight="1">
      <c r="A2471" s="3" t="s">
        <v>4783</v>
      </c>
      <c r="B2471" s="4"/>
      <c r="C2471" s="5"/>
      <c r="D2471" s="5"/>
      <c r="E2471" s="6"/>
      <c r="F2471" s="6" t="b">
        <f t="shared" si="1"/>
        <v>0</v>
      </c>
    </row>
    <row r="2472" ht="15.75" customHeight="1">
      <c r="A2472" s="7" t="s">
        <v>4784</v>
      </c>
      <c r="B2472" s="4" t="s">
        <v>4785</v>
      </c>
      <c r="C2472" s="5" t="s">
        <v>16</v>
      </c>
      <c r="D2472" s="6" t="s">
        <v>4786</v>
      </c>
      <c r="E2472" s="6"/>
      <c r="F2472" s="6" t="b">
        <f t="shared" si="1"/>
        <v>0</v>
      </c>
    </row>
    <row r="2473" ht="15.75" customHeight="1">
      <c r="A2473" s="7" t="s">
        <v>4787</v>
      </c>
      <c r="B2473" s="4" t="s">
        <v>4788</v>
      </c>
      <c r="C2473" s="5" t="s">
        <v>16</v>
      </c>
      <c r="D2473" s="6" t="s">
        <v>4789</v>
      </c>
      <c r="E2473" s="6"/>
      <c r="F2473" s="6" t="b">
        <f t="shared" si="1"/>
        <v>0</v>
      </c>
    </row>
    <row r="2474" ht="15.75" customHeight="1">
      <c r="A2474" s="7" t="s">
        <v>4790</v>
      </c>
      <c r="B2474" s="4" t="s">
        <v>4791</v>
      </c>
      <c r="C2474" s="5" t="s">
        <v>16</v>
      </c>
      <c r="D2474" s="6" t="s">
        <v>4789</v>
      </c>
      <c r="E2474" s="6"/>
      <c r="F2474" s="6" t="b">
        <f t="shared" si="1"/>
        <v>0</v>
      </c>
    </row>
    <row r="2475" ht="15.75" customHeight="1">
      <c r="A2475" s="7" t="s">
        <v>4792</v>
      </c>
      <c r="B2475" s="4" t="s">
        <v>4793</v>
      </c>
      <c r="C2475" s="5" t="s">
        <v>16</v>
      </c>
      <c r="D2475" s="6" t="s">
        <v>4794</v>
      </c>
      <c r="E2475" s="6"/>
      <c r="F2475" s="6" t="b">
        <f t="shared" si="1"/>
        <v>0</v>
      </c>
    </row>
    <row r="2476" ht="15.75" customHeight="1">
      <c r="A2476" s="7" t="s">
        <v>4795</v>
      </c>
      <c r="B2476" s="4" t="s">
        <v>4796</v>
      </c>
      <c r="C2476" s="5" t="s">
        <v>16</v>
      </c>
      <c r="D2476" s="6" t="s">
        <v>4797</v>
      </c>
      <c r="E2476" s="6"/>
      <c r="F2476" s="6" t="b">
        <f t="shared" si="1"/>
        <v>0</v>
      </c>
    </row>
    <row r="2477" ht="15.75" customHeight="1">
      <c r="A2477" s="3" t="s">
        <v>4798</v>
      </c>
      <c r="B2477" s="4"/>
      <c r="C2477" s="5"/>
      <c r="D2477" s="5"/>
      <c r="E2477" s="6"/>
      <c r="F2477" s="6" t="b">
        <f t="shared" si="1"/>
        <v>0</v>
      </c>
    </row>
    <row r="2478" ht="15.75" customHeight="1">
      <c r="A2478" s="3" t="s">
        <v>4799</v>
      </c>
      <c r="B2478" s="4"/>
      <c r="C2478" s="5"/>
      <c r="D2478" s="5"/>
      <c r="E2478" s="6"/>
      <c r="F2478" s="6" t="b">
        <f t="shared" si="1"/>
        <v>0</v>
      </c>
    </row>
    <row r="2479" ht="15.75" customHeight="1">
      <c r="A2479" s="3" t="s">
        <v>4800</v>
      </c>
      <c r="B2479" s="4"/>
      <c r="C2479" s="5"/>
      <c r="D2479" s="5"/>
      <c r="E2479" s="6"/>
      <c r="F2479" s="6" t="b">
        <f t="shared" si="1"/>
        <v>0</v>
      </c>
    </row>
    <row r="2480" ht="15.75" customHeight="1">
      <c r="A2480" s="3" t="s">
        <v>4801</v>
      </c>
      <c r="B2480" s="4"/>
      <c r="C2480" s="5"/>
      <c r="D2480" s="5"/>
      <c r="E2480" s="6"/>
      <c r="F2480" s="6" t="b">
        <f t="shared" si="1"/>
        <v>0</v>
      </c>
    </row>
    <row r="2481" ht="15.75" customHeight="1">
      <c r="A2481" s="3" t="s">
        <v>4802</v>
      </c>
      <c r="B2481" s="4"/>
      <c r="C2481" s="5"/>
      <c r="D2481" s="5"/>
      <c r="E2481" s="6"/>
      <c r="F2481" s="6" t="b">
        <f t="shared" si="1"/>
        <v>0</v>
      </c>
    </row>
    <row r="2482" ht="15.75" customHeight="1">
      <c r="A2482" s="7" t="s">
        <v>4803</v>
      </c>
      <c r="B2482" s="4" t="s">
        <v>4804</v>
      </c>
      <c r="C2482" s="5" t="s">
        <v>6</v>
      </c>
      <c r="D2482" s="6" t="s">
        <v>4805</v>
      </c>
      <c r="E2482" s="6"/>
      <c r="F2482" s="6" t="b">
        <f t="shared" si="1"/>
        <v>0</v>
      </c>
    </row>
    <row r="2483" ht="15.75" customHeight="1">
      <c r="A2483" s="7" t="s">
        <v>4806</v>
      </c>
      <c r="B2483" s="4" t="s">
        <v>4807</v>
      </c>
      <c r="C2483" s="5" t="s">
        <v>6</v>
      </c>
      <c r="D2483" s="6" t="s">
        <v>4808</v>
      </c>
      <c r="E2483" s="6"/>
      <c r="F2483" s="6" t="b">
        <f t="shared" si="1"/>
        <v>0</v>
      </c>
    </row>
    <row r="2484" ht="15.75" customHeight="1">
      <c r="A2484" s="7" t="s">
        <v>4809</v>
      </c>
      <c r="B2484" s="4" t="s">
        <v>4810</v>
      </c>
      <c r="C2484" s="5" t="s">
        <v>6</v>
      </c>
      <c r="D2484" s="6" t="s">
        <v>4808</v>
      </c>
      <c r="E2484" s="6"/>
      <c r="F2484" s="6" t="b">
        <f t="shared" si="1"/>
        <v>0</v>
      </c>
    </row>
    <row r="2485" ht="15.75" customHeight="1">
      <c r="A2485" s="7" t="s">
        <v>4811</v>
      </c>
      <c r="B2485" s="4" t="s">
        <v>4812</v>
      </c>
      <c r="C2485" s="5" t="s">
        <v>6</v>
      </c>
      <c r="D2485" s="6" t="s">
        <v>4808</v>
      </c>
      <c r="E2485" s="6"/>
      <c r="F2485" s="6" t="b">
        <f t="shared" si="1"/>
        <v>0</v>
      </c>
    </row>
    <row r="2486" ht="15.75" customHeight="1">
      <c r="A2486" s="7" t="s">
        <v>4813</v>
      </c>
      <c r="B2486" s="4" t="s">
        <v>4814</v>
      </c>
      <c r="C2486" s="5" t="s">
        <v>6</v>
      </c>
      <c r="D2486" s="6" t="s">
        <v>4808</v>
      </c>
      <c r="E2486" s="6"/>
      <c r="F2486" s="6" t="b">
        <f t="shared" si="1"/>
        <v>0</v>
      </c>
    </row>
    <row r="2487" ht="15.75" customHeight="1">
      <c r="A2487" s="7" t="s">
        <v>4815</v>
      </c>
      <c r="B2487" s="4" t="s">
        <v>4816</v>
      </c>
      <c r="C2487" s="5" t="s">
        <v>6</v>
      </c>
      <c r="D2487" s="6" t="s">
        <v>4808</v>
      </c>
      <c r="E2487" s="6"/>
      <c r="F2487" s="6" t="b">
        <f t="shared" si="1"/>
        <v>0</v>
      </c>
    </row>
    <row r="2488" ht="15.75" customHeight="1">
      <c r="A2488" s="7" t="s">
        <v>4817</v>
      </c>
      <c r="B2488" s="4" t="s">
        <v>4818</v>
      </c>
      <c r="C2488" s="5" t="s">
        <v>6</v>
      </c>
      <c r="D2488" s="6" t="s">
        <v>4808</v>
      </c>
      <c r="E2488" s="6"/>
      <c r="F2488" s="6" t="b">
        <f t="shared" si="1"/>
        <v>0</v>
      </c>
    </row>
    <row r="2489" ht="15.75" customHeight="1">
      <c r="A2489" s="7" t="s">
        <v>4819</v>
      </c>
      <c r="B2489" s="4" t="s">
        <v>4820</v>
      </c>
      <c r="C2489" s="5" t="s">
        <v>6</v>
      </c>
      <c r="D2489" s="6" t="s">
        <v>4808</v>
      </c>
      <c r="E2489" s="6"/>
      <c r="F2489" s="6" t="b">
        <f t="shared" si="1"/>
        <v>0</v>
      </c>
    </row>
    <row r="2490" ht="15.75" customHeight="1">
      <c r="A2490" s="7" t="s">
        <v>4821</v>
      </c>
      <c r="B2490" s="4" t="s">
        <v>4822</v>
      </c>
      <c r="C2490" s="5" t="s">
        <v>6</v>
      </c>
      <c r="D2490" s="6" t="s">
        <v>4823</v>
      </c>
      <c r="E2490" s="6"/>
      <c r="F2490" s="6" t="b">
        <f t="shared" si="1"/>
        <v>0</v>
      </c>
    </row>
    <row r="2491" ht="15.75" customHeight="1">
      <c r="A2491" s="7" t="s">
        <v>4824</v>
      </c>
      <c r="B2491" s="4" t="s">
        <v>4825</v>
      </c>
      <c r="C2491" s="5" t="s">
        <v>6</v>
      </c>
      <c r="D2491" s="6" t="s">
        <v>4823</v>
      </c>
      <c r="E2491" s="6"/>
      <c r="F2491" s="6" t="b">
        <f t="shared" si="1"/>
        <v>0</v>
      </c>
    </row>
    <row r="2492" ht="15.75" customHeight="1">
      <c r="A2492" s="7" t="s">
        <v>4826</v>
      </c>
      <c r="B2492" s="4" t="s">
        <v>4827</v>
      </c>
      <c r="C2492" s="5" t="s">
        <v>6</v>
      </c>
      <c r="D2492" s="6" t="s">
        <v>4823</v>
      </c>
      <c r="E2492" s="6"/>
      <c r="F2492" s="6" t="b">
        <f t="shared" si="1"/>
        <v>0</v>
      </c>
    </row>
    <row r="2493" ht="15.75" customHeight="1">
      <c r="A2493" s="7" t="s">
        <v>4828</v>
      </c>
      <c r="B2493" s="4" t="s">
        <v>4829</v>
      </c>
      <c r="C2493" s="5" t="s">
        <v>6</v>
      </c>
      <c r="D2493" s="6" t="s">
        <v>4823</v>
      </c>
      <c r="E2493" s="6"/>
      <c r="F2493" s="6" t="b">
        <f t="shared" si="1"/>
        <v>0</v>
      </c>
    </row>
    <row r="2494" ht="15.75" customHeight="1">
      <c r="A2494" s="7" t="s">
        <v>4830</v>
      </c>
      <c r="B2494" s="4" t="s">
        <v>4831</v>
      </c>
      <c r="C2494" s="5" t="s">
        <v>6</v>
      </c>
      <c r="D2494" s="6" t="s">
        <v>4823</v>
      </c>
      <c r="E2494" s="6"/>
      <c r="F2494" s="6" t="b">
        <f t="shared" si="1"/>
        <v>0</v>
      </c>
    </row>
    <row r="2495" ht="15.75" customHeight="1">
      <c r="A2495" s="7" t="s">
        <v>4832</v>
      </c>
      <c r="B2495" s="4" t="s">
        <v>4833</v>
      </c>
      <c r="C2495" s="5" t="s">
        <v>6</v>
      </c>
      <c r="D2495" s="6" t="s">
        <v>4823</v>
      </c>
      <c r="E2495" s="6"/>
      <c r="F2495" s="6" t="b">
        <f t="shared" si="1"/>
        <v>0</v>
      </c>
    </row>
    <row r="2496" ht="15.75" customHeight="1">
      <c r="A2496" s="7" t="s">
        <v>4834</v>
      </c>
      <c r="B2496" s="4" t="s">
        <v>4835</v>
      </c>
      <c r="C2496" s="5" t="s">
        <v>6</v>
      </c>
      <c r="D2496" s="6" t="s">
        <v>4823</v>
      </c>
      <c r="E2496" s="6"/>
      <c r="F2496" s="6" t="b">
        <f t="shared" si="1"/>
        <v>0</v>
      </c>
    </row>
    <row r="2497" ht="15.75" customHeight="1">
      <c r="A2497" s="7" t="s">
        <v>4836</v>
      </c>
      <c r="B2497" s="4" t="s">
        <v>4837</v>
      </c>
      <c r="C2497" s="5" t="s">
        <v>6</v>
      </c>
      <c r="D2497" s="6" t="s">
        <v>4823</v>
      </c>
      <c r="E2497" s="6"/>
      <c r="F2497" s="6" t="b">
        <f t="shared" si="1"/>
        <v>0</v>
      </c>
    </row>
    <row r="2498" ht="15.75" customHeight="1">
      <c r="A2498" s="7" t="s">
        <v>4838</v>
      </c>
      <c r="B2498" s="4" t="s">
        <v>4839</v>
      </c>
      <c r="C2498" s="5" t="s">
        <v>6</v>
      </c>
      <c r="D2498" s="6" t="s">
        <v>4823</v>
      </c>
      <c r="E2498" s="6"/>
      <c r="F2498" s="6" t="b">
        <f t="shared" si="1"/>
        <v>0</v>
      </c>
    </row>
    <row r="2499" ht="15.75" customHeight="1">
      <c r="A2499" s="7" t="s">
        <v>4840</v>
      </c>
      <c r="B2499" s="4" t="s">
        <v>4841</v>
      </c>
      <c r="C2499" s="5" t="s">
        <v>6</v>
      </c>
      <c r="D2499" s="6" t="s">
        <v>4823</v>
      </c>
      <c r="E2499" s="6"/>
      <c r="F2499" s="6" t="b">
        <f t="shared" si="1"/>
        <v>0</v>
      </c>
    </row>
    <row r="2500" ht="15.75" customHeight="1">
      <c r="A2500" s="7" t="s">
        <v>4842</v>
      </c>
      <c r="B2500" s="4" t="s">
        <v>4843</v>
      </c>
      <c r="C2500" s="5" t="s">
        <v>6</v>
      </c>
      <c r="D2500" s="6" t="s">
        <v>4823</v>
      </c>
      <c r="E2500" s="6"/>
      <c r="F2500" s="6" t="b">
        <f t="shared" si="1"/>
        <v>0</v>
      </c>
    </row>
    <row r="2501" ht="15.75" customHeight="1">
      <c r="A2501" s="7" t="s">
        <v>4844</v>
      </c>
      <c r="B2501" s="4" t="s">
        <v>4845</v>
      </c>
      <c r="C2501" s="5" t="s">
        <v>6</v>
      </c>
      <c r="D2501" s="6" t="s">
        <v>4846</v>
      </c>
      <c r="E2501" s="6"/>
      <c r="F2501" s="6" t="b">
        <f t="shared" si="1"/>
        <v>0</v>
      </c>
    </row>
    <row r="2502" ht="15.75" customHeight="1">
      <c r="A2502" s="7" t="s">
        <v>4847</v>
      </c>
      <c r="B2502" s="4" t="s">
        <v>4848</v>
      </c>
      <c r="C2502" s="5" t="s">
        <v>6</v>
      </c>
      <c r="D2502" s="6" t="s">
        <v>4849</v>
      </c>
      <c r="E2502" s="6"/>
      <c r="F2502" s="6" t="b">
        <f t="shared" si="1"/>
        <v>0</v>
      </c>
    </row>
    <row r="2503" ht="15.75" customHeight="1">
      <c r="A2503" s="7" t="s">
        <v>4850</v>
      </c>
      <c r="B2503" s="4" t="s">
        <v>4851</v>
      </c>
      <c r="C2503" s="5" t="s">
        <v>6</v>
      </c>
      <c r="D2503" s="6" t="s">
        <v>1974</v>
      </c>
      <c r="E2503" s="6"/>
      <c r="F2503" s="6" t="b">
        <f t="shared" si="1"/>
        <v>0</v>
      </c>
    </row>
    <row r="2504" ht="15.75" customHeight="1">
      <c r="A2504" s="7" t="s">
        <v>4852</v>
      </c>
      <c r="B2504" s="4" t="s">
        <v>4853</v>
      </c>
      <c r="C2504" s="5" t="s">
        <v>6</v>
      </c>
      <c r="D2504" s="6" t="s">
        <v>1974</v>
      </c>
      <c r="E2504" s="6"/>
      <c r="F2504" s="6" t="b">
        <f t="shared" si="1"/>
        <v>0</v>
      </c>
    </row>
    <row r="2505" ht="15.75" customHeight="1">
      <c r="A2505" s="7" t="s">
        <v>4854</v>
      </c>
      <c r="B2505" s="4" t="s">
        <v>4855</v>
      </c>
      <c r="C2505" s="5" t="s">
        <v>6</v>
      </c>
      <c r="D2505" s="6" t="s">
        <v>1974</v>
      </c>
      <c r="E2505" s="6"/>
      <c r="F2505" s="6" t="b">
        <f t="shared" si="1"/>
        <v>0</v>
      </c>
    </row>
    <row r="2506" ht="15.75" customHeight="1">
      <c r="A2506" s="7" t="s">
        <v>4856</v>
      </c>
      <c r="B2506" s="4" t="s">
        <v>4857</v>
      </c>
      <c r="C2506" s="5" t="s">
        <v>6</v>
      </c>
      <c r="D2506" s="6" t="s">
        <v>1974</v>
      </c>
      <c r="E2506" s="6"/>
      <c r="F2506" s="6" t="b">
        <f t="shared" si="1"/>
        <v>0</v>
      </c>
    </row>
    <row r="2507" ht="15.75" customHeight="1">
      <c r="A2507" s="7" t="s">
        <v>4858</v>
      </c>
      <c r="B2507" s="4" t="s">
        <v>4859</v>
      </c>
      <c r="C2507" s="5" t="s">
        <v>6</v>
      </c>
      <c r="D2507" s="6" t="s">
        <v>1974</v>
      </c>
      <c r="E2507" s="6"/>
      <c r="F2507" s="6" t="b">
        <f t="shared" si="1"/>
        <v>0</v>
      </c>
    </row>
    <row r="2508" ht="15.75" customHeight="1">
      <c r="A2508" s="7" t="s">
        <v>4860</v>
      </c>
      <c r="B2508" s="4" t="s">
        <v>4861</v>
      </c>
      <c r="C2508" s="5" t="s">
        <v>6</v>
      </c>
      <c r="D2508" s="6" t="s">
        <v>4862</v>
      </c>
      <c r="E2508" s="6"/>
      <c r="F2508" s="6" t="b">
        <f t="shared" si="1"/>
        <v>0</v>
      </c>
    </row>
    <row r="2509" ht="15.75" customHeight="1">
      <c r="A2509" s="7" t="s">
        <v>4863</v>
      </c>
      <c r="B2509" s="4" t="s">
        <v>4864</v>
      </c>
      <c r="C2509" s="5" t="s">
        <v>6</v>
      </c>
      <c r="D2509" s="6" t="s">
        <v>1974</v>
      </c>
      <c r="E2509" s="6"/>
      <c r="F2509" s="6" t="b">
        <f t="shared" si="1"/>
        <v>0</v>
      </c>
    </row>
    <row r="2510" ht="15.75" customHeight="1">
      <c r="A2510" s="7" t="s">
        <v>4865</v>
      </c>
      <c r="B2510" s="4" t="s">
        <v>4866</v>
      </c>
      <c r="C2510" s="5" t="s">
        <v>6</v>
      </c>
      <c r="D2510" s="6" t="s">
        <v>1974</v>
      </c>
      <c r="E2510" s="6"/>
      <c r="F2510" s="6" t="b">
        <f t="shared" si="1"/>
        <v>0</v>
      </c>
    </row>
    <row r="2511" ht="15.75" customHeight="1">
      <c r="A2511" s="7" t="s">
        <v>4867</v>
      </c>
      <c r="B2511" s="4" t="s">
        <v>4868</v>
      </c>
      <c r="C2511" s="5" t="s">
        <v>6</v>
      </c>
      <c r="D2511" s="6" t="s">
        <v>1974</v>
      </c>
      <c r="E2511" s="6"/>
      <c r="F2511" s="6" t="b">
        <f t="shared" si="1"/>
        <v>0</v>
      </c>
    </row>
    <row r="2512" ht="15.75" customHeight="1">
      <c r="A2512" s="7" t="s">
        <v>4869</v>
      </c>
      <c r="B2512" s="4" t="s">
        <v>4870</v>
      </c>
      <c r="C2512" s="5" t="s">
        <v>6</v>
      </c>
      <c r="D2512" s="6" t="s">
        <v>1974</v>
      </c>
      <c r="E2512" s="6"/>
      <c r="F2512" s="6" t="b">
        <f t="shared" si="1"/>
        <v>0</v>
      </c>
    </row>
    <row r="2513" ht="15.75" customHeight="1">
      <c r="A2513" s="3" t="s">
        <v>4871</v>
      </c>
      <c r="B2513" s="4"/>
      <c r="C2513" s="5"/>
      <c r="D2513" s="5"/>
      <c r="E2513" s="6"/>
      <c r="F2513" s="6" t="b">
        <f t="shared" si="1"/>
        <v>0</v>
      </c>
    </row>
    <row r="2514" ht="15.75" customHeight="1">
      <c r="A2514" s="7" t="s">
        <v>4872</v>
      </c>
      <c r="B2514" s="4" t="s">
        <v>4873</v>
      </c>
      <c r="C2514" s="5" t="s">
        <v>16</v>
      </c>
      <c r="D2514" s="6" t="s">
        <v>4874</v>
      </c>
      <c r="E2514" s="6"/>
      <c r="F2514" s="6" t="b">
        <f t="shared" si="1"/>
        <v>0</v>
      </c>
    </row>
    <row r="2515" ht="15.75" customHeight="1">
      <c r="A2515" s="7" t="s">
        <v>4875</v>
      </c>
      <c r="B2515" s="4" t="s">
        <v>4876</v>
      </c>
      <c r="C2515" s="5" t="s">
        <v>16</v>
      </c>
      <c r="D2515" s="6" t="s">
        <v>4877</v>
      </c>
      <c r="E2515" s="6"/>
      <c r="F2515" s="6" t="b">
        <f t="shared" si="1"/>
        <v>0</v>
      </c>
    </row>
    <row r="2516" ht="15.75" customHeight="1">
      <c r="A2516" s="3" t="s">
        <v>4878</v>
      </c>
      <c r="B2516" s="4"/>
      <c r="C2516" s="5"/>
      <c r="D2516" s="5"/>
      <c r="E2516" s="6"/>
      <c r="F2516" s="6" t="b">
        <f t="shared" si="1"/>
        <v>0</v>
      </c>
    </row>
    <row r="2517" ht="15.75" customHeight="1">
      <c r="A2517" s="3" t="s">
        <v>4879</v>
      </c>
      <c r="B2517" s="4"/>
      <c r="C2517" s="5"/>
      <c r="D2517" s="5"/>
      <c r="E2517" s="6"/>
      <c r="F2517" s="6" t="b">
        <f t="shared" si="1"/>
        <v>0</v>
      </c>
    </row>
    <row r="2518" ht="15.75" customHeight="1">
      <c r="A2518" s="3" t="s">
        <v>4880</v>
      </c>
      <c r="B2518" s="4"/>
      <c r="C2518" s="5"/>
      <c r="D2518" s="5"/>
      <c r="E2518" s="6"/>
      <c r="F2518" s="6" t="b">
        <f t="shared" si="1"/>
        <v>0</v>
      </c>
    </row>
    <row r="2519" ht="15.75" customHeight="1">
      <c r="A2519" s="7" t="s">
        <v>4881</v>
      </c>
      <c r="B2519" s="4" t="s">
        <v>4882</v>
      </c>
      <c r="C2519" s="5" t="s">
        <v>6</v>
      </c>
      <c r="D2519" s="6" t="s">
        <v>4883</v>
      </c>
      <c r="E2519" s="6"/>
      <c r="F2519" s="6" t="b">
        <f t="shared" si="1"/>
        <v>0</v>
      </c>
    </row>
    <row r="2520" ht="15.75" customHeight="1">
      <c r="A2520" s="3" t="s">
        <v>4884</v>
      </c>
      <c r="B2520" s="4"/>
      <c r="C2520" s="5"/>
      <c r="D2520" s="5"/>
      <c r="E2520" s="6"/>
      <c r="F2520" s="6" t="b">
        <f t="shared" si="1"/>
        <v>0</v>
      </c>
    </row>
    <row r="2521" ht="15.75" customHeight="1">
      <c r="A2521" s="7" t="s">
        <v>4885</v>
      </c>
      <c r="B2521" s="4" t="s">
        <v>4886</v>
      </c>
      <c r="C2521" s="5" t="s">
        <v>6</v>
      </c>
      <c r="D2521" s="6" t="s">
        <v>2894</v>
      </c>
      <c r="E2521" s="6"/>
      <c r="F2521" s="6" t="b">
        <f t="shared" si="1"/>
        <v>0</v>
      </c>
    </row>
    <row r="2522" ht="15.75" customHeight="1">
      <c r="A2522" s="3" t="s">
        <v>4887</v>
      </c>
      <c r="B2522" s="4"/>
      <c r="C2522" s="5"/>
      <c r="D2522" s="5"/>
      <c r="E2522" s="6"/>
      <c r="F2522" s="6" t="b">
        <f t="shared" si="1"/>
        <v>0</v>
      </c>
    </row>
    <row r="2523" ht="15.75" customHeight="1">
      <c r="A2523" s="7" t="s">
        <v>4888</v>
      </c>
      <c r="B2523" s="4" t="s">
        <v>4889</v>
      </c>
      <c r="C2523" s="5" t="s">
        <v>6</v>
      </c>
      <c r="D2523" s="6" t="s">
        <v>4890</v>
      </c>
      <c r="E2523" s="6"/>
      <c r="F2523" s="6" t="b">
        <f t="shared" si="1"/>
        <v>0</v>
      </c>
    </row>
    <row r="2524" ht="15.75" customHeight="1">
      <c r="A2524" s="7" t="s">
        <v>4891</v>
      </c>
      <c r="B2524" s="4" t="s">
        <v>4892</v>
      </c>
      <c r="C2524" s="5" t="s">
        <v>6</v>
      </c>
      <c r="D2524" s="6" t="s">
        <v>4890</v>
      </c>
      <c r="E2524" s="6"/>
      <c r="F2524" s="6" t="b">
        <f t="shared" si="1"/>
        <v>0</v>
      </c>
    </row>
    <row r="2525" ht="15.75" customHeight="1">
      <c r="A2525" s="7" t="s">
        <v>4893</v>
      </c>
      <c r="B2525" s="4" t="s">
        <v>4894</v>
      </c>
      <c r="C2525" s="5" t="s">
        <v>6</v>
      </c>
      <c r="D2525" s="6" t="s">
        <v>4890</v>
      </c>
      <c r="E2525" s="6"/>
      <c r="F2525" s="6" t="b">
        <f t="shared" si="1"/>
        <v>0</v>
      </c>
    </row>
    <row r="2526" ht="15.75" customHeight="1">
      <c r="A2526" s="7" t="s">
        <v>4895</v>
      </c>
      <c r="B2526" s="4" t="s">
        <v>4896</v>
      </c>
      <c r="C2526" s="5" t="s">
        <v>6</v>
      </c>
      <c r="D2526" s="6" t="s">
        <v>4897</v>
      </c>
      <c r="E2526" s="6"/>
      <c r="F2526" s="6" t="b">
        <f t="shared" si="1"/>
        <v>0</v>
      </c>
    </row>
    <row r="2527" ht="15.75" customHeight="1">
      <c r="A2527" s="7" t="s">
        <v>4898</v>
      </c>
      <c r="B2527" s="4" t="s">
        <v>4899</v>
      </c>
      <c r="C2527" s="5" t="s">
        <v>6</v>
      </c>
      <c r="D2527" s="6" t="s">
        <v>1190</v>
      </c>
      <c r="E2527" s="6"/>
      <c r="F2527" s="6" t="b">
        <f t="shared" si="1"/>
        <v>0</v>
      </c>
    </row>
    <row r="2528" ht="15.75" customHeight="1">
      <c r="A2528" s="7" t="s">
        <v>4900</v>
      </c>
      <c r="B2528" s="4" t="s">
        <v>4901</v>
      </c>
      <c r="C2528" s="5" t="s">
        <v>6</v>
      </c>
      <c r="D2528" s="6" t="s">
        <v>1190</v>
      </c>
      <c r="E2528" s="6"/>
      <c r="F2528" s="6" t="b">
        <f t="shared" si="1"/>
        <v>0</v>
      </c>
    </row>
    <row r="2529" ht="15.75" customHeight="1">
      <c r="A2529" s="7" t="s">
        <v>4902</v>
      </c>
      <c r="B2529" s="4" t="s">
        <v>4903</v>
      </c>
      <c r="C2529" s="5" t="s">
        <v>6</v>
      </c>
      <c r="D2529" s="6" t="s">
        <v>1190</v>
      </c>
      <c r="E2529" s="6"/>
      <c r="F2529" s="6" t="b">
        <f t="shared" si="1"/>
        <v>0</v>
      </c>
    </row>
    <row r="2530" ht="15.75" customHeight="1">
      <c r="A2530" s="7" t="s">
        <v>4904</v>
      </c>
      <c r="B2530" s="4" t="s">
        <v>4905</v>
      </c>
      <c r="C2530" s="5" t="s">
        <v>16</v>
      </c>
      <c r="D2530" s="6" t="s">
        <v>4906</v>
      </c>
      <c r="E2530" s="6"/>
      <c r="F2530" s="6" t="b">
        <f t="shared" si="1"/>
        <v>0</v>
      </c>
    </row>
    <row r="2531" ht="15.75" customHeight="1">
      <c r="A2531" s="7" t="s">
        <v>4907</v>
      </c>
      <c r="B2531" s="4" t="s">
        <v>4908</v>
      </c>
      <c r="C2531" s="5" t="s">
        <v>6</v>
      </c>
      <c r="D2531" s="6" t="s">
        <v>1060</v>
      </c>
      <c r="E2531" s="6"/>
      <c r="F2531" s="6" t="b">
        <f t="shared" si="1"/>
        <v>0</v>
      </c>
    </row>
    <row r="2532" ht="15.75" customHeight="1">
      <c r="A2532" s="3" t="s">
        <v>4909</v>
      </c>
      <c r="B2532" s="4"/>
      <c r="C2532" s="5"/>
      <c r="D2532" s="5"/>
      <c r="E2532" s="6"/>
      <c r="F2532" s="6" t="b">
        <f t="shared" si="1"/>
        <v>0</v>
      </c>
    </row>
    <row r="2533" ht="15.75" customHeight="1">
      <c r="A2533" s="3" t="s">
        <v>4910</v>
      </c>
      <c r="B2533" s="4"/>
      <c r="C2533" s="5"/>
      <c r="D2533" s="5"/>
      <c r="E2533" s="6"/>
      <c r="F2533" s="6" t="b">
        <f t="shared" si="1"/>
        <v>0</v>
      </c>
    </row>
    <row r="2534" ht="15.75" customHeight="1">
      <c r="A2534" s="7" t="s">
        <v>4911</v>
      </c>
      <c r="B2534" s="4" t="s">
        <v>4912</v>
      </c>
      <c r="C2534" s="5" t="s">
        <v>6</v>
      </c>
      <c r="D2534" s="6" t="s">
        <v>2579</v>
      </c>
      <c r="E2534" s="6"/>
      <c r="F2534" s="6" t="b">
        <f t="shared" si="1"/>
        <v>0</v>
      </c>
    </row>
    <row r="2535" ht="15.75" customHeight="1">
      <c r="A2535" s="7" t="s">
        <v>4913</v>
      </c>
      <c r="B2535" s="4" t="s">
        <v>4914</v>
      </c>
      <c r="C2535" s="5" t="s">
        <v>6</v>
      </c>
      <c r="D2535" s="6" t="s">
        <v>4915</v>
      </c>
      <c r="E2535" s="6"/>
      <c r="F2535" s="6" t="b">
        <f t="shared" si="1"/>
        <v>0</v>
      </c>
    </row>
    <row r="2536" ht="15.75" customHeight="1">
      <c r="A2536" s="3" t="s">
        <v>4916</v>
      </c>
      <c r="B2536" s="4"/>
      <c r="C2536" s="5"/>
      <c r="D2536" s="5"/>
      <c r="E2536" s="6"/>
      <c r="F2536" s="6" t="b">
        <f t="shared" si="1"/>
        <v>0</v>
      </c>
    </row>
    <row r="2537" ht="15.75" customHeight="1">
      <c r="A2537" s="7" t="s">
        <v>4917</v>
      </c>
      <c r="B2537" s="4" t="s">
        <v>4918</v>
      </c>
      <c r="C2537" s="5" t="s">
        <v>6</v>
      </c>
      <c r="D2537" s="6" t="s">
        <v>2916</v>
      </c>
      <c r="E2537" s="6"/>
      <c r="F2537" s="6" t="b">
        <f t="shared" si="1"/>
        <v>0</v>
      </c>
    </row>
    <row r="2538" ht="15.75" customHeight="1">
      <c r="A2538" s="7" t="s">
        <v>4919</v>
      </c>
      <c r="B2538" s="4" t="s">
        <v>4920</v>
      </c>
      <c r="C2538" s="5" t="s">
        <v>6</v>
      </c>
      <c r="D2538" s="6" t="s">
        <v>4921</v>
      </c>
      <c r="E2538" s="6"/>
      <c r="F2538" s="6" t="b">
        <f t="shared" si="1"/>
        <v>0</v>
      </c>
    </row>
    <row r="2539" ht="15.75" customHeight="1">
      <c r="A2539" s="3" t="s">
        <v>4922</v>
      </c>
      <c r="B2539" s="4"/>
      <c r="C2539" s="5"/>
      <c r="D2539" s="5"/>
      <c r="E2539" s="6"/>
      <c r="F2539" s="6" t="b">
        <f t="shared" si="1"/>
        <v>0</v>
      </c>
    </row>
    <row r="2540" ht="15.75" customHeight="1">
      <c r="A2540" s="7" t="s">
        <v>4923</v>
      </c>
      <c r="B2540" s="4" t="s">
        <v>4924</v>
      </c>
      <c r="C2540" s="5" t="s">
        <v>6</v>
      </c>
      <c r="D2540" s="6" t="s">
        <v>4925</v>
      </c>
      <c r="E2540" s="6"/>
      <c r="F2540" s="6" t="b">
        <f t="shared" si="1"/>
        <v>0</v>
      </c>
    </row>
    <row r="2541" ht="15.75" customHeight="1">
      <c r="A2541" s="7" t="s">
        <v>4926</v>
      </c>
      <c r="B2541" s="4" t="s">
        <v>4927</v>
      </c>
      <c r="C2541" s="5" t="s">
        <v>6</v>
      </c>
      <c r="D2541" s="6" t="s">
        <v>4928</v>
      </c>
      <c r="E2541" s="6"/>
      <c r="F2541" s="6" t="b">
        <f t="shared" si="1"/>
        <v>0</v>
      </c>
    </row>
    <row r="2542" ht="15.75" customHeight="1">
      <c r="A2542" s="7" t="s">
        <v>4929</v>
      </c>
      <c r="B2542" s="4" t="s">
        <v>4930</v>
      </c>
      <c r="C2542" s="5" t="s">
        <v>16</v>
      </c>
      <c r="D2542" s="6" t="s">
        <v>4931</v>
      </c>
      <c r="E2542" s="6"/>
      <c r="F2542" s="6" t="b">
        <f t="shared" si="1"/>
        <v>0</v>
      </c>
    </row>
    <row r="2543" ht="15.75" customHeight="1">
      <c r="A2543" s="7" t="s">
        <v>4932</v>
      </c>
      <c r="B2543" s="4" t="s">
        <v>4933</v>
      </c>
      <c r="C2543" s="5" t="s">
        <v>6</v>
      </c>
      <c r="D2543" s="6" t="s">
        <v>4934</v>
      </c>
      <c r="E2543" s="6"/>
      <c r="F2543" s="6" t="b">
        <f t="shared" si="1"/>
        <v>0</v>
      </c>
    </row>
    <row r="2544" ht="15.75" customHeight="1">
      <c r="A2544" s="7" t="s">
        <v>4935</v>
      </c>
      <c r="B2544" s="4" t="s">
        <v>4936</v>
      </c>
      <c r="C2544" s="5" t="s">
        <v>6</v>
      </c>
      <c r="D2544" s="6" t="s">
        <v>4937</v>
      </c>
      <c r="E2544" s="6"/>
      <c r="F2544" s="6" t="b">
        <f t="shared" si="1"/>
        <v>0</v>
      </c>
    </row>
    <row r="2545" ht="15.75" customHeight="1">
      <c r="A2545" s="7" t="s">
        <v>4938</v>
      </c>
      <c r="B2545" s="4" t="s">
        <v>4939</v>
      </c>
      <c r="C2545" s="5" t="s">
        <v>6</v>
      </c>
      <c r="D2545" s="6" t="s">
        <v>4937</v>
      </c>
      <c r="E2545" s="6"/>
      <c r="F2545" s="6" t="b">
        <f t="shared" si="1"/>
        <v>0</v>
      </c>
    </row>
    <row r="2546" ht="15.75" customHeight="1">
      <c r="A2546" s="7" t="s">
        <v>4940</v>
      </c>
      <c r="B2546" s="4" t="s">
        <v>4941</v>
      </c>
      <c r="C2546" s="5" t="s">
        <v>6</v>
      </c>
      <c r="D2546" s="6" t="s">
        <v>4937</v>
      </c>
      <c r="E2546" s="6"/>
      <c r="F2546" s="6" t="b">
        <f t="shared" si="1"/>
        <v>0</v>
      </c>
    </row>
    <row r="2547" ht="15.75" customHeight="1">
      <c r="A2547" s="7" t="s">
        <v>4942</v>
      </c>
      <c r="B2547" s="4" t="s">
        <v>2091</v>
      </c>
      <c r="C2547" s="5" t="s">
        <v>6</v>
      </c>
      <c r="D2547" s="6" t="s">
        <v>2077</v>
      </c>
      <c r="E2547" s="6"/>
      <c r="F2547" s="6" t="b">
        <f t="shared" si="1"/>
        <v>0</v>
      </c>
    </row>
    <row r="2548" ht="15.75" customHeight="1">
      <c r="A2548" s="7" t="s">
        <v>4943</v>
      </c>
      <c r="B2548" s="4" t="s">
        <v>4944</v>
      </c>
      <c r="C2548" s="5" t="s">
        <v>6</v>
      </c>
      <c r="D2548" s="6" t="s">
        <v>2077</v>
      </c>
      <c r="E2548" s="6"/>
      <c r="F2548" s="6" t="b">
        <f t="shared" si="1"/>
        <v>0</v>
      </c>
    </row>
    <row r="2549" ht="15.75" customHeight="1">
      <c r="A2549" s="7" t="s">
        <v>4945</v>
      </c>
      <c r="B2549" s="4" t="s">
        <v>4946</v>
      </c>
      <c r="C2549" s="5" t="s">
        <v>6</v>
      </c>
      <c r="D2549" s="6" t="s">
        <v>2077</v>
      </c>
      <c r="E2549" s="6"/>
      <c r="F2549" s="6" t="b">
        <f t="shared" si="1"/>
        <v>0</v>
      </c>
    </row>
    <row r="2550" ht="15.75" customHeight="1">
      <c r="A2550" s="7" t="s">
        <v>4947</v>
      </c>
      <c r="B2550" s="4" t="s">
        <v>4948</v>
      </c>
      <c r="C2550" s="5" t="s">
        <v>6</v>
      </c>
      <c r="D2550" s="6" t="s">
        <v>2077</v>
      </c>
      <c r="E2550" s="6"/>
      <c r="F2550" s="6" t="b">
        <f t="shared" si="1"/>
        <v>0</v>
      </c>
    </row>
    <row r="2551" ht="15.75" customHeight="1">
      <c r="A2551" s="7" t="s">
        <v>4949</v>
      </c>
      <c r="B2551" s="4" t="s">
        <v>4950</v>
      </c>
      <c r="C2551" s="5" t="s">
        <v>6</v>
      </c>
      <c r="D2551" s="6" t="s">
        <v>2077</v>
      </c>
      <c r="E2551" s="6"/>
      <c r="F2551" s="6" t="b">
        <f t="shared" si="1"/>
        <v>0</v>
      </c>
    </row>
    <row r="2552" ht="15.75" customHeight="1">
      <c r="A2552" s="7" t="s">
        <v>4951</v>
      </c>
      <c r="B2552" s="4" t="s">
        <v>4952</v>
      </c>
      <c r="C2552" s="5" t="s">
        <v>6</v>
      </c>
      <c r="D2552" s="6" t="s">
        <v>2077</v>
      </c>
      <c r="E2552" s="6"/>
      <c r="F2552" s="6" t="b">
        <f t="shared" si="1"/>
        <v>0</v>
      </c>
    </row>
    <row r="2553" ht="15.75" customHeight="1">
      <c r="A2553" s="7" t="s">
        <v>4953</v>
      </c>
      <c r="B2553" s="4" t="s">
        <v>4954</v>
      </c>
      <c r="C2553" s="5" t="s">
        <v>6</v>
      </c>
      <c r="D2553" s="6" t="s">
        <v>2077</v>
      </c>
      <c r="E2553" s="6"/>
      <c r="F2553" s="6" t="b">
        <f t="shared" si="1"/>
        <v>0</v>
      </c>
    </row>
    <row r="2554" ht="15.75" customHeight="1">
      <c r="A2554" s="7" t="s">
        <v>4955</v>
      </c>
      <c r="B2554" s="4" t="s">
        <v>4956</v>
      </c>
      <c r="C2554" s="5" t="s">
        <v>6</v>
      </c>
      <c r="D2554" s="6" t="s">
        <v>2077</v>
      </c>
      <c r="E2554" s="6"/>
      <c r="F2554" s="6" t="b">
        <f t="shared" si="1"/>
        <v>0</v>
      </c>
    </row>
    <row r="2555" ht="15.75" customHeight="1">
      <c r="A2555" s="7" t="s">
        <v>4957</v>
      </c>
      <c r="B2555" s="4" t="s">
        <v>4958</v>
      </c>
      <c r="C2555" s="5" t="s">
        <v>16</v>
      </c>
      <c r="D2555" s="6" t="s">
        <v>4959</v>
      </c>
      <c r="E2555" s="6"/>
      <c r="F2555" s="6" t="b">
        <f t="shared" si="1"/>
        <v>0</v>
      </c>
    </row>
    <row r="2556" ht="15.75" customHeight="1">
      <c r="A2556" s="3" t="s">
        <v>4960</v>
      </c>
      <c r="B2556" s="4"/>
      <c r="C2556" s="5"/>
      <c r="D2556" s="5"/>
      <c r="E2556" s="6"/>
      <c r="F2556" s="6" t="b">
        <f t="shared" si="1"/>
        <v>0</v>
      </c>
    </row>
    <row r="2557" ht="15.75" customHeight="1">
      <c r="A2557" s="7" t="s">
        <v>4961</v>
      </c>
      <c r="B2557" s="4" t="s">
        <v>4962</v>
      </c>
      <c r="C2557" s="5" t="s">
        <v>16</v>
      </c>
      <c r="D2557" s="6" t="s">
        <v>197</v>
      </c>
      <c r="E2557" s="6"/>
      <c r="F2557" s="6" t="b">
        <f t="shared" si="1"/>
        <v>0</v>
      </c>
    </row>
    <row r="2558" ht="15.75" customHeight="1">
      <c r="A2558" s="3" t="s">
        <v>4963</v>
      </c>
      <c r="B2558" s="4"/>
      <c r="C2558" s="5"/>
      <c r="D2558" s="5"/>
      <c r="E2558" s="6"/>
      <c r="F2558" s="6" t="b">
        <f t="shared" si="1"/>
        <v>0</v>
      </c>
    </row>
    <row r="2559" ht="15.75" customHeight="1">
      <c r="A2559" s="3" t="s">
        <v>4964</v>
      </c>
      <c r="B2559" s="4"/>
      <c r="C2559" s="5"/>
      <c r="D2559" s="5"/>
      <c r="E2559" s="6"/>
      <c r="F2559" s="6" t="b">
        <f t="shared" si="1"/>
        <v>0</v>
      </c>
    </row>
    <row r="2560" ht="15.75" customHeight="1">
      <c r="A2560" s="3" t="s">
        <v>4965</v>
      </c>
      <c r="B2560" s="4"/>
      <c r="C2560" s="5"/>
      <c r="D2560" s="5"/>
      <c r="E2560" s="6"/>
      <c r="F2560" s="6" t="b">
        <f t="shared" si="1"/>
        <v>0</v>
      </c>
    </row>
    <row r="2561" ht="15.75" customHeight="1">
      <c r="A2561" s="7" t="s">
        <v>4966</v>
      </c>
      <c r="B2561" s="4" t="s">
        <v>4967</v>
      </c>
      <c r="C2561" s="5" t="s">
        <v>16</v>
      </c>
      <c r="D2561" s="6" t="s">
        <v>147</v>
      </c>
      <c r="E2561" s="6"/>
      <c r="F2561" s="6" t="b">
        <f t="shared" si="1"/>
        <v>0</v>
      </c>
    </row>
    <row r="2562" ht="15.75" customHeight="1">
      <c r="A2562" s="7" t="s">
        <v>4968</v>
      </c>
      <c r="B2562" s="4" t="s">
        <v>4969</v>
      </c>
      <c r="C2562" s="5" t="s">
        <v>16</v>
      </c>
      <c r="D2562" s="6" t="s">
        <v>4970</v>
      </c>
      <c r="E2562" s="6"/>
      <c r="F2562" s="6" t="b">
        <f t="shared" si="1"/>
        <v>0</v>
      </c>
    </row>
    <row r="2563" ht="15.75" customHeight="1">
      <c r="A2563" s="3" t="s">
        <v>4971</v>
      </c>
      <c r="B2563" s="4"/>
      <c r="C2563" s="5"/>
      <c r="D2563" s="5"/>
      <c r="E2563" s="6"/>
      <c r="F2563" s="6" t="b">
        <f t="shared" si="1"/>
        <v>0</v>
      </c>
    </row>
    <row r="2564" ht="15.75" customHeight="1">
      <c r="A2564" s="3" t="s">
        <v>4972</v>
      </c>
      <c r="B2564" s="4"/>
      <c r="C2564" s="5"/>
      <c r="D2564" s="5"/>
      <c r="E2564" s="6"/>
      <c r="F2564" s="6" t="b">
        <f t="shared" si="1"/>
        <v>0</v>
      </c>
    </row>
    <row r="2565" ht="15.75" customHeight="1">
      <c r="A2565" s="3" t="s">
        <v>4973</v>
      </c>
      <c r="B2565" s="4"/>
      <c r="C2565" s="5"/>
      <c r="D2565" s="5"/>
      <c r="E2565" s="6"/>
      <c r="F2565" s="6" t="b">
        <f t="shared" si="1"/>
        <v>0</v>
      </c>
    </row>
    <row r="2566" ht="15.75" customHeight="1">
      <c r="A2566" s="7" t="s">
        <v>4974</v>
      </c>
      <c r="B2566" s="4" t="s">
        <v>4975</v>
      </c>
      <c r="C2566" s="5" t="s">
        <v>16</v>
      </c>
      <c r="D2566" s="6" t="s">
        <v>4976</v>
      </c>
      <c r="E2566" s="6"/>
      <c r="F2566" s="6" t="b">
        <f t="shared" si="1"/>
        <v>0</v>
      </c>
    </row>
    <row r="2567" ht="15.75" customHeight="1">
      <c r="A2567" s="3" t="s">
        <v>4977</v>
      </c>
      <c r="B2567" s="4"/>
      <c r="C2567" s="5"/>
      <c r="D2567" s="5"/>
      <c r="E2567" s="6"/>
      <c r="F2567" s="6" t="b">
        <f t="shared" si="1"/>
        <v>0</v>
      </c>
    </row>
    <row r="2568" ht="15.75" customHeight="1">
      <c r="A2568" s="7" t="s">
        <v>4978</v>
      </c>
      <c r="B2568" s="4" t="s">
        <v>4979</v>
      </c>
      <c r="C2568" s="5" t="s">
        <v>16</v>
      </c>
      <c r="D2568" s="6" t="s">
        <v>4980</v>
      </c>
      <c r="E2568" s="6"/>
      <c r="F2568" s="6" t="b">
        <f t="shared" si="1"/>
        <v>0</v>
      </c>
    </row>
    <row r="2569" ht="15.75" customHeight="1">
      <c r="A2569" s="7" t="s">
        <v>4981</v>
      </c>
      <c r="B2569" s="4" t="s">
        <v>4982</v>
      </c>
      <c r="C2569" s="5" t="s">
        <v>6</v>
      </c>
      <c r="D2569" s="6" t="s">
        <v>4983</v>
      </c>
      <c r="E2569" s="6"/>
      <c r="F2569" s="6" t="b">
        <f t="shared" si="1"/>
        <v>0</v>
      </c>
    </row>
    <row r="2570" ht="15.75" customHeight="1">
      <c r="A2570" s="3" t="s">
        <v>4984</v>
      </c>
      <c r="B2570" s="4"/>
      <c r="C2570" s="5"/>
      <c r="D2570" s="5"/>
      <c r="E2570" s="6"/>
      <c r="F2570" s="6" t="b">
        <f t="shared" si="1"/>
        <v>0</v>
      </c>
    </row>
    <row r="2571" ht="15.75" customHeight="1">
      <c r="A2571" s="3" t="s">
        <v>4985</v>
      </c>
      <c r="B2571" s="4"/>
      <c r="C2571" s="5"/>
      <c r="D2571" s="5"/>
      <c r="E2571" s="6"/>
      <c r="F2571" s="6" t="b">
        <f t="shared" si="1"/>
        <v>0</v>
      </c>
    </row>
    <row r="2572" ht="15.75" customHeight="1">
      <c r="A2572" s="3" t="s">
        <v>4986</v>
      </c>
      <c r="B2572" s="4"/>
      <c r="C2572" s="5"/>
      <c r="D2572" s="5"/>
      <c r="E2572" s="6"/>
      <c r="F2572" s="6" t="b">
        <f t="shared" si="1"/>
        <v>0</v>
      </c>
    </row>
    <row r="2573" ht="15.75" customHeight="1">
      <c r="A2573" s="7" t="s">
        <v>4987</v>
      </c>
      <c r="B2573" s="4" t="s">
        <v>4988</v>
      </c>
      <c r="C2573" s="5" t="s">
        <v>16</v>
      </c>
      <c r="D2573" s="6" t="s">
        <v>4989</v>
      </c>
      <c r="E2573" s="6"/>
      <c r="F2573" s="6" t="b">
        <f t="shared" si="1"/>
        <v>0</v>
      </c>
    </row>
    <row r="2574" ht="15.75" customHeight="1">
      <c r="A2574" s="7" t="s">
        <v>4990</v>
      </c>
      <c r="B2574" s="4" t="s">
        <v>4991</v>
      </c>
      <c r="C2574" s="5" t="s">
        <v>16</v>
      </c>
      <c r="D2574" s="6" t="s">
        <v>4989</v>
      </c>
      <c r="E2574" s="6"/>
      <c r="F2574" s="6" t="b">
        <f t="shared" si="1"/>
        <v>0</v>
      </c>
    </row>
    <row r="2575" ht="15.75" customHeight="1">
      <c r="A2575" s="7" t="s">
        <v>4992</v>
      </c>
      <c r="B2575" s="4" t="s">
        <v>4993</v>
      </c>
      <c r="C2575" s="5" t="s">
        <v>16</v>
      </c>
      <c r="D2575" s="6" t="s">
        <v>1367</v>
      </c>
      <c r="E2575" s="6"/>
      <c r="F2575" s="6" t="b">
        <f t="shared" si="1"/>
        <v>0</v>
      </c>
    </row>
    <row r="2576" ht="15.75" customHeight="1">
      <c r="A2576" s="7" t="s">
        <v>4994</v>
      </c>
      <c r="B2576" s="4" t="s">
        <v>4995</v>
      </c>
      <c r="C2576" s="5" t="s">
        <v>16</v>
      </c>
      <c r="D2576" s="6" t="s">
        <v>1367</v>
      </c>
      <c r="E2576" s="6"/>
      <c r="F2576" s="6" t="b">
        <f t="shared" si="1"/>
        <v>0</v>
      </c>
    </row>
    <row r="2577" ht="15.75" customHeight="1">
      <c r="A2577" s="7" t="s">
        <v>4996</v>
      </c>
      <c r="B2577" s="4" t="s">
        <v>4997</v>
      </c>
      <c r="C2577" s="5" t="s">
        <v>16</v>
      </c>
      <c r="D2577" s="6" t="s">
        <v>1667</v>
      </c>
      <c r="E2577" s="6"/>
      <c r="F2577" s="6" t="b">
        <f t="shared" si="1"/>
        <v>0</v>
      </c>
    </row>
    <row r="2578" ht="15.75" customHeight="1">
      <c r="A2578" s="7" t="s">
        <v>4998</v>
      </c>
      <c r="B2578" s="4" t="s">
        <v>4999</v>
      </c>
      <c r="C2578" s="5" t="s">
        <v>16</v>
      </c>
      <c r="D2578" s="6" t="s">
        <v>1667</v>
      </c>
      <c r="E2578" s="6"/>
      <c r="F2578" s="6" t="b">
        <f t="shared" si="1"/>
        <v>0</v>
      </c>
    </row>
    <row r="2579" ht="15.75" customHeight="1">
      <c r="A2579" s="7" t="s">
        <v>5000</v>
      </c>
      <c r="B2579" s="4" t="s">
        <v>5001</v>
      </c>
      <c r="C2579" s="5" t="s">
        <v>16</v>
      </c>
      <c r="D2579" s="6" t="s">
        <v>1667</v>
      </c>
      <c r="E2579" s="6"/>
      <c r="F2579" s="6" t="b">
        <f t="shared" si="1"/>
        <v>0</v>
      </c>
    </row>
    <row r="2580" ht="15.75" customHeight="1">
      <c r="A2580" s="3" t="s">
        <v>5002</v>
      </c>
      <c r="B2580" s="4"/>
      <c r="C2580" s="5"/>
      <c r="D2580" s="5"/>
      <c r="E2580" s="6"/>
      <c r="F2580" s="6" t="b">
        <f t="shared" si="1"/>
        <v>0</v>
      </c>
    </row>
    <row r="2581" ht="15.75" customHeight="1">
      <c r="A2581" s="3" t="s">
        <v>5003</v>
      </c>
      <c r="B2581" s="4"/>
      <c r="C2581" s="5"/>
      <c r="D2581" s="5"/>
      <c r="E2581" s="6"/>
      <c r="F2581" s="6" t="b">
        <f t="shared" si="1"/>
        <v>0</v>
      </c>
    </row>
    <row r="2582" ht="15.75" customHeight="1">
      <c r="A2582" s="7" t="s">
        <v>5004</v>
      </c>
      <c r="B2582" s="4" t="s">
        <v>5005</v>
      </c>
      <c r="C2582" s="5" t="s">
        <v>16</v>
      </c>
      <c r="D2582" s="6" t="s">
        <v>1367</v>
      </c>
      <c r="E2582" s="6"/>
      <c r="F2582" s="6" t="b">
        <f t="shared" si="1"/>
        <v>0</v>
      </c>
    </row>
    <row r="2583" ht="15.75" customHeight="1">
      <c r="A2583" s="7" t="s">
        <v>5006</v>
      </c>
      <c r="B2583" s="4" t="s">
        <v>5007</v>
      </c>
      <c r="C2583" s="5" t="s">
        <v>16</v>
      </c>
      <c r="D2583" s="6" t="s">
        <v>5008</v>
      </c>
      <c r="E2583" s="6"/>
      <c r="F2583" s="6" t="b">
        <f t="shared" si="1"/>
        <v>0</v>
      </c>
    </row>
    <row r="2584" ht="15.75" customHeight="1">
      <c r="A2584" s="7" t="s">
        <v>5009</v>
      </c>
      <c r="B2584" s="4" t="s">
        <v>5010</v>
      </c>
      <c r="C2584" s="5" t="s">
        <v>16</v>
      </c>
      <c r="D2584" s="6" t="s">
        <v>5008</v>
      </c>
      <c r="E2584" s="6"/>
      <c r="F2584" s="6" t="b">
        <f t="shared" si="1"/>
        <v>0</v>
      </c>
    </row>
    <row r="2585" ht="15.75" customHeight="1">
      <c r="A2585" s="7" t="s">
        <v>5011</v>
      </c>
      <c r="B2585" s="4" t="s">
        <v>5012</v>
      </c>
      <c r="C2585" s="5" t="s">
        <v>16</v>
      </c>
      <c r="D2585" s="6" t="s">
        <v>5008</v>
      </c>
      <c r="E2585" s="6"/>
      <c r="F2585" s="6" t="b">
        <f t="shared" si="1"/>
        <v>0</v>
      </c>
    </row>
    <row r="2586" ht="15.75" customHeight="1">
      <c r="A2586" s="7" t="s">
        <v>5013</v>
      </c>
      <c r="B2586" s="4" t="s">
        <v>5014</v>
      </c>
      <c r="C2586" s="5" t="s">
        <v>16</v>
      </c>
      <c r="D2586" s="6" t="s">
        <v>5008</v>
      </c>
      <c r="E2586" s="6"/>
      <c r="F2586" s="6" t="b">
        <f t="shared" si="1"/>
        <v>0</v>
      </c>
    </row>
    <row r="2587" ht="15.75" customHeight="1">
      <c r="A2587" s="7" t="s">
        <v>5015</v>
      </c>
      <c r="B2587" s="4" t="s">
        <v>5016</v>
      </c>
      <c r="C2587" s="5" t="s">
        <v>16</v>
      </c>
      <c r="D2587" s="6" t="s">
        <v>5017</v>
      </c>
      <c r="E2587" s="6"/>
      <c r="F2587" s="6" t="b">
        <f t="shared" si="1"/>
        <v>0</v>
      </c>
    </row>
    <row r="2588" ht="15.75" customHeight="1">
      <c r="A2588" s="3" t="s">
        <v>5018</v>
      </c>
      <c r="B2588" s="4"/>
      <c r="C2588" s="5"/>
      <c r="D2588" s="5"/>
      <c r="E2588" s="6"/>
      <c r="F2588" s="6" t="b">
        <f t="shared" si="1"/>
        <v>0</v>
      </c>
    </row>
    <row r="2589" ht="15.75" customHeight="1">
      <c r="A2589" s="7" t="s">
        <v>5019</v>
      </c>
      <c r="B2589" s="4" t="s">
        <v>5020</v>
      </c>
      <c r="C2589" s="5" t="s">
        <v>16</v>
      </c>
      <c r="D2589" s="6" t="s">
        <v>5021</v>
      </c>
      <c r="E2589" s="6"/>
      <c r="F2589" s="6" t="b">
        <f t="shared" si="1"/>
        <v>0</v>
      </c>
    </row>
    <row r="2590" ht="15.75" customHeight="1">
      <c r="A2590" s="7" t="s">
        <v>5022</v>
      </c>
      <c r="B2590" s="4" t="s">
        <v>5023</v>
      </c>
      <c r="C2590" s="5" t="s">
        <v>6</v>
      </c>
      <c r="D2590" s="6" t="s">
        <v>2471</v>
      </c>
      <c r="E2590" s="6"/>
      <c r="F2590" s="6" t="b">
        <f t="shared" si="1"/>
        <v>0</v>
      </c>
    </row>
    <row r="2591" ht="15.75" customHeight="1">
      <c r="A2591" s="7" t="s">
        <v>5024</v>
      </c>
      <c r="B2591" s="4" t="s">
        <v>5025</v>
      </c>
      <c r="C2591" s="5" t="s">
        <v>6</v>
      </c>
      <c r="D2591" s="6" t="s">
        <v>820</v>
      </c>
      <c r="E2591" s="6"/>
      <c r="F2591" s="6" t="b">
        <f t="shared" si="1"/>
        <v>0</v>
      </c>
    </row>
    <row r="2592" ht="15.75" customHeight="1">
      <c r="A2592" s="7" t="s">
        <v>5026</v>
      </c>
      <c r="B2592" s="4" t="s">
        <v>5027</v>
      </c>
      <c r="C2592" s="5" t="s">
        <v>16</v>
      </c>
      <c r="D2592" s="6" t="s">
        <v>5028</v>
      </c>
      <c r="E2592" s="6"/>
      <c r="F2592" s="6" t="b">
        <f t="shared" si="1"/>
        <v>0</v>
      </c>
    </row>
    <row r="2593" ht="15.75" customHeight="1">
      <c r="A2593" s="3" t="s">
        <v>5029</v>
      </c>
      <c r="B2593" s="4"/>
      <c r="C2593" s="5"/>
      <c r="D2593" s="5"/>
      <c r="E2593" s="6"/>
      <c r="F2593" s="6" t="b">
        <f t="shared" si="1"/>
        <v>0</v>
      </c>
    </row>
    <row r="2594" ht="15.75" customHeight="1">
      <c r="A2594" s="3" t="s">
        <v>5030</v>
      </c>
      <c r="B2594" s="4"/>
      <c r="C2594" s="5"/>
      <c r="D2594" s="5"/>
      <c r="E2594" s="6"/>
      <c r="F2594" s="6" t="b">
        <f t="shared" si="1"/>
        <v>0</v>
      </c>
    </row>
    <row r="2595" ht="15.75" customHeight="1">
      <c r="A2595" s="7" t="s">
        <v>5031</v>
      </c>
      <c r="B2595" s="4" t="s">
        <v>5032</v>
      </c>
      <c r="C2595" s="6"/>
      <c r="D2595" s="6" t="s">
        <v>70</v>
      </c>
      <c r="E2595" s="6"/>
      <c r="F2595" s="6" t="b">
        <f t="shared" si="1"/>
        <v>0</v>
      </c>
    </row>
    <row r="2596" ht="15.75" customHeight="1">
      <c r="A2596" s="7" t="s">
        <v>5033</v>
      </c>
      <c r="B2596" s="4" t="s">
        <v>5034</v>
      </c>
      <c r="C2596" s="5" t="s">
        <v>16</v>
      </c>
      <c r="D2596" s="6" t="s">
        <v>3065</v>
      </c>
      <c r="E2596" s="6"/>
      <c r="F2596" s="6" t="b">
        <f t="shared" si="1"/>
        <v>0</v>
      </c>
    </row>
    <row r="2597" ht="15.75" customHeight="1">
      <c r="A2597" s="7" t="s">
        <v>5035</v>
      </c>
      <c r="B2597" s="4" t="s">
        <v>5036</v>
      </c>
      <c r="C2597" s="6"/>
      <c r="D2597" s="6" t="s">
        <v>70</v>
      </c>
      <c r="E2597" s="6"/>
      <c r="F2597" s="6" t="b">
        <f t="shared" si="1"/>
        <v>0</v>
      </c>
    </row>
    <row r="2598" ht="15.75" customHeight="1">
      <c r="A2598" s="7" t="s">
        <v>5037</v>
      </c>
      <c r="B2598" s="4" t="s">
        <v>5038</v>
      </c>
      <c r="C2598" s="6"/>
      <c r="D2598" s="6" t="s">
        <v>70</v>
      </c>
      <c r="E2598" s="6"/>
      <c r="F2598" s="6" t="b">
        <f t="shared" si="1"/>
        <v>0</v>
      </c>
    </row>
    <row r="2599" ht="15.75" customHeight="1">
      <c r="A2599" s="7" t="s">
        <v>5039</v>
      </c>
      <c r="B2599" s="4" t="s">
        <v>5040</v>
      </c>
      <c r="C2599" s="6"/>
      <c r="D2599" s="6" t="s">
        <v>70</v>
      </c>
      <c r="E2599" s="6"/>
      <c r="F2599" s="6" t="b">
        <f t="shared" si="1"/>
        <v>0</v>
      </c>
    </row>
    <row r="2600" ht="15.75" customHeight="1">
      <c r="A2600" s="7" t="s">
        <v>5041</v>
      </c>
      <c r="B2600" s="4" t="s">
        <v>5042</v>
      </c>
      <c r="C2600" s="6"/>
      <c r="D2600" s="6" t="s">
        <v>70</v>
      </c>
      <c r="E2600" s="6"/>
      <c r="F2600" s="6" t="b">
        <f t="shared" si="1"/>
        <v>0</v>
      </c>
    </row>
    <row r="2601" ht="15.75" customHeight="1">
      <c r="A2601" s="7" t="s">
        <v>5043</v>
      </c>
      <c r="B2601" s="4" t="s">
        <v>5044</v>
      </c>
      <c r="C2601" s="6"/>
      <c r="D2601" s="6" t="s">
        <v>70</v>
      </c>
      <c r="E2601" s="6"/>
      <c r="F2601" s="6" t="b">
        <f t="shared" si="1"/>
        <v>0</v>
      </c>
    </row>
    <row r="2602" ht="15.75" customHeight="1">
      <c r="A2602" s="7" t="s">
        <v>5045</v>
      </c>
      <c r="B2602" s="4" t="s">
        <v>5046</v>
      </c>
      <c r="C2602" s="5" t="s">
        <v>16</v>
      </c>
      <c r="D2602" s="6" t="s">
        <v>5047</v>
      </c>
      <c r="E2602" s="6"/>
      <c r="F2602" s="6" t="b">
        <f t="shared" si="1"/>
        <v>0</v>
      </c>
    </row>
    <row r="2603" ht="15.75" customHeight="1">
      <c r="A2603" s="7" t="s">
        <v>5048</v>
      </c>
      <c r="B2603" s="4" t="s">
        <v>5049</v>
      </c>
      <c r="C2603" s="5" t="s">
        <v>6</v>
      </c>
      <c r="D2603" s="6" t="s">
        <v>5050</v>
      </c>
      <c r="E2603" s="6"/>
      <c r="F2603" s="6" t="b">
        <f t="shared" si="1"/>
        <v>0</v>
      </c>
    </row>
    <row r="2604" ht="15.75" customHeight="1">
      <c r="A2604" s="7" t="s">
        <v>5051</v>
      </c>
      <c r="B2604" s="4" t="s">
        <v>5052</v>
      </c>
      <c r="C2604" s="5" t="s">
        <v>16</v>
      </c>
      <c r="D2604" s="6" t="s">
        <v>5053</v>
      </c>
      <c r="E2604" s="6"/>
      <c r="F2604" s="6" t="b">
        <f t="shared" si="1"/>
        <v>0</v>
      </c>
    </row>
    <row r="2605" ht="15.75" customHeight="1">
      <c r="A2605" s="3" t="s">
        <v>5054</v>
      </c>
      <c r="B2605" s="4"/>
      <c r="C2605" s="5"/>
      <c r="D2605" s="5"/>
      <c r="E2605" s="6"/>
      <c r="F2605" s="6" t="b">
        <f t="shared" si="1"/>
        <v>0</v>
      </c>
    </row>
    <row r="2606" ht="15.75" customHeight="1">
      <c r="A2606" s="7" t="s">
        <v>5055</v>
      </c>
      <c r="B2606" s="4" t="s">
        <v>5056</v>
      </c>
      <c r="C2606" s="5" t="s">
        <v>6</v>
      </c>
      <c r="D2606" s="6" t="s">
        <v>5057</v>
      </c>
      <c r="E2606" s="6"/>
      <c r="F2606" s="6" t="b">
        <f t="shared" si="1"/>
        <v>0</v>
      </c>
    </row>
    <row r="2607" ht="15.75" customHeight="1">
      <c r="A2607" s="3" t="s">
        <v>5058</v>
      </c>
      <c r="B2607" s="4"/>
      <c r="C2607" s="5"/>
      <c r="D2607" s="5"/>
      <c r="E2607" s="6"/>
      <c r="F2607" s="6" t="b">
        <f t="shared" si="1"/>
        <v>0</v>
      </c>
    </row>
    <row r="2608" ht="15.75" customHeight="1">
      <c r="A2608" s="7" t="s">
        <v>5059</v>
      </c>
      <c r="B2608" s="4" t="s">
        <v>5060</v>
      </c>
      <c r="C2608" s="5" t="s">
        <v>6</v>
      </c>
      <c r="D2608" s="6" t="s">
        <v>5061</v>
      </c>
      <c r="E2608" s="6"/>
      <c r="F2608" s="6" t="b">
        <f t="shared" si="1"/>
        <v>0</v>
      </c>
    </row>
    <row r="2609" ht="15.75" customHeight="1">
      <c r="A2609" s="7" t="s">
        <v>5062</v>
      </c>
      <c r="B2609" s="4" t="s">
        <v>5063</v>
      </c>
      <c r="C2609" s="5" t="s">
        <v>6</v>
      </c>
      <c r="D2609" s="6" t="s">
        <v>5064</v>
      </c>
      <c r="E2609" s="6"/>
      <c r="F2609" s="6" t="b">
        <f t="shared" si="1"/>
        <v>0</v>
      </c>
    </row>
    <row r="2610" ht="15.75" customHeight="1">
      <c r="A2610" s="3" t="s">
        <v>5065</v>
      </c>
      <c r="B2610" s="4"/>
      <c r="C2610" s="5"/>
      <c r="D2610" s="5"/>
      <c r="E2610" s="6"/>
      <c r="F2610" s="6" t="b">
        <f t="shared" si="1"/>
        <v>0</v>
      </c>
    </row>
    <row r="2611" ht="15.75" customHeight="1">
      <c r="A2611" s="3" t="s">
        <v>5066</v>
      </c>
      <c r="B2611" s="4"/>
      <c r="C2611" s="5"/>
      <c r="D2611" s="5"/>
      <c r="E2611" s="6"/>
      <c r="F2611" s="6" t="b">
        <f t="shared" si="1"/>
        <v>0</v>
      </c>
    </row>
    <row r="2612" ht="15.75" customHeight="1">
      <c r="A2612" s="3" t="s">
        <v>5067</v>
      </c>
      <c r="B2612" s="4"/>
      <c r="C2612" s="5"/>
      <c r="D2612" s="5"/>
      <c r="E2612" s="6"/>
      <c r="F2612" s="6" t="b">
        <f t="shared" si="1"/>
        <v>0</v>
      </c>
    </row>
    <row r="2613" ht="15.75" customHeight="1">
      <c r="A2613" s="7" t="s">
        <v>5068</v>
      </c>
      <c r="B2613" s="4" t="s">
        <v>5069</v>
      </c>
      <c r="C2613" s="5" t="s">
        <v>16</v>
      </c>
      <c r="D2613" s="6" t="s">
        <v>5070</v>
      </c>
      <c r="E2613" s="6"/>
      <c r="F2613" s="6" t="b">
        <f t="shared" si="1"/>
        <v>0</v>
      </c>
    </row>
    <row r="2614" ht="15.75" customHeight="1">
      <c r="A2614" s="7" t="s">
        <v>5071</v>
      </c>
      <c r="B2614" s="4" t="s">
        <v>5072</v>
      </c>
      <c r="C2614" s="5" t="s">
        <v>16</v>
      </c>
      <c r="D2614" s="6" t="s">
        <v>5073</v>
      </c>
      <c r="E2614" s="6"/>
      <c r="F2614" s="6" t="b">
        <f t="shared" si="1"/>
        <v>0</v>
      </c>
    </row>
    <row r="2615" ht="15.75" customHeight="1">
      <c r="A2615" s="7" t="s">
        <v>5074</v>
      </c>
      <c r="B2615" s="4" t="s">
        <v>5075</v>
      </c>
      <c r="C2615" s="5" t="s">
        <v>16</v>
      </c>
      <c r="D2615" s="6" t="s">
        <v>5076</v>
      </c>
      <c r="E2615" s="6"/>
      <c r="F2615" s="6" t="b">
        <f t="shared" si="1"/>
        <v>0</v>
      </c>
    </row>
    <row r="2616" ht="15.75" customHeight="1">
      <c r="A2616" s="7" t="s">
        <v>5077</v>
      </c>
      <c r="B2616" s="4" t="s">
        <v>5078</v>
      </c>
      <c r="C2616" s="5" t="s">
        <v>6</v>
      </c>
      <c r="D2616" s="6" t="s">
        <v>5079</v>
      </c>
      <c r="E2616" s="6"/>
      <c r="F2616" s="6" t="b">
        <f t="shared" si="1"/>
        <v>0</v>
      </c>
    </row>
    <row r="2617" ht="15.75" customHeight="1">
      <c r="A2617" s="7" t="s">
        <v>5080</v>
      </c>
      <c r="B2617" s="4" t="s">
        <v>5081</v>
      </c>
      <c r="C2617" s="5" t="s">
        <v>6</v>
      </c>
      <c r="D2617" s="6" t="s">
        <v>5079</v>
      </c>
      <c r="E2617" s="6"/>
      <c r="F2617" s="6" t="b">
        <f t="shared" si="1"/>
        <v>0</v>
      </c>
    </row>
    <row r="2618" ht="15.75" customHeight="1">
      <c r="A2618" s="3" t="s">
        <v>5082</v>
      </c>
      <c r="B2618" s="4"/>
      <c r="C2618" s="5"/>
      <c r="D2618" s="5"/>
      <c r="E2618" s="6"/>
      <c r="F2618" s="6" t="b">
        <f t="shared" si="1"/>
        <v>0</v>
      </c>
    </row>
    <row r="2619" ht="15.75" customHeight="1">
      <c r="A2619" s="3" t="s">
        <v>5083</v>
      </c>
      <c r="B2619" s="4"/>
      <c r="C2619" s="5"/>
      <c r="D2619" s="5"/>
      <c r="E2619" s="6"/>
      <c r="F2619" s="6" t="b">
        <f t="shared" si="1"/>
        <v>0</v>
      </c>
    </row>
    <row r="2620" ht="15.75" customHeight="1">
      <c r="A2620" s="7" t="s">
        <v>5084</v>
      </c>
      <c r="B2620" s="4" t="s">
        <v>5085</v>
      </c>
      <c r="C2620" s="5" t="s">
        <v>6</v>
      </c>
      <c r="D2620" s="6" t="s">
        <v>5086</v>
      </c>
      <c r="E2620" s="6"/>
      <c r="F2620" s="6" t="b">
        <f t="shared" si="1"/>
        <v>0</v>
      </c>
    </row>
    <row r="2621" ht="15.75" customHeight="1">
      <c r="A2621" s="7" t="s">
        <v>5087</v>
      </c>
      <c r="B2621" s="4" t="s">
        <v>5088</v>
      </c>
      <c r="C2621" s="5" t="s">
        <v>16</v>
      </c>
      <c r="D2621" s="6" t="s">
        <v>5089</v>
      </c>
      <c r="E2621" s="6"/>
      <c r="F2621" s="6" t="b">
        <f t="shared" si="1"/>
        <v>0</v>
      </c>
    </row>
    <row r="2622" ht="15.75" customHeight="1">
      <c r="A2622" s="3" t="s">
        <v>5090</v>
      </c>
      <c r="B2622" s="4"/>
      <c r="C2622" s="5"/>
      <c r="D2622" s="5"/>
      <c r="E2622" s="6"/>
      <c r="F2622" s="6" t="b">
        <f t="shared" si="1"/>
        <v>0</v>
      </c>
    </row>
    <row r="2623" ht="15.75" customHeight="1">
      <c r="A2623" s="3" t="s">
        <v>5091</v>
      </c>
      <c r="B2623" s="4"/>
      <c r="C2623" s="5"/>
      <c r="D2623" s="5"/>
      <c r="E2623" s="6"/>
      <c r="F2623" s="6" t="b">
        <f t="shared" si="1"/>
        <v>0</v>
      </c>
    </row>
    <row r="2624" ht="15.75" customHeight="1">
      <c r="A2624" s="3" t="s">
        <v>5092</v>
      </c>
      <c r="B2624" s="4"/>
      <c r="C2624" s="5"/>
      <c r="D2624" s="5"/>
      <c r="E2624" s="6"/>
      <c r="F2624" s="6" t="b">
        <f t="shared" si="1"/>
        <v>0</v>
      </c>
    </row>
    <row r="2625" ht="15.75" customHeight="1">
      <c r="A2625" s="3" t="s">
        <v>5093</v>
      </c>
      <c r="B2625" s="4"/>
      <c r="C2625" s="5"/>
      <c r="D2625" s="5"/>
      <c r="E2625" s="6"/>
      <c r="F2625" s="6" t="b">
        <f t="shared" si="1"/>
        <v>0</v>
      </c>
    </row>
    <row r="2626" ht="15.75" customHeight="1">
      <c r="A2626" s="3" t="s">
        <v>5094</v>
      </c>
      <c r="B2626" s="4"/>
      <c r="C2626" s="5"/>
      <c r="D2626" s="5"/>
      <c r="E2626" s="6"/>
      <c r="F2626" s="6" t="b">
        <f t="shared" si="1"/>
        <v>0</v>
      </c>
    </row>
    <row r="2627" ht="15.75" customHeight="1">
      <c r="A2627" s="7" t="s">
        <v>5095</v>
      </c>
      <c r="B2627" s="4" t="s">
        <v>5096</v>
      </c>
      <c r="C2627" s="5" t="s">
        <v>16</v>
      </c>
      <c r="D2627" s="6" t="s">
        <v>5097</v>
      </c>
      <c r="E2627" s="6"/>
      <c r="F2627" s="6" t="b">
        <f t="shared" si="1"/>
        <v>0</v>
      </c>
    </row>
    <row r="2628" ht="15.75" customHeight="1">
      <c r="A2628" s="7" t="s">
        <v>5098</v>
      </c>
      <c r="B2628" s="4" t="s">
        <v>5099</v>
      </c>
      <c r="C2628" s="5" t="s">
        <v>16</v>
      </c>
      <c r="D2628" s="6" t="s">
        <v>5100</v>
      </c>
      <c r="E2628" s="6"/>
      <c r="F2628" s="6" t="b">
        <f t="shared" si="1"/>
        <v>0</v>
      </c>
    </row>
    <row r="2629" ht="15.75" customHeight="1">
      <c r="A2629" s="7" t="s">
        <v>5101</v>
      </c>
      <c r="B2629" s="4" t="s">
        <v>5102</v>
      </c>
      <c r="C2629" s="5" t="s">
        <v>16</v>
      </c>
      <c r="D2629" s="6" t="s">
        <v>5100</v>
      </c>
      <c r="E2629" s="6"/>
      <c r="F2629" s="6" t="b">
        <f t="shared" si="1"/>
        <v>0</v>
      </c>
    </row>
    <row r="2630" ht="15.75" customHeight="1">
      <c r="A2630" s="7" t="s">
        <v>5103</v>
      </c>
      <c r="B2630" s="4" t="s">
        <v>5104</v>
      </c>
      <c r="C2630" s="5" t="s">
        <v>16</v>
      </c>
      <c r="D2630" s="6" t="s">
        <v>5105</v>
      </c>
      <c r="E2630" s="6"/>
      <c r="F2630" s="6" t="b">
        <f t="shared" si="1"/>
        <v>0</v>
      </c>
    </row>
    <row r="2631" ht="15.75" customHeight="1">
      <c r="A2631" s="3" t="s">
        <v>5106</v>
      </c>
      <c r="B2631" s="4"/>
      <c r="C2631" s="5"/>
      <c r="D2631" s="5"/>
      <c r="E2631" s="6"/>
      <c r="F2631" s="6" t="b">
        <f t="shared" si="1"/>
        <v>0</v>
      </c>
    </row>
    <row r="2632" ht="15.75" customHeight="1">
      <c r="A2632" s="3" t="s">
        <v>5107</v>
      </c>
      <c r="B2632" s="4"/>
      <c r="C2632" s="5"/>
      <c r="D2632" s="5"/>
      <c r="E2632" s="6"/>
      <c r="F2632" s="6" t="b">
        <f t="shared" si="1"/>
        <v>0</v>
      </c>
    </row>
    <row r="2633" ht="15.75" customHeight="1">
      <c r="A2633" s="3" t="s">
        <v>5108</v>
      </c>
      <c r="B2633" s="4"/>
      <c r="C2633" s="5"/>
      <c r="D2633" s="5"/>
      <c r="E2633" s="6"/>
      <c r="F2633" s="6" t="b">
        <f t="shared" si="1"/>
        <v>0</v>
      </c>
    </row>
    <row r="2634" ht="15.75" customHeight="1">
      <c r="A2634" s="3" t="s">
        <v>5109</v>
      </c>
      <c r="B2634" s="4"/>
      <c r="C2634" s="5"/>
      <c r="D2634" s="5"/>
      <c r="E2634" s="6"/>
      <c r="F2634" s="6" t="b">
        <f t="shared" si="1"/>
        <v>0</v>
      </c>
    </row>
    <row r="2635" ht="15.75" customHeight="1">
      <c r="A2635" s="3" t="s">
        <v>5110</v>
      </c>
      <c r="B2635" s="4"/>
      <c r="C2635" s="5"/>
      <c r="D2635" s="5"/>
      <c r="E2635" s="6"/>
      <c r="F2635" s="6" t="b">
        <f t="shared" si="1"/>
        <v>0</v>
      </c>
    </row>
    <row r="2636" ht="15.75" customHeight="1">
      <c r="A2636" s="3" t="s">
        <v>5111</v>
      </c>
      <c r="B2636" s="4"/>
      <c r="C2636" s="5"/>
      <c r="D2636" s="5"/>
      <c r="E2636" s="6"/>
      <c r="F2636" s="6" t="b">
        <f t="shared" si="1"/>
        <v>0</v>
      </c>
    </row>
    <row r="2637" ht="15.75" customHeight="1">
      <c r="A2637" s="3" t="s">
        <v>5112</v>
      </c>
      <c r="B2637" s="4"/>
      <c r="C2637" s="5"/>
      <c r="D2637" s="5"/>
      <c r="E2637" s="6"/>
      <c r="F2637" s="6" t="b">
        <f t="shared" si="1"/>
        <v>0</v>
      </c>
    </row>
    <row r="2638" ht="15.75" customHeight="1">
      <c r="A2638" s="3" t="s">
        <v>5113</v>
      </c>
      <c r="B2638" s="4"/>
      <c r="C2638" s="5"/>
      <c r="D2638" s="5"/>
      <c r="E2638" s="6"/>
      <c r="F2638" s="6" t="b">
        <f t="shared" si="1"/>
        <v>0</v>
      </c>
    </row>
    <row r="2639" ht="15.75" customHeight="1">
      <c r="A2639" s="3" t="s">
        <v>5114</v>
      </c>
      <c r="B2639" s="4"/>
      <c r="C2639" s="5"/>
      <c r="D2639" s="5"/>
      <c r="E2639" s="6"/>
      <c r="F2639" s="6" t="b">
        <f t="shared" si="1"/>
        <v>0</v>
      </c>
    </row>
    <row r="2640" ht="15.75" customHeight="1">
      <c r="A2640" s="7" t="s">
        <v>5115</v>
      </c>
      <c r="B2640" s="4" t="s">
        <v>5116</v>
      </c>
      <c r="C2640" s="5" t="s">
        <v>16</v>
      </c>
      <c r="D2640" s="6" t="s">
        <v>5117</v>
      </c>
      <c r="E2640" s="6"/>
      <c r="F2640" s="6" t="b">
        <f t="shared" si="1"/>
        <v>0</v>
      </c>
    </row>
    <row r="2641" ht="15.75" customHeight="1">
      <c r="A2641" s="3" t="s">
        <v>5118</v>
      </c>
      <c r="B2641" s="4"/>
      <c r="C2641" s="5"/>
      <c r="D2641" s="5"/>
      <c r="E2641" s="6"/>
      <c r="F2641" s="6" t="b">
        <f t="shared" si="1"/>
        <v>0</v>
      </c>
    </row>
    <row r="2642" ht="15.75" customHeight="1">
      <c r="A2642" s="3" t="s">
        <v>5119</v>
      </c>
      <c r="B2642" s="4"/>
      <c r="C2642" s="5"/>
      <c r="D2642" s="5"/>
      <c r="E2642" s="6"/>
      <c r="F2642" s="6" t="b">
        <f t="shared" si="1"/>
        <v>0</v>
      </c>
    </row>
    <row r="2643" ht="15.75" customHeight="1">
      <c r="A2643" s="3" t="s">
        <v>5120</v>
      </c>
      <c r="B2643" s="4"/>
      <c r="C2643" s="5"/>
      <c r="D2643" s="5"/>
      <c r="E2643" s="6"/>
      <c r="F2643" s="6" t="b">
        <f t="shared" si="1"/>
        <v>0</v>
      </c>
    </row>
    <row r="2644" ht="15.75" customHeight="1">
      <c r="A2644" s="3" t="s">
        <v>5121</v>
      </c>
      <c r="B2644" s="4"/>
      <c r="C2644" s="5"/>
      <c r="D2644" s="5"/>
      <c r="E2644" s="6"/>
      <c r="F2644" s="6" t="b">
        <f t="shared" si="1"/>
        <v>0</v>
      </c>
    </row>
    <row r="2645" ht="15.75" customHeight="1">
      <c r="A2645" s="7" t="s">
        <v>5122</v>
      </c>
      <c r="B2645" s="4" t="s">
        <v>5123</v>
      </c>
      <c r="C2645" s="5" t="s">
        <v>16</v>
      </c>
      <c r="D2645" s="6" t="s">
        <v>5117</v>
      </c>
      <c r="E2645" s="6"/>
      <c r="F2645" s="6" t="b">
        <f t="shared" si="1"/>
        <v>0</v>
      </c>
    </row>
    <row r="2646" ht="15.75" customHeight="1">
      <c r="A2646" s="3" t="s">
        <v>5124</v>
      </c>
      <c r="B2646" s="4"/>
      <c r="C2646" s="5"/>
      <c r="D2646" s="5"/>
      <c r="E2646" s="6"/>
      <c r="F2646" s="6" t="b">
        <f t="shared" si="1"/>
        <v>0</v>
      </c>
    </row>
    <row r="2647" ht="15.75" customHeight="1">
      <c r="A2647" s="3" t="s">
        <v>5125</v>
      </c>
      <c r="B2647" s="4"/>
      <c r="C2647" s="5"/>
      <c r="D2647" s="5"/>
      <c r="E2647" s="6"/>
      <c r="F2647" s="6" t="b">
        <f t="shared" si="1"/>
        <v>0</v>
      </c>
    </row>
    <row r="2648" ht="15.75" customHeight="1">
      <c r="A2648" s="3" t="s">
        <v>5126</v>
      </c>
      <c r="B2648" s="4"/>
      <c r="C2648" s="5"/>
      <c r="D2648" s="5"/>
      <c r="E2648" s="6"/>
      <c r="F2648" s="6" t="b">
        <f t="shared" si="1"/>
        <v>0</v>
      </c>
    </row>
    <row r="2649" ht="15.75" customHeight="1">
      <c r="A2649" s="3" t="s">
        <v>5127</v>
      </c>
      <c r="B2649" s="4"/>
      <c r="C2649" s="5"/>
      <c r="D2649" s="5"/>
      <c r="E2649" s="6"/>
      <c r="F2649" s="6" t="b">
        <f t="shared" si="1"/>
        <v>0</v>
      </c>
    </row>
    <row r="2650" ht="15.75" customHeight="1">
      <c r="A2650" s="3" t="s">
        <v>5128</v>
      </c>
      <c r="B2650" s="4"/>
      <c r="C2650" s="5"/>
      <c r="D2650" s="5"/>
      <c r="E2650" s="6"/>
      <c r="F2650" s="6" t="b">
        <f t="shared" si="1"/>
        <v>0</v>
      </c>
    </row>
    <row r="2651" ht="15.75" customHeight="1">
      <c r="A2651" s="3" t="s">
        <v>5129</v>
      </c>
      <c r="B2651" s="4"/>
      <c r="C2651" s="5"/>
      <c r="D2651" s="5"/>
      <c r="E2651" s="6"/>
      <c r="F2651" s="6" t="b">
        <f t="shared" si="1"/>
        <v>0</v>
      </c>
    </row>
    <row r="2652" ht="15.75" customHeight="1">
      <c r="A2652" s="3" t="s">
        <v>5130</v>
      </c>
      <c r="B2652" s="4"/>
      <c r="C2652" s="5"/>
      <c r="D2652" s="5"/>
      <c r="E2652" s="6"/>
      <c r="F2652" s="6" t="b">
        <f t="shared" si="1"/>
        <v>0</v>
      </c>
    </row>
    <row r="2653" ht="15.75" customHeight="1">
      <c r="A2653" s="3" t="s">
        <v>5131</v>
      </c>
      <c r="B2653" s="4"/>
      <c r="C2653" s="5"/>
      <c r="D2653" s="5"/>
      <c r="E2653" s="6"/>
      <c r="F2653" s="6" t="b">
        <f t="shared" si="1"/>
        <v>0</v>
      </c>
    </row>
    <row r="2654" ht="15.75" customHeight="1">
      <c r="A2654" s="3" t="s">
        <v>5132</v>
      </c>
      <c r="B2654" s="4"/>
      <c r="C2654" s="5"/>
      <c r="D2654" s="5"/>
      <c r="E2654" s="6"/>
      <c r="F2654" s="6" t="b">
        <f t="shared" si="1"/>
        <v>0</v>
      </c>
    </row>
    <row r="2655" ht="15.75" customHeight="1">
      <c r="A2655" s="7" t="s">
        <v>5133</v>
      </c>
      <c r="B2655" s="4" t="s">
        <v>5134</v>
      </c>
      <c r="C2655" s="5" t="s">
        <v>16</v>
      </c>
      <c r="D2655" s="6" t="s">
        <v>5135</v>
      </c>
      <c r="E2655" s="6"/>
      <c r="F2655" s="6" t="b">
        <f t="shared" si="1"/>
        <v>0</v>
      </c>
    </row>
    <row r="2656" ht="15.75" customHeight="1">
      <c r="A2656" s="7" t="s">
        <v>5136</v>
      </c>
      <c r="B2656" s="4" t="s">
        <v>5137</v>
      </c>
      <c r="C2656" s="5" t="s">
        <v>16</v>
      </c>
      <c r="D2656" s="6" t="s">
        <v>5135</v>
      </c>
      <c r="E2656" s="6"/>
      <c r="F2656" s="6" t="b">
        <f t="shared" si="1"/>
        <v>0</v>
      </c>
    </row>
    <row r="2657" ht="15.75" customHeight="1">
      <c r="A2657" s="7" t="s">
        <v>5138</v>
      </c>
      <c r="B2657" s="4" t="s">
        <v>5139</v>
      </c>
      <c r="C2657" s="5" t="s">
        <v>16</v>
      </c>
      <c r="D2657" s="6" t="s">
        <v>5135</v>
      </c>
      <c r="E2657" s="6"/>
      <c r="F2657" s="6" t="b">
        <f t="shared" si="1"/>
        <v>0</v>
      </c>
    </row>
    <row r="2658" ht="15.75" customHeight="1">
      <c r="A2658" s="3" t="s">
        <v>5140</v>
      </c>
      <c r="B2658" s="4"/>
      <c r="C2658" s="5"/>
      <c r="D2658" s="5"/>
      <c r="E2658" s="6"/>
      <c r="F2658" s="6" t="b">
        <f t="shared" si="1"/>
        <v>0</v>
      </c>
    </row>
    <row r="2659" ht="15.75" customHeight="1">
      <c r="A2659" s="3" t="s">
        <v>5141</v>
      </c>
      <c r="B2659" s="4"/>
      <c r="C2659" s="5"/>
      <c r="D2659" s="5"/>
      <c r="E2659" s="6"/>
      <c r="F2659" s="6" t="b">
        <f t="shared" si="1"/>
        <v>0</v>
      </c>
    </row>
    <row r="2660" ht="15.75" customHeight="1">
      <c r="A2660" s="7" t="s">
        <v>5142</v>
      </c>
      <c r="B2660" s="4" t="s">
        <v>5143</v>
      </c>
      <c r="C2660" s="5" t="s">
        <v>16</v>
      </c>
      <c r="D2660" s="6" t="s">
        <v>5135</v>
      </c>
      <c r="E2660" s="6"/>
      <c r="F2660" s="6" t="b">
        <f t="shared" si="1"/>
        <v>0</v>
      </c>
    </row>
    <row r="2661" ht="15.75" customHeight="1">
      <c r="A2661" s="3" t="s">
        <v>5144</v>
      </c>
      <c r="B2661" s="4"/>
      <c r="C2661" s="5"/>
      <c r="D2661" s="5"/>
      <c r="E2661" s="6"/>
      <c r="F2661" s="6" t="b">
        <f t="shared" si="1"/>
        <v>0</v>
      </c>
    </row>
    <row r="2662" ht="15.75" customHeight="1">
      <c r="A2662" s="7" t="s">
        <v>5145</v>
      </c>
      <c r="B2662" s="4" t="s">
        <v>5146</v>
      </c>
      <c r="C2662" s="5" t="s">
        <v>16</v>
      </c>
      <c r="D2662" s="6" t="s">
        <v>5147</v>
      </c>
      <c r="E2662" s="6"/>
      <c r="F2662" s="6" t="b">
        <f t="shared" si="1"/>
        <v>0</v>
      </c>
    </row>
    <row r="2663" ht="15.75" customHeight="1">
      <c r="A2663" s="7" t="s">
        <v>5148</v>
      </c>
      <c r="B2663" s="4" t="s">
        <v>5149</v>
      </c>
      <c r="C2663" s="5" t="s">
        <v>16</v>
      </c>
      <c r="D2663" s="6" t="s">
        <v>5150</v>
      </c>
      <c r="E2663" s="6"/>
      <c r="F2663" s="6" t="b">
        <f t="shared" si="1"/>
        <v>0</v>
      </c>
    </row>
    <row r="2664" ht="15.75" customHeight="1">
      <c r="A2664" s="7" t="s">
        <v>5151</v>
      </c>
      <c r="B2664" s="4" t="s">
        <v>5152</v>
      </c>
      <c r="C2664" s="5" t="s">
        <v>16</v>
      </c>
      <c r="D2664" s="6" t="s">
        <v>5153</v>
      </c>
      <c r="E2664" s="6"/>
      <c r="F2664" s="6" t="b">
        <f t="shared" si="1"/>
        <v>0</v>
      </c>
    </row>
    <row r="2665" ht="15.75" customHeight="1">
      <c r="A2665" s="7" t="s">
        <v>5154</v>
      </c>
      <c r="B2665" s="4" t="s">
        <v>5155</v>
      </c>
      <c r="C2665" s="5" t="s">
        <v>16</v>
      </c>
      <c r="D2665" s="6" t="s">
        <v>5156</v>
      </c>
      <c r="E2665" s="6"/>
      <c r="F2665" s="6" t="b">
        <f t="shared" si="1"/>
        <v>0</v>
      </c>
    </row>
    <row r="2666" ht="15.75" customHeight="1">
      <c r="A2666" s="7" t="s">
        <v>5157</v>
      </c>
      <c r="B2666" s="4" t="s">
        <v>5158</v>
      </c>
      <c r="C2666" s="5" t="s">
        <v>16</v>
      </c>
      <c r="D2666" s="6" t="s">
        <v>211</v>
      </c>
      <c r="E2666" s="6"/>
      <c r="F2666" s="6" t="b">
        <f t="shared" si="1"/>
        <v>0</v>
      </c>
    </row>
    <row r="2667" ht="15.75" customHeight="1">
      <c r="A2667" s="7" t="s">
        <v>5159</v>
      </c>
      <c r="B2667" s="4" t="s">
        <v>5160</v>
      </c>
      <c r="C2667" s="5" t="s">
        <v>16</v>
      </c>
      <c r="D2667" s="6" t="s">
        <v>211</v>
      </c>
      <c r="E2667" s="6"/>
      <c r="F2667" s="6" t="b">
        <f t="shared" si="1"/>
        <v>0</v>
      </c>
    </row>
    <row r="2668" ht="15.75" customHeight="1">
      <c r="A2668" s="3" t="s">
        <v>5161</v>
      </c>
      <c r="B2668" s="4"/>
      <c r="C2668" s="5"/>
      <c r="D2668" s="5"/>
      <c r="E2668" s="6"/>
      <c r="F2668" s="6" t="b">
        <f t="shared" si="1"/>
        <v>0</v>
      </c>
    </row>
    <row r="2669" ht="15.75" customHeight="1">
      <c r="A2669" s="3" t="s">
        <v>5162</v>
      </c>
      <c r="B2669" s="4"/>
      <c r="C2669" s="5"/>
      <c r="D2669" s="5"/>
      <c r="E2669" s="6"/>
      <c r="F2669" s="6" t="b">
        <f t="shared" si="1"/>
        <v>0</v>
      </c>
    </row>
    <row r="2670" ht="15.75" customHeight="1">
      <c r="A2670" s="7" t="s">
        <v>5163</v>
      </c>
      <c r="B2670" s="4" t="s">
        <v>5164</v>
      </c>
      <c r="C2670" s="5" t="s">
        <v>16</v>
      </c>
      <c r="D2670" s="6" t="s">
        <v>5165</v>
      </c>
      <c r="E2670" s="6"/>
      <c r="F2670" s="6" t="b">
        <f t="shared" si="1"/>
        <v>0</v>
      </c>
    </row>
    <row r="2671" ht="15.75" customHeight="1">
      <c r="A2671" s="7" t="s">
        <v>5166</v>
      </c>
      <c r="B2671" s="4" t="s">
        <v>5167</v>
      </c>
      <c r="C2671" s="5" t="s">
        <v>16</v>
      </c>
      <c r="D2671" s="6" t="s">
        <v>5168</v>
      </c>
      <c r="E2671" s="6"/>
      <c r="F2671" s="6" t="b">
        <f t="shared" si="1"/>
        <v>0</v>
      </c>
    </row>
    <row r="2672" ht="15.75" customHeight="1">
      <c r="A2672" s="7" t="s">
        <v>5169</v>
      </c>
      <c r="B2672" s="4" t="s">
        <v>5170</v>
      </c>
      <c r="C2672" s="5" t="s">
        <v>16</v>
      </c>
      <c r="D2672" s="6" t="s">
        <v>5171</v>
      </c>
      <c r="E2672" s="6"/>
      <c r="F2672" s="6" t="b">
        <f t="shared" si="1"/>
        <v>0</v>
      </c>
    </row>
    <row r="2673" ht="15.75" customHeight="1">
      <c r="A2673" s="7" t="s">
        <v>5172</v>
      </c>
      <c r="B2673" s="4" t="s">
        <v>5173</v>
      </c>
      <c r="C2673" s="5" t="s">
        <v>16</v>
      </c>
      <c r="D2673" s="6" t="s">
        <v>5174</v>
      </c>
      <c r="E2673" s="6"/>
      <c r="F2673" s="6" t="b">
        <f t="shared" si="1"/>
        <v>0</v>
      </c>
    </row>
    <row r="2674" ht="15.75" customHeight="1">
      <c r="A2674" s="7" t="s">
        <v>5175</v>
      </c>
      <c r="B2674" s="4" t="s">
        <v>5176</v>
      </c>
      <c r="C2674" s="5" t="s">
        <v>16</v>
      </c>
      <c r="D2674" s="6" t="s">
        <v>5177</v>
      </c>
      <c r="E2674" s="6"/>
      <c r="F2674" s="6" t="b">
        <f t="shared" si="1"/>
        <v>0</v>
      </c>
    </row>
    <row r="2675" ht="15.75" customHeight="1">
      <c r="A2675" s="7" t="s">
        <v>5178</v>
      </c>
      <c r="B2675" s="4" t="s">
        <v>5179</v>
      </c>
      <c r="C2675" s="5" t="s">
        <v>16</v>
      </c>
      <c r="D2675" s="6" t="s">
        <v>5180</v>
      </c>
      <c r="E2675" s="6"/>
      <c r="F2675" s="6" t="b">
        <f t="shared" si="1"/>
        <v>0</v>
      </c>
    </row>
    <row r="2676" ht="15.75" customHeight="1">
      <c r="A2676" s="3" t="s">
        <v>5181</v>
      </c>
      <c r="B2676" s="4"/>
      <c r="C2676" s="5"/>
      <c r="D2676" s="5"/>
      <c r="E2676" s="6"/>
      <c r="F2676" s="6" t="b">
        <f t="shared" si="1"/>
        <v>0</v>
      </c>
    </row>
    <row r="2677" ht="15.75" customHeight="1">
      <c r="A2677" s="7" t="s">
        <v>5182</v>
      </c>
      <c r="B2677" s="4" t="s">
        <v>5183</v>
      </c>
      <c r="C2677" s="5" t="s">
        <v>16</v>
      </c>
      <c r="D2677" s="6" t="s">
        <v>5184</v>
      </c>
      <c r="E2677" s="6"/>
      <c r="F2677" s="6" t="b">
        <f t="shared" si="1"/>
        <v>0</v>
      </c>
    </row>
    <row r="2678" ht="15.75" customHeight="1">
      <c r="A2678" s="7" t="s">
        <v>5185</v>
      </c>
      <c r="B2678" s="4" t="s">
        <v>5186</v>
      </c>
      <c r="C2678" s="5" t="s">
        <v>16</v>
      </c>
      <c r="D2678" s="6" t="s">
        <v>5184</v>
      </c>
      <c r="E2678" s="6"/>
      <c r="F2678" s="6" t="b">
        <f t="shared" si="1"/>
        <v>0</v>
      </c>
    </row>
    <row r="2679" ht="15.75" customHeight="1">
      <c r="A2679" s="7" t="s">
        <v>5187</v>
      </c>
      <c r="B2679" s="4" t="s">
        <v>5188</v>
      </c>
      <c r="C2679" s="5" t="s">
        <v>16</v>
      </c>
      <c r="D2679" s="6" t="s">
        <v>5184</v>
      </c>
      <c r="E2679" s="6"/>
      <c r="F2679" s="6" t="b">
        <f t="shared" si="1"/>
        <v>0</v>
      </c>
    </row>
    <row r="2680" ht="15.75" customHeight="1">
      <c r="A2680" s="7" t="s">
        <v>5189</v>
      </c>
      <c r="B2680" s="4" t="s">
        <v>5190</v>
      </c>
      <c r="C2680" s="5" t="s">
        <v>16</v>
      </c>
      <c r="D2680" s="6" t="s">
        <v>5184</v>
      </c>
      <c r="E2680" s="6"/>
      <c r="F2680" s="6" t="b">
        <f t="shared" si="1"/>
        <v>0</v>
      </c>
    </row>
    <row r="2681" ht="15.75" customHeight="1">
      <c r="A2681" s="3" t="s">
        <v>5191</v>
      </c>
      <c r="B2681" s="4"/>
      <c r="C2681" s="5"/>
      <c r="D2681" s="5"/>
      <c r="E2681" s="6"/>
      <c r="F2681" s="6" t="b">
        <f t="shared" si="1"/>
        <v>0</v>
      </c>
    </row>
    <row r="2682" ht="15.75" customHeight="1">
      <c r="A2682" s="3" t="s">
        <v>5192</v>
      </c>
      <c r="B2682" s="4"/>
      <c r="C2682" s="5"/>
      <c r="D2682" s="5"/>
      <c r="E2682" s="6"/>
      <c r="F2682" s="6" t="b">
        <f t="shared" si="1"/>
        <v>0</v>
      </c>
    </row>
    <row r="2683" ht="15.75" customHeight="1">
      <c r="A2683" s="7" t="s">
        <v>5193</v>
      </c>
      <c r="B2683" s="4" t="s">
        <v>5194</v>
      </c>
      <c r="C2683" s="5" t="s">
        <v>16</v>
      </c>
      <c r="D2683" s="6" t="s">
        <v>5195</v>
      </c>
      <c r="E2683" s="6"/>
      <c r="F2683" s="6" t="b">
        <f t="shared" si="1"/>
        <v>0</v>
      </c>
    </row>
    <row r="2684" ht="15.75" customHeight="1">
      <c r="A2684" s="7" t="s">
        <v>5196</v>
      </c>
      <c r="B2684" s="4" t="s">
        <v>5197</v>
      </c>
      <c r="C2684" s="5" t="s">
        <v>16</v>
      </c>
      <c r="D2684" s="6" t="s">
        <v>5198</v>
      </c>
      <c r="E2684" s="6"/>
      <c r="F2684" s="6" t="b">
        <f t="shared" si="1"/>
        <v>0</v>
      </c>
    </row>
    <row r="2685" ht="15.75" customHeight="1">
      <c r="A2685" s="12" t="s">
        <v>5199</v>
      </c>
      <c r="B2685" s="4" t="s">
        <v>5200</v>
      </c>
      <c r="C2685" s="5" t="s">
        <v>16</v>
      </c>
      <c r="D2685" s="6" t="s">
        <v>5201</v>
      </c>
      <c r="E2685" s="6"/>
      <c r="F2685" s="6" t="b">
        <f t="shared" si="1"/>
        <v>0</v>
      </c>
    </row>
    <row r="2686" ht="15.75" customHeight="1">
      <c r="A2686" s="3" t="s">
        <v>5202</v>
      </c>
      <c r="B2686" s="4"/>
      <c r="C2686" s="5"/>
      <c r="D2686" s="5"/>
      <c r="E2686" s="6"/>
      <c r="F2686" s="6" t="b">
        <f t="shared" si="1"/>
        <v>0</v>
      </c>
    </row>
    <row r="2687" ht="15.75" customHeight="1">
      <c r="A2687" s="7" t="s">
        <v>5203</v>
      </c>
      <c r="B2687" s="4" t="s">
        <v>5204</v>
      </c>
      <c r="C2687" s="5" t="s">
        <v>16</v>
      </c>
      <c r="D2687" s="6" t="s">
        <v>5205</v>
      </c>
      <c r="E2687" s="6"/>
      <c r="F2687" s="6" t="b">
        <f t="shared" si="1"/>
        <v>0</v>
      </c>
    </row>
    <row r="2688" ht="15.75" customHeight="1">
      <c r="A2688" s="7" t="s">
        <v>5206</v>
      </c>
      <c r="B2688" s="4" t="s">
        <v>5207</v>
      </c>
      <c r="C2688" s="5" t="s">
        <v>16</v>
      </c>
      <c r="D2688" s="6" t="s">
        <v>5208</v>
      </c>
      <c r="E2688" s="6"/>
      <c r="F2688" s="6" t="b">
        <f t="shared" si="1"/>
        <v>0</v>
      </c>
    </row>
    <row r="2689" ht="15.75" customHeight="1">
      <c r="A2689" s="7" t="s">
        <v>5209</v>
      </c>
      <c r="B2689" s="4" t="s">
        <v>5210</v>
      </c>
      <c r="C2689" s="5" t="s">
        <v>16</v>
      </c>
      <c r="D2689" s="6" t="s">
        <v>5211</v>
      </c>
      <c r="E2689" s="6"/>
      <c r="F2689" s="6" t="b">
        <f t="shared" si="1"/>
        <v>0</v>
      </c>
    </row>
    <row r="2690" ht="15.75" customHeight="1">
      <c r="A2690" s="7" t="s">
        <v>5212</v>
      </c>
      <c r="B2690" s="4" t="s">
        <v>5213</v>
      </c>
      <c r="C2690" s="5" t="s">
        <v>16</v>
      </c>
      <c r="D2690" s="6" t="s">
        <v>5214</v>
      </c>
      <c r="E2690" s="6"/>
      <c r="F2690" s="6" t="b">
        <f t="shared" si="1"/>
        <v>0</v>
      </c>
    </row>
    <row r="2691" ht="15.75" customHeight="1">
      <c r="A2691" s="3" t="s">
        <v>5215</v>
      </c>
      <c r="B2691" s="4"/>
      <c r="C2691" s="5"/>
      <c r="D2691" s="5"/>
      <c r="E2691" s="6"/>
      <c r="F2691" s="6" t="b">
        <f t="shared" si="1"/>
        <v>0</v>
      </c>
    </row>
    <row r="2692" ht="15.75" customHeight="1">
      <c r="A2692" s="3" t="s">
        <v>5216</v>
      </c>
      <c r="B2692" s="4"/>
      <c r="C2692" s="5"/>
      <c r="D2692" s="5"/>
      <c r="E2692" s="6"/>
      <c r="F2692" s="6" t="b">
        <f t="shared" si="1"/>
        <v>0</v>
      </c>
    </row>
    <row r="2693" ht="15.75" customHeight="1">
      <c r="A2693" s="3" t="s">
        <v>5217</v>
      </c>
      <c r="B2693" s="4"/>
      <c r="C2693" s="5"/>
      <c r="D2693" s="5"/>
      <c r="E2693" s="6"/>
      <c r="F2693" s="6" t="b">
        <f t="shared" si="1"/>
        <v>0</v>
      </c>
    </row>
    <row r="2694" ht="15.75" customHeight="1">
      <c r="A2694" s="3" t="s">
        <v>5218</v>
      </c>
      <c r="B2694" s="4"/>
      <c r="C2694" s="5"/>
      <c r="D2694" s="5"/>
      <c r="E2694" s="6"/>
      <c r="F2694" s="6" t="b">
        <f t="shared" si="1"/>
        <v>0</v>
      </c>
    </row>
    <row r="2695" ht="15.75" customHeight="1">
      <c r="A2695" s="3" t="s">
        <v>5219</v>
      </c>
      <c r="B2695" s="4"/>
      <c r="C2695" s="5"/>
      <c r="D2695" s="5"/>
      <c r="E2695" s="6"/>
      <c r="F2695" s="6" t="b">
        <f t="shared" si="1"/>
        <v>0</v>
      </c>
    </row>
    <row r="2696" ht="15.75" customHeight="1">
      <c r="A2696" s="3" t="s">
        <v>5220</v>
      </c>
      <c r="B2696" s="4"/>
      <c r="C2696" s="5"/>
      <c r="D2696" s="5"/>
      <c r="E2696" s="6"/>
      <c r="F2696" s="6" t="b">
        <f t="shared" si="1"/>
        <v>0</v>
      </c>
    </row>
    <row r="2697" ht="15.75" customHeight="1">
      <c r="A2697" s="3" t="s">
        <v>5221</v>
      </c>
      <c r="B2697" s="4"/>
      <c r="C2697" s="5"/>
      <c r="D2697" s="5"/>
      <c r="E2697" s="6"/>
      <c r="F2697" s="6" t="b">
        <f t="shared" si="1"/>
        <v>0</v>
      </c>
    </row>
    <row r="2698" ht="15.75" customHeight="1">
      <c r="A2698" s="7" t="s">
        <v>5222</v>
      </c>
      <c r="B2698" s="4" t="s">
        <v>5223</v>
      </c>
      <c r="C2698" s="5" t="s">
        <v>16</v>
      </c>
      <c r="D2698" s="6" t="s">
        <v>5224</v>
      </c>
      <c r="E2698" s="6"/>
      <c r="F2698" s="6" t="b">
        <f t="shared" si="1"/>
        <v>0</v>
      </c>
    </row>
    <row r="2699" ht="15.75" customHeight="1">
      <c r="A2699" s="7" t="s">
        <v>5225</v>
      </c>
      <c r="B2699" s="4" t="s">
        <v>5226</v>
      </c>
      <c r="C2699" s="5" t="s">
        <v>16</v>
      </c>
      <c r="D2699" s="6" t="s">
        <v>5224</v>
      </c>
      <c r="E2699" s="6"/>
      <c r="F2699" s="6" t="b">
        <f t="shared" si="1"/>
        <v>0</v>
      </c>
    </row>
    <row r="2700" ht="15.75" customHeight="1">
      <c r="A2700" s="7" t="s">
        <v>5227</v>
      </c>
      <c r="B2700" s="4" t="s">
        <v>5228</v>
      </c>
      <c r="C2700" s="5" t="s">
        <v>16</v>
      </c>
      <c r="D2700" s="6" t="s">
        <v>5229</v>
      </c>
      <c r="E2700" s="6"/>
      <c r="F2700" s="6" t="b">
        <f t="shared" si="1"/>
        <v>0</v>
      </c>
    </row>
    <row r="2701" ht="15.75" customHeight="1">
      <c r="A2701" s="7" t="s">
        <v>5230</v>
      </c>
      <c r="B2701" s="4" t="s">
        <v>5231</v>
      </c>
      <c r="C2701" s="5" t="s">
        <v>16</v>
      </c>
      <c r="D2701" s="6" t="s">
        <v>5229</v>
      </c>
      <c r="E2701" s="6"/>
      <c r="F2701" s="6" t="b">
        <f t="shared" si="1"/>
        <v>0</v>
      </c>
    </row>
    <row r="2702" ht="15.75" customHeight="1">
      <c r="A2702" s="7" t="s">
        <v>5232</v>
      </c>
      <c r="B2702" s="4" t="s">
        <v>5233</v>
      </c>
      <c r="C2702" s="5" t="s">
        <v>16</v>
      </c>
      <c r="D2702" s="6" t="s">
        <v>5229</v>
      </c>
      <c r="E2702" s="6"/>
      <c r="F2702" s="6" t="b">
        <f t="shared" si="1"/>
        <v>0</v>
      </c>
    </row>
    <row r="2703" ht="16.5" customHeight="1">
      <c r="A2703" s="7" t="s">
        <v>5234</v>
      </c>
      <c r="B2703" s="4" t="s">
        <v>5235</v>
      </c>
      <c r="C2703" s="5" t="s">
        <v>16</v>
      </c>
      <c r="D2703" s="6" t="s">
        <v>5229</v>
      </c>
      <c r="E2703" s="6"/>
      <c r="F2703" s="6" t="b">
        <f t="shared" si="1"/>
        <v>0</v>
      </c>
    </row>
    <row r="2704" ht="15.75" customHeight="1">
      <c r="A2704" s="7" t="s">
        <v>5236</v>
      </c>
      <c r="B2704" s="4" t="s">
        <v>5237</v>
      </c>
      <c r="C2704" s="5" t="s">
        <v>16</v>
      </c>
      <c r="D2704" s="6" t="s">
        <v>1916</v>
      </c>
      <c r="E2704" s="6"/>
      <c r="F2704" s="6" t="b">
        <f t="shared" si="1"/>
        <v>0</v>
      </c>
    </row>
    <row r="2705" ht="15.75" customHeight="1">
      <c r="A2705" s="7" t="s">
        <v>5238</v>
      </c>
      <c r="B2705" s="4" t="s">
        <v>5239</v>
      </c>
      <c r="C2705" s="5" t="s">
        <v>16</v>
      </c>
      <c r="D2705" s="6" t="s">
        <v>1916</v>
      </c>
      <c r="E2705" s="6"/>
      <c r="F2705" s="6" t="b">
        <f t="shared" si="1"/>
        <v>0</v>
      </c>
    </row>
    <row r="2706" ht="15.75" customHeight="1">
      <c r="A2706" s="7" t="s">
        <v>5240</v>
      </c>
      <c r="B2706" s="4" t="s">
        <v>5241</v>
      </c>
      <c r="C2706" s="5" t="s">
        <v>16</v>
      </c>
      <c r="D2706" s="6" t="s">
        <v>1916</v>
      </c>
      <c r="E2706" s="6"/>
      <c r="F2706" s="6" t="b">
        <f t="shared" si="1"/>
        <v>0</v>
      </c>
    </row>
    <row r="2707" ht="15.75" customHeight="1">
      <c r="A2707" s="7" t="s">
        <v>5242</v>
      </c>
      <c r="B2707" s="4" t="s">
        <v>5243</v>
      </c>
      <c r="C2707" s="5" t="s">
        <v>16</v>
      </c>
      <c r="D2707" s="6" t="s">
        <v>1916</v>
      </c>
      <c r="E2707" s="6"/>
      <c r="F2707" s="6" t="b">
        <f t="shared" si="1"/>
        <v>0</v>
      </c>
    </row>
    <row r="2708" ht="15.75" customHeight="1">
      <c r="A2708" s="7" t="s">
        <v>5244</v>
      </c>
      <c r="B2708" s="4" t="s">
        <v>5245</v>
      </c>
      <c r="C2708" s="5" t="s">
        <v>16</v>
      </c>
      <c r="D2708" s="6" t="s">
        <v>1916</v>
      </c>
      <c r="E2708" s="6"/>
      <c r="F2708" s="6" t="b">
        <f t="shared" si="1"/>
        <v>0</v>
      </c>
    </row>
    <row r="2709" ht="15.75" customHeight="1">
      <c r="A2709" s="7" t="s">
        <v>5246</v>
      </c>
      <c r="B2709" s="4" t="s">
        <v>5247</v>
      </c>
      <c r="C2709" s="5" t="s">
        <v>16</v>
      </c>
      <c r="D2709" s="6" t="s">
        <v>1916</v>
      </c>
      <c r="E2709" s="6"/>
      <c r="F2709" s="6" t="b">
        <f t="shared" si="1"/>
        <v>0</v>
      </c>
    </row>
    <row r="2710" ht="15.75" customHeight="1">
      <c r="A2710" s="7" t="s">
        <v>5248</v>
      </c>
      <c r="B2710" s="4" t="s">
        <v>5249</v>
      </c>
      <c r="C2710" s="5" t="s">
        <v>16</v>
      </c>
      <c r="D2710" s="6" t="s">
        <v>1916</v>
      </c>
      <c r="E2710" s="6"/>
      <c r="F2710" s="6" t="b">
        <f t="shared" si="1"/>
        <v>0</v>
      </c>
    </row>
    <row r="2711" ht="15.75" customHeight="1">
      <c r="A2711" s="7" t="s">
        <v>5250</v>
      </c>
      <c r="B2711" s="4" t="s">
        <v>5251</v>
      </c>
      <c r="C2711" s="5" t="s">
        <v>16</v>
      </c>
      <c r="D2711" s="6" t="s">
        <v>1916</v>
      </c>
      <c r="E2711" s="6"/>
      <c r="F2711" s="6" t="b">
        <f t="shared" si="1"/>
        <v>0</v>
      </c>
    </row>
    <row r="2712" ht="15.75" customHeight="1">
      <c r="A2712" s="7" t="s">
        <v>5252</v>
      </c>
      <c r="B2712" s="4" t="s">
        <v>5253</v>
      </c>
      <c r="C2712" s="5" t="s">
        <v>16</v>
      </c>
      <c r="D2712" s="6" t="s">
        <v>1916</v>
      </c>
      <c r="E2712" s="6"/>
      <c r="F2712" s="6" t="b">
        <f t="shared" si="1"/>
        <v>0</v>
      </c>
    </row>
    <row r="2713" ht="15.75" customHeight="1">
      <c r="A2713" s="7" t="s">
        <v>5254</v>
      </c>
      <c r="B2713" s="4" t="s">
        <v>5255</v>
      </c>
      <c r="C2713" s="5" t="s">
        <v>16</v>
      </c>
      <c r="D2713" s="6" t="s">
        <v>1916</v>
      </c>
      <c r="E2713" s="6"/>
      <c r="F2713" s="6" t="b">
        <f t="shared" si="1"/>
        <v>0</v>
      </c>
    </row>
    <row r="2714" ht="15.75" customHeight="1">
      <c r="A2714" s="7" t="s">
        <v>5256</v>
      </c>
      <c r="B2714" s="4" t="s">
        <v>5257</v>
      </c>
      <c r="C2714" s="5" t="s">
        <v>16</v>
      </c>
      <c r="D2714" s="6" t="s">
        <v>1916</v>
      </c>
      <c r="E2714" s="6"/>
      <c r="F2714" s="6" t="b">
        <f t="shared" si="1"/>
        <v>0</v>
      </c>
    </row>
    <row r="2715" ht="15.75" customHeight="1">
      <c r="A2715" s="7" t="s">
        <v>5258</v>
      </c>
      <c r="B2715" s="4" t="s">
        <v>5259</v>
      </c>
      <c r="C2715" s="5" t="s">
        <v>16</v>
      </c>
      <c r="D2715" s="6" t="s">
        <v>5260</v>
      </c>
      <c r="E2715" s="6"/>
      <c r="F2715" s="6" t="b">
        <f t="shared" si="1"/>
        <v>0</v>
      </c>
    </row>
    <row r="2716" ht="15.75" customHeight="1">
      <c r="A2716" s="7" t="s">
        <v>5261</v>
      </c>
      <c r="B2716" s="4" t="s">
        <v>5262</v>
      </c>
      <c r="C2716" s="5" t="s">
        <v>16</v>
      </c>
      <c r="D2716" s="6" t="s">
        <v>5263</v>
      </c>
      <c r="E2716" s="6"/>
      <c r="F2716" s="6" t="b">
        <f t="shared" si="1"/>
        <v>0</v>
      </c>
    </row>
    <row r="2717" ht="15.75" customHeight="1">
      <c r="A2717" s="7" t="s">
        <v>5264</v>
      </c>
      <c r="B2717" s="9" t="s">
        <v>5265</v>
      </c>
      <c r="C2717" s="5" t="s">
        <v>16</v>
      </c>
      <c r="D2717" s="6" t="s">
        <v>5266</v>
      </c>
      <c r="E2717" s="6"/>
      <c r="F2717" s="6" t="b">
        <f t="shared" si="1"/>
        <v>0</v>
      </c>
    </row>
    <row r="2718" ht="15.75" customHeight="1">
      <c r="A2718" s="7" t="s">
        <v>5267</v>
      </c>
      <c r="B2718" s="4" t="s">
        <v>5268</v>
      </c>
      <c r="C2718" s="5" t="s">
        <v>16</v>
      </c>
      <c r="D2718" s="6" t="s">
        <v>5269</v>
      </c>
      <c r="E2718" s="6"/>
      <c r="F2718" s="6" t="b">
        <f t="shared" si="1"/>
        <v>0</v>
      </c>
    </row>
    <row r="2719" ht="15.75" customHeight="1">
      <c r="A2719" s="7" t="s">
        <v>5270</v>
      </c>
      <c r="B2719" s="4" t="s">
        <v>5271</v>
      </c>
      <c r="C2719" s="5" t="s">
        <v>16</v>
      </c>
      <c r="D2719" s="6" t="s">
        <v>5272</v>
      </c>
      <c r="E2719" s="6"/>
      <c r="F2719" s="6" t="b">
        <f t="shared" si="1"/>
        <v>0</v>
      </c>
    </row>
    <row r="2720" ht="15.75" customHeight="1">
      <c r="A2720" s="3" t="s">
        <v>5273</v>
      </c>
      <c r="B2720" s="4"/>
      <c r="C2720" s="5"/>
      <c r="D2720" s="5"/>
      <c r="E2720" s="6"/>
      <c r="F2720" s="6" t="b">
        <f t="shared" si="1"/>
        <v>0</v>
      </c>
    </row>
    <row r="2721" ht="15.75" customHeight="1">
      <c r="A2721" s="3" t="s">
        <v>5274</v>
      </c>
      <c r="B2721" s="4"/>
      <c r="C2721" s="5"/>
      <c r="D2721" s="5"/>
      <c r="E2721" s="6"/>
      <c r="F2721" s="6" t="b">
        <f t="shared" si="1"/>
        <v>0</v>
      </c>
    </row>
    <row r="2722" ht="15.75" customHeight="1">
      <c r="A2722" s="3" t="s">
        <v>5275</v>
      </c>
      <c r="B2722" s="4"/>
      <c r="C2722" s="5"/>
      <c r="D2722" s="5"/>
      <c r="E2722" s="6"/>
      <c r="F2722" s="6" t="b">
        <f t="shared" si="1"/>
        <v>0</v>
      </c>
    </row>
    <row r="2723" ht="15.75" customHeight="1">
      <c r="A2723" s="3" t="s">
        <v>5276</v>
      </c>
      <c r="B2723" s="4"/>
      <c r="C2723" s="5"/>
      <c r="D2723" s="5"/>
      <c r="E2723" s="6"/>
      <c r="F2723" s="6" t="b">
        <f t="shared" si="1"/>
        <v>0</v>
      </c>
    </row>
    <row r="2724" ht="15.75" customHeight="1">
      <c r="A2724" s="3" t="s">
        <v>5277</v>
      </c>
      <c r="B2724" s="4"/>
      <c r="C2724" s="5"/>
      <c r="D2724" s="5"/>
      <c r="E2724" s="6"/>
      <c r="F2724" s="6" t="b">
        <f t="shared" si="1"/>
        <v>0</v>
      </c>
    </row>
    <row r="2725" ht="15.75" customHeight="1">
      <c r="A2725" s="3" t="s">
        <v>5278</v>
      </c>
      <c r="B2725" s="4"/>
      <c r="C2725" s="5"/>
      <c r="D2725" s="5"/>
      <c r="E2725" s="6"/>
      <c r="F2725" s="6" t="b">
        <f t="shared" si="1"/>
        <v>0</v>
      </c>
    </row>
    <row r="2726" ht="15.75" customHeight="1">
      <c r="A2726" s="3" t="s">
        <v>5279</v>
      </c>
      <c r="B2726" s="4"/>
      <c r="C2726" s="5"/>
      <c r="D2726" s="5"/>
      <c r="E2726" s="6"/>
      <c r="F2726" s="6" t="b">
        <f t="shared" si="1"/>
        <v>0</v>
      </c>
    </row>
    <row r="2727" ht="15.75" customHeight="1">
      <c r="A2727" s="3" t="s">
        <v>5280</v>
      </c>
      <c r="B2727" s="4"/>
      <c r="C2727" s="5"/>
      <c r="D2727" s="5"/>
      <c r="E2727" s="6"/>
      <c r="F2727" s="6" t="b">
        <f t="shared" si="1"/>
        <v>0</v>
      </c>
    </row>
    <row r="2728" ht="15.75" customHeight="1">
      <c r="A2728" s="7" t="s">
        <v>5281</v>
      </c>
      <c r="B2728" s="4" t="s">
        <v>5282</v>
      </c>
      <c r="C2728" s="5" t="s">
        <v>6</v>
      </c>
      <c r="D2728" s="6" t="s">
        <v>5283</v>
      </c>
      <c r="E2728" s="6"/>
      <c r="F2728" s="6" t="b">
        <f t="shared" si="1"/>
        <v>0</v>
      </c>
    </row>
    <row r="2729" ht="15.75" customHeight="1">
      <c r="A2729" s="3" t="s">
        <v>5284</v>
      </c>
      <c r="B2729" s="4"/>
      <c r="C2729" s="5"/>
      <c r="D2729" s="5"/>
      <c r="E2729" s="6"/>
      <c r="F2729" s="6" t="b">
        <f t="shared" si="1"/>
        <v>0</v>
      </c>
    </row>
    <row r="2730" ht="15.75" customHeight="1">
      <c r="A2730" s="3" t="s">
        <v>5285</v>
      </c>
      <c r="B2730" s="4"/>
      <c r="C2730" s="5"/>
      <c r="D2730" s="5"/>
      <c r="E2730" s="6"/>
      <c r="F2730" s="6" t="b">
        <f t="shared" si="1"/>
        <v>0</v>
      </c>
    </row>
    <row r="2731" ht="15.75" customHeight="1">
      <c r="A2731" s="3" t="s">
        <v>5286</v>
      </c>
      <c r="B2731" s="4"/>
      <c r="C2731" s="5"/>
      <c r="D2731" s="5"/>
      <c r="E2731" s="6"/>
      <c r="F2731" s="6" t="b">
        <f t="shared" si="1"/>
        <v>0</v>
      </c>
    </row>
    <row r="2732" ht="15.75" customHeight="1">
      <c r="A2732" s="7" t="s">
        <v>5287</v>
      </c>
      <c r="B2732" s="4" t="s">
        <v>5288</v>
      </c>
      <c r="C2732" s="5" t="s">
        <v>16</v>
      </c>
      <c r="D2732" s="6" t="s">
        <v>5289</v>
      </c>
      <c r="E2732" s="6"/>
      <c r="F2732" s="6" t="b">
        <f t="shared" si="1"/>
        <v>0</v>
      </c>
    </row>
    <row r="2733" ht="15.75" customHeight="1">
      <c r="A2733" s="3" t="s">
        <v>5290</v>
      </c>
      <c r="B2733" s="4"/>
      <c r="C2733" s="5"/>
      <c r="D2733" s="5"/>
      <c r="E2733" s="6"/>
      <c r="F2733" s="6" t="b">
        <f t="shared" si="1"/>
        <v>0</v>
      </c>
    </row>
    <row r="2734" ht="15.75" customHeight="1">
      <c r="A2734" s="7" t="s">
        <v>5291</v>
      </c>
      <c r="B2734" s="4" t="s">
        <v>5292</v>
      </c>
      <c r="C2734" s="5" t="s">
        <v>16</v>
      </c>
      <c r="D2734" s="6" t="s">
        <v>5293</v>
      </c>
      <c r="E2734" s="6"/>
      <c r="F2734" s="6" t="b">
        <f t="shared" si="1"/>
        <v>0</v>
      </c>
    </row>
    <row r="2735" ht="15.75" customHeight="1">
      <c r="A2735" s="7" t="s">
        <v>5294</v>
      </c>
      <c r="B2735" s="4" t="s">
        <v>5295</v>
      </c>
      <c r="C2735" s="5" t="s">
        <v>6</v>
      </c>
      <c r="D2735" s="6" t="s">
        <v>742</v>
      </c>
      <c r="E2735" s="6"/>
      <c r="F2735" s="6" t="b">
        <f t="shared" si="1"/>
        <v>0</v>
      </c>
    </row>
    <row r="2736" ht="15.75" customHeight="1">
      <c r="A2736" s="7" t="s">
        <v>5296</v>
      </c>
      <c r="B2736" s="4" t="s">
        <v>5297</v>
      </c>
      <c r="C2736" s="5" t="s">
        <v>6</v>
      </c>
      <c r="D2736" s="6" t="s">
        <v>5298</v>
      </c>
      <c r="E2736" s="6"/>
      <c r="F2736" s="6" t="b">
        <f t="shared" si="1"/>
        <v>0</v>
      </c>
    </row>
    <row r="2737" ht="15.75" customHeight="1">
      <c r="A2737" s="7" t="s">
        <v>5299</v>
      </c>
      <c r="B2737" s="4" t="s">
        <v>5300</v>
      </c>
      <c r="C2737" s="5" t="s">
        <v>6</v>
      </c>
      <c r="D2737" s="6" t="s">
        <v>5301</v>
      </c>
      <c r="E2737" s="6"/>
      <c r="F2737" s="6" t="b">
        <f t="shared" si="1"/>
        <v>0</v>
      </c>
    </row>
    <row r="2738" ht="15.75" customHeight="1">
      <c r="A2738" s="7" t="s">
        <v>5302</v>
      </c>
      <c r="B2738" s="4" t="s">
        <v>5303</v>
      </c>
      <c r="C2738" s="5" t="s">
        <v>6</v>
      </c>
      <c r="D2738" s="6" t="s">
        <v>5304</v>
      </c>
      <c r="E2738" s="6"/>
      <c r="F2738" s="6" t="b">
        <f t="shared" si="1"/>
        <v>0</v>
      </c>
    </row>
    <row r="2739" ht="15.75" customHeight="1">
      <c r="A2739" s="3" t="s">
        <v>5305</v>
      </c>
      <c r="B2739" s="4"/>
      <c r="C2739" s="5"/>
      <c r="D2739" s="5"/>
      <c r="E2739" s="6"/>
      <c r="F2739" s="6" t="b">
        <f t="shared" si="1"/>
        <v>0</v>
      </c>
    </row>
    <row r="2740" ht="15.75" customHeight="1">
      <c r="A2740" s="7" t="s">
        <v>5306</v>
      </c>
      <c r="B2740" s="4" t="s">
        <v>5307</v>
      </c>
      <c r="C2740" s="5" t="s">
        <v>6</v>
      </c>
      <c r="D2740" s="6" t="s">
        <v>5308</v>
      </c>
      <c r="E2740" s="6"/>
      <c r="F2740" s="6" t="b">
        <f t="shared" si="1"/>
        <v>0</v>
      </c>
    </row>
    <row r="2741" ht="15.75" customHeight="1">
      <c r="A2741" s="3" t="s">
        <v>5309</v>
      </c>
      <c r="B2741" s="4"/>
      <c r="C2741" s="5"/>
      <c r="D2741" s="5"/>
      <c r="E2741" s="6"/>
      <c r="F2741" s="6" t="b">
        <f t="shared" si="1"/>
        <v>0</v>
      </c>
    </row>
    <row r="2742" ht="15.75" customHeight="1">
      <c r="A2742" s="3" t="s">
        <v>5310</v>
      </c>
      <c r="B2742" s="4"/>
      <c r="C2742" s="5"/>
      <c r="D2742" s="5"/>
      <c r="E2742" s="6"/>
      <c r="F2742" s="6" t="b">
        <f t="shared" si="1"/>
        <v>0</v>
      </c>
    </row>
    <row r="2743" ht="15.75" customHeight="1">
      <c r="A2743" s="3" t="s">
        <v>5311</v>
      </c>
      <c r="B2743" s="4"/>
      <c r="C2743" s="5"/>
      <c r="D2743" s="5"/>
      <c r="E2743" s="6"/>
      <c r="F2743" s="6" t="b">
        <f t="shared" si="1"/>
        <v>0</v>
      </c>
    </row>
    <row r="2744" ht="15.75" customHeight="1">
      <c r="A2744" s="7" t="s">
        <v>5312</v>
      </c>
      <c r="B2744" s="4" t="s">
        <v>5313</v>
      </c>
      <c r="C2744" s="5" t="s">
        <v>16</v>
      </c>
      <c r="D2744" s="6" t="s">
        <v>5314</v>
      </c>
      <c r="E2744" s="6"/>
      <c r="F2744" s="6" t="b">
        <f t="shared" si="1"/>
        <v>0</v>
      </c>
    </row>
    <row r="2745" ht="15.75" customHeight="1">
      <c r="A2745" s="7" t="s">
        <v>5315</v>
      </c>
      <c r="B2745" s="4" t="s">
        <v>5316</v>
      </c>
      <c r="C2745" s="5" t="s">
        <v>16</v>
      </c>
      <c r="D2745" s="6" t="s">
        <v>5317</v>
      </c>
      <c r="E2745" s="6"/>
      <c r="F2745" s="6" t="b">
        <f t="shared" si="1"/>
        <v>0</v>
      </c>
    </row>
    <row r="2746" ht="15.75" customHeight="1">
      <c r="A2746" s="7" t="s">
        <v>5318</v>
      </c>
      <c r="B2746" s="4" t="s">
        <v>5319</v>
      </c>
      <c r="C2746" s="5" t="s">
        <v>6</v>
      </c>
      <c r="D2746" s="6" t="s">
        <v>5320</v>
      </c>
      <c r="E2746" s="6"/>
      <c r="F2746" s="6" t="b">
        <f t="shared" si="1"/>
        <v>0</v>
      </c>
    </row>
    <row r="2747" ht="15.75" customHeight="1">
      <c r="A2747" s="7" t="s">
        <v>5321</v>
      </c>
      <c r="B2747" s="4" t="s">
        <v>5322</v>
      </c>
      <c r="C2747" s="5" t="s">
        <v>6</v>
      </c>
      <c r="D2747" s="6" t="s">
        <v>5320</v>
      </c>
      <c r="E2747" s="6"/>
      <c r="F2747" s="6" t="b">
        <f t="shared" si="1"/>
        <v>0</v>
      </c>
    </row>
    <row r="2748" ht="15.75" customHeight="1">
      <c r="A2748" s="7" t="s">
        <v>5323</v>
      </c>
      <c r="B2748" s="4" t="s">
        <v>5324</v>
      </c>
      <c r="C2748" s="5" t="s">
        <v>6</v>
      </c>
      <c r="D2748" s="6" t="s">
        <v>5320</v>
      </c>
      <c r="E2748" s="6"/>
      <c r="F2748" s="6" t="b">
        <f t="shared" si="1"/>
        <v>0</v>
      </c>
    </row>
    <row r="2749" ht="15.75" customHeight="1">
      <c r="A2749" s="7" t="s">
        <v>5325</v>
      </c>
      <c r="B2749" s="4" t="s">
        <v>5326</v>
      </c>
      <c r="C2749" s="5" t="s">
        <v>6</v>
      </c>
      <c r="D2749" s="6" t="s">
        <v>5320</v>
      </c>
      <c r="E2749" s="6"/>
      <c r="F2749" s="6" t="b">
        <f t="shared" si="1"/>
        <v>0</v>
      </c>
    </row>
    <row r="2750" ht="15.75" customHeight="1">
      <c r="A2750" s="7" t="s">
        <v>5327</v>
      </c>
      <c r="B2750" s="4" t="s">
        <v>5328</v>
      </c>
      <c r="C2750" s="5" t="s">
        <v>6</v>
      </c>
      <c r="D2750" s="6" t="s">
        <v>5320</v>
      </c>
      <c r="E2750" s="6"/>
      <c r="F2750" s="6" t="b">
        <f t="shared" si="1"/>
        <v>0</v>
      </c>
    </row>
    <row r="2751" ht="15.75" customHeight="1">
      <c r="A2751" s="7" t="s">
        <v>5329</v>
      </c>
      <c r="B2751" s="4" t="s">
        <v>5330</v>
      </c>
      <c r="C2751" s="5" t="s">
        <v>6</v>
      </c>
      <c r="D2751" s="6" t="s">
        <v>5320</v>
      </c>
      <c r="E2751" s="6"/>
      <c r="F2751" s="6" t="b">
        <f t="shared" si="1"/>
        <v>0</v>
      </c>
    </row>
    <row r="2752" ht="15.75" customHeight="1">
      <c r="A2752" s="7" t="s">
        <v>5331</v>
      </c>
      <c r="B2752" s="4" t="s">
        <v>5332</v>
      </c>
      <c r="C2752" s="5" t="s">
        <v>6</v>
      </c>
      <c r="D2752" s="6" t="s">
        <v>5320</v>
      </c>
      <c r="E2752" s="6"/>
      <c r="F2752" s="6" t="b">
        <f t="shared" si="1"/>
        <v>0</v>
      </c>
    </row>
    <row r="2753" ht="15.75" customHeight="1">
      <c r="A2753" s="7" t="s">
        <v>5333</v>
      </c>
      <c r="B2753" s="4" t="s">
        <v>5334</v>
      </c>
      <c r="C2753" s="5" t="s">
        <v>16</v>
      </c>
      <c r="D2753" s="6" t="s">
        <v>5335</v>
      </c>
      <c r="E2753" s="6"/>
      <c r="F2753" s="6" t="b">
        <f t="shared" si="1"/>
        <v>0</v>
      </c>
    </row>
    <row r="2754" ht="15.75" customHeight="1">
      <c r="A2754" s="7" t="s">
        <v>5336</v>
      </c>
      <c r="B2754" s="4" t="s">
        <v>5337</v>
      </c>
      <c r="C2754" s="5" t="s">
        <v>6</v>
      </c>
      <c r="D2754" s="6" t="s">
        <v>477</v>
      </c>
      <c r="E2754" s="6"/>
      <c r="F2754" s="6" t="b">
        <f t="shared" si="1"/>
        <v>0</v>
      </c>
    </row>
    <row r="2755" ht="15.75" customHeight="1">
      <c r="A2755" s="3" t="s">
        <v>5338</v>
      </c>
      <c r="B2755" s="4"/>
      <c r="C2755" s="5"/>
      <c r="D2755" s="5"/>
      <c r="E2755" s="6"/>
      <c r="F2755" s="6" t="b">
        <f t="shared" si="1"/>
        <v>0</v>
      </c>
    </row>
    <row r="2756" ht="15.75" customHeight="1">
      <c r="A2756" s="3" t="s">
        <v>5339</v>
      </c>
      <c r="B2756" s="4"/>
      <c r="C2756" s="5"/>
      <c r="D2756" s="5"/>
      <c r="E2756" s="6"/>
      <c r="F2756" s="6" t="b">
        <f t="shared" si="1"/>
        <v>0</v>
      </c>
    </row>
    <row r="2757" ht="15.75" customHeight="1">
      <c r="A2757" s="3" t="s">
        <v>5340</v>
      </c>
      <c r="B2757" s="4"/>
      <c r="C2757" s="5"/>
      <c r="D2757" s="5"/>
      <c r="E2757" s="6"/>
      <c r="F2757" s="6" t="b">
        <f t="shared" si="1"/>
        <v>0</v>
      </c>
    </row>
    <row r="2758" ht="15.75" customHeight="1">
      <c r="A2758" s="3" t="s">
        <v>5341</v>
      </c>
      <c r="B2758" s="4"/>
      <c r="C2758" s="5"/>
      <c r="D2758" s="5"/>
      <c r="E2758" s="6"/>
      <c r="F2758" s="6" t="b">
        <f t="shared" si="1"/>
        <v>0</v>
      </c>
    </row>
    <row r="2759" ht="15.75" customHeight="1">
      <c r="A2759" s="3" t="s">
        <v>5342</v>
      </c>
      <c r="B2759" s="4"/>
      <c r="C2759" s="5"/>
      <c r="D2759" s="5"/>
      <c r="E2759" s="6"/>
      <c r="F2759" s="6" t="b">
        <f t="shared" si="1"/>
        <v>0</v>
      </c>
    </row>
    <row r="2760" ht="15.75" customHeight="1">
      <c r="A2760" s="3" t="s">
        <v>5343</v>
      </c>
      <c r="B2760" s="4"/>
      <c r="C2760" s="5"/>
      <c r="D2760" s="5"/>
      <c r="E2760" s="6"/>
      <c r="F2760" s="6" t="b">
        <f t="shared" si="1"/>
        <v>0</v>
      </c>
    </row>
    <row r="2761" ht="15.75" customHeight="1">
      <c r="A2761" s="3" t="s">
        <v>5344</v>
      </c>
      <c r="B2761" s="4"/>
      <c r="C2761" s="5"/>
      <c r="D2761" s="5"/>
      <c r="E2761" s="6"/>
      <c r="F2761" s="6" t="b">
        <f t="shared" si="1"/>
        <v>0</v>
      </c>
    </row>
    <row r="2762" ht="15.75" customHeight="1">
      <c r="A2762" s="7" t="s">
        <v>5345</v>
      </c>
      <c r="B2762" s="4" t="s">
        <v>5346</v>
      </c>
      <c r="C2762" s="5" t="s">
        <v>6</v>
      </c>
      <c r="D2762" s="6" t="s">
        <v>1413</v>
      </c>
      <c r="E2762" s="6"/>
      <c r="F2762" s="6" t="b">
        <f t="shared" si="1"/>
        <v>0</v>
      </c>
    </row>
    <row r="2763" ht="15.75" customHeight="1">
      <c r="A2763" s="7" t="s">
        <v>5347</v>
      </c>
      <c r="B2763" s="4" t="s">
        <v>5348</v>
      </c>
      <c r="C2763" s="5" t="s">
        <v>6</v>
      </c>
      <c r="D2763" s="6" t="s">
        <v>1413</v>
      </c>
      <c r="E2763" s="6"/>
      <c r="F2763" s="6" t="b">
        <f t="shared" si="1"/>
        <v>0</v>
      </c>
    </row>
    <row r="2764" ht="15.75" customHeight="1">
      <c r="A2764" s="7" t="s">
        <v>5349</v>
      </c>
      <c r="B2764" s="4" t="s">
        <v>5350</v>
      </c>
      <c r="C2764" s="5" t="s">
        <v>6</v>
      </c>
      <c r="D2764" s="6" t="s">
        <v>1413</v>
      </c>
      <c r="E2764" s="6"/>
      <c r="F2764" s="6" t="b">
        <f t="shared" si="1"/>
        <v>0</v>
      </c>
    </row>
    <row r="2765" ht="15.75" customHeight="1">
      <c r="A2765" s="3" t="s">
        <v>5351</v>
      </c>
      <c r="B2765" s="4"/>
      <c r="C2765" s="5"/>
      <c r="D2765" s="5"/>
      <c r="E2765" s="6"/>
      <c r="F2765" s="6" t="b">
        <f t="shared" si="1"/>
        <v>0</v>
      </c>
    </row>
    <row r="2766" ht="15.75" customHeight="1">
      <c r="A2766" s="7" t="s">
        <v>5352</v>
      </c>
      <c r="B2766" s="4" t="s">
        <v>5353</v>
      </c>
      <c r="C2766" s="5" t="s">
        <v>6</v>
      </c>
      <c r="D2766" s="6" t="s">
        <v>1413</v>
      </c>
      <c r="E2766" s="6"/>
      <c r="F2766" s="6" t="b">
        <f t="shared" si="1"/>
        <v>0</v>
      </c>
    </row>
    <row r="2767" ht="15.75" customHeight="1">
      <c r="A2767" s="7" t="s">
        <v>5354</v>
      </c>
      <c r="B2767" s="4" t="s">
        <v>5355</v>
      </c>
      <c r="C2767" s="5" t="s">
        <v>6</v>
      </c>
      <c r="D2767" s="6" t="s">
        <v>1413</v>
      </c>
      <c r="E2767" s="6"/>
      <c r="F2767" s="6" t="b">
        <f t="shared" si="1"/>
        <v>0</v>
      </c>
    </row>
    <row r="2768" ht="15.75" customHeight="1">
      <c r="A2768" s="7" t="s">
        <v>5356</v>
      </c>
      <c r="B2768" s="4" t="s">
        <v>1397</v>
      </c>
      <c r="C2768" s="5" t="s">
        <v>6</v>
      </c>
      <c r="D2768" s="6" t="s">
        <v>1413</v>
      </c>
      <c r="E2768" s="6"/>
      <c r="F2768" s="6" t="b">
        <f t="shared" si="1"/>
        <v>0</v>
      </c>
    </row>
    <row r="2769" ht="15.75" customHeight="1">
      <c r="A2769" s="7" t="s">
        <v>5357</v>
      </c>
      <c r="B2769" s="4" t="s">
        <v>5358</v>
      </c>
      <c r="C2769" s="5" t="s">
        <v>16</v>
      </c>
      <c r="D2769" s="6" t="s">
        <v>4688</v>
      </c>
      <c r="E2769" s="6"/>
      <c r="F2769" s="6" t="b">
        <f t="shared" si="1"/>
        <v>0</v>
      </c>
    </row>
    <row r="2770" ht="15.75" customHeight="1">
      <c r="A2770" s="7" t="s">
        <v>5359</v>
      </c>
      <c r="B2770" s="4" t="s">
        <v>5360</v>
      </c>
      <c r="C2770" s="5" t="s">
        <v>6</v>
      </c>
      <c r="D2770" s="6" t="s">
        <v>1413</v>
      </c>
      <c r="E2770" s="6"/>
      <c r="F2770" s="6" t="b">
        <f t="shared" si="1"/>
        <v>0</v>
      </c>
    </row>
    <row r="2771" ht="15.75" customHeight="1">
      <c r="A2771" s="3" t="s">
        <v>5361</v>
      </c>
      <c r="B2771" s="4"/>
      <c r="C2771" s="5"/>
      <c r="D2771" s="5"/>
      <c r="E2771" s="6"/>
      <c r="F2771" s="6" t="b">
        <f t="shared" si="1"/>
        <v>0</v>
      </c>
    </row>
    <row r="2772" ht="15.75" customHeight="1">
      <c r="A2772" s="7" t="s">
        <v>5362</v>
      </c>
      <c r="B2772" s="4" t="s">
        <v>5363</v>
      </c>
      <c r="C2772" s="5" t="s">
        <v>6</v>
      </c>
      <c r="D2772" s="6" t="s">
        <v>1413</v>
      </c>
      <c r="E2772" s="6"/>
      <c r="F2772" s="6" t="b">
        <f t="shared" si="1"/>
        <v>0</v>
      </c>
    </row>
    <row r="2773" ht="15.75" customHeight="1">
      <c r="A2773" s="7" t="s">
        <v>5364</v>
      </c>
      <c r="B2773" s="4" t="s">
        <v>5365</v>
      </c>
      <c r="C2773" s="5" t="s">
        <v>6</v>
      </c>
      <c r="D2773" s="6" t="s">
        <v>1413</v>
      </c>
      <c r="E2773" s="6"/>
      <c r="F2773" s="6" t="b">
        <f t="shared" si="1"/>
        <v>0</v>
      </c>
    </row>
    <row r="2774" ht="15.75" customHeight="1">
      <c r="A2774" s="7" t="s">
        <v>5366</v>
      </c>
      <c r="B2774" s="4" t="s">
        <v>5367</v>
      </c>
      <c r="C2774" s="5" t="s">
        <v>6</v>
      </c>
      <c r="D2774" s="6" t="s">
        <v>1413</v>
      </c>
      <c r="E2774" s="6"/>
      <c r="F2774" s="6" t="b">
        <f t="shared" si="1"/>
        <v>0</v>
      </c>
    </row>
    <row r="2775" ht="15.75" customHeight="1">
      <c r="A2775" s="3" t="s">
        <v>5368</v>
      </c>
      <c r="B2775" s="4"/>
      <c r="C2775" s="5"/>
      <c r="D2775" s="5"/>
      <c r="E2775" s="6"/>
      <c r="F2775" s="6" t="b">
        <f t="shared" si="1"/>
        <v>0</v>
      </c>
    </row>
    <row r="2776" ht="15.75" customHeight="1">
      <c r="A2776" s="7" t="s">
        <v>5369</v>
      </c>
      <c r="B2776" s="4" t="s">
        <v>5370</v>
      </c>
      <c r="C2776" s="5" t="s">
        <v>16</v>
      </c>
      <c r="D2776" s="6" t="s">
        <v>441</v>
      </c>
      <c r="E2776" s="6"/>
      <c r="F2776" s="6" t="b">
        <f t="shared" si="1"/>
        <v>0</v>
      </c>
    </row>
    <row r="2777" ht="15.75" customHeight="1">
      <c r="A2777" s="3" t="s">
        <v>5371</v>
      </c>
      <c r="B2777" s="4"/>
      <c r="C2777" s="5"/>
      <c r="D2777" s="5"/>
      <c r="E2777" s="6"/>
      <c r="F2777" s="6" t="b">
        <f t="shared" si="1"/>
        <v>0</v>
      </c>
    </row>
    <row r="2778" ht="15.75" customHeight="1">
      <c r="A2778" s="3" t="s">
        <v>5372</v>
      </c>
      <c r="B2778" s="4"/>
      <c r="C2778" s="5"/>
      <c r="D2778" s="5"/>
      <c r="E2778" s="6"/>
      <c r="F2778" s="6" t="b">
        <f t="shared" si="1"/>
        <v>0</v>
      </c>
    </row>
    <row r="2779" ht="15.75" customHeight="1">
      <c r="A2779" s="3" t="s">
        <v>5373</v>
      </c>
      <c r="B2779" s="4"/>
      <c r="C2779" s="5"/>
      <c r="D2779" s="5"/>
      <c r="E2779" s="6"/>
      <c r="F2779" s="6" t="b">
        <f t="shared" si="1"/>
        <v>0</v>
      </c>
    </row>
    <row r="2780" ht="15.75" customHeight="1">
      <c r="A2780" s="3" t="s">
        <v>5374</v>
      </c>
      <c r="B2780" s="4"/>
      <c r="C2780" s="5"/>
      <c r="D2780" s="5"/>
      <c r="E2780" s="6"/>
      <c r="F2780" s="6" t="b">
        <f t="shared" si="1"/>
        <v>0</v>
      </c>
    </row>
    <row r="2781" ht="15.75" customHeight="1">
      <c r="A2781" s="3" t="s">
        <v>5375</v>
      </c>
      <c r="B2781" s="4"/>
      <c r="C2781" s="5"/>
      <c r="D2781" s="5"/>
      <c r="E2781" s="6"/>
      <c r="F2781" s="6" t="b">
        <f t="shared" si="1"/>
        <v>0</v>
      </c>
    </row>
    <row r="2782" ht="15.75" customHeight="1">
      <c r="A2782" s="3" t="s">
        <v>5376</v>
      </c>
      <c r="B2782" s="4"/>
      <c r="C2782" s="5"/>
      <c r="D2782" s="5"/>
      <c r="E2782" s="6"/>
      <c r="F2782" s="6" t="b">
        <f t="shared" si="1"/>
        <v>0</v>
      </c>
    </row>
    <row r="2783" ht="15.75" customHeight="1">
      <c r="A2783" s="3" t="s">
        <v>5377</v>
      </c>
      <c r="B2783" s="4"/>
      <c r="C2783" s="5"/>
      <c r="D2783" s="5"/>
      <c r="E2783" s="6"/>
      <c r="F2783" s="6" t="b">
        <f t="shared" si="1"/>
        <v>0</v>
      </c>
    </row>
    <row r="2784" ht="15.75" customHeight="1">
      <c r="A2784" s="7" t="s">
        <v>5378</v>
      </c>
      <c r="B2784" s="4" t="s">
        <v>5379</v>
      </c>
      <c r="C2784" s="5" t="s">
        <v>6</v>
      </c>
      <c r="D2784" s="6" t="s">
        <v>477</v>
      </c>
      <c r="E2784" s="6"/>
      <c r="F2784" s="6" t="b">
        <f t="shared" si="1"/>
        <v>0</v>
      </c>
    </row>
    <row r="2785" ht="15.75" customHeight="1">
      <c r="A2785" s="7" t="s">
        <v>5380</v>
      </c>
      <c r="B2785" s="4" t="s">
        <v>5381</v>
      </c>
      <c r="C2785" s="5" t="s">
        <v>6</v>
      </c>
      <c r="D2785" s="6" t="s">
        <v>477</v>
      </c>
      <c r="E2785" s="6"/>
      <c r="F2785" s="6" t="b">
        <f t="shared" si="1"/>
        <v>0</v>
      </c>
    </row>
    <row r="2786" ht="15.75" customHeight="1">
      <c r="A2786" s="10" t="s">
        <v>5382</v>
      </c>
      <c r="B2786" s="11"/>
      <c r="C2786" s="5"/>
      <c r="D2786" s="8"/>
      <c r="E2786" s="6"/>
      <c r="F2786" s="6" t="b">
        <f t="shared" si="1"/>
        <v>0</v>
      </c>
    </row>
    <row r="2787" ht="15.75" customHeight="1">
      <c r="A2787" s="10" t="s">
        <v>5383</v>
      </c>
      <c r="B2787" s="11" t="s">
        <v>5384</v>
      </c>
      <c r="C2787" s="5"/>
      <c r="D2787" s="8" t="s">
        <v>5385</v>
      </c>
      <c r="E2787" s="6"/>
      <c r="F2787" s="6" t="b">
        <f t="shared" si="1"/>
        <v>0</v>
      </c>
    </row>
    <row r="2788" ht="15.75" customHeight="1">
      <c r="A2788" s="3" t="s">
        <v>5386</v>
      </c>
      <c r="B2788" s="4"/>
      <c r="C2788" s="5"/>
      <c r="D2788" s="5"/>
      <c r="E2788" s="6"/>
      <c r="F2788" s="6" t="b">
        <f t="shared" si="1"/>
        <v>0</v>
      </c>
    </row>
    <row r="2789" ht="15.75" customHeight="1">
      <c r="A2789" s="7" t="s">
        <v>5387</v>
      </c>
      <c r="B2789" s="4" t="s">
        <v>5388</v>
      </c>
      <c r="C2789" s="5" t="s">
        <v>6</v>
      </c>
      <c r="D2789" s="6" t="s">
        <v>5389</v>
      </c>
      <c r="E2789" s="6"/>
      <c r="F2789" s="6" t="b">
        <f t="shared" si="1"/>
        <v>0</v>
      </c>
    </row>
    <row r="2790" ht="15.75" customHeight="1">
      <c r="A2790" s="3" t="s">
        <v>5390</v>
      </c>
      <c r="B2790" s="4"/>
      <c r="C2790" s="5"/>
      <c r="D2790" s="5"/>
      <c r="E2790" s="6"/>
      <c r="F2790" s="6" t="b">
        <f t="shared" si="1"/>
        <v>0</v>
      </c>
    </row>
    <row r="2791" ht="15.75" customHeight="1">
      <c r="A2791" s="10" t="s">
        <v>5391</v>
      </c>
      <c r="B2791" s="11"/>
      <c r="C2791" s="5"/>
      <c r="D2791" s="8"/>
      <c r="E2791" s="6"/>
      <c r="F2791" s="6" t="b">
        <f t="shared" si="1"/>
        <v>0</v>
      </c>
    </row>
    <row r="2792" ht="15.75" customHeight="1">
      <c r="A2792" s="10" t="s">
        <v>5392</v>
      </c>
      <c r="B2792" s="11"/>
      <c r="C2792" s="5"/>
      <c r="D2792" s="8"/>
      <c r="E2792" s="6"/>
      <c r="F2792" s="6" t="b">
        <f t="shared" si="1"/>
        <v>0</v>
      </c>
    </row>
    <row r="2793" ht="15.75" customHeight="1">
      <c r="A2793" s="3" t="s">
        <v>5393</v>
      </c>
      <c r="B2793" s="4"/>
      <c r="C2793" s="5"/>
      <c r="D2793" s="5"/>
      <c r="E2793" s="6"/>
      <c r="F2793" s="6" t="b">
        <f t="shared" si="1"/>
        <v>0</v>
      </c>
    </row>
    <row r="2794" ht="15.75" customHeight="1">
      <c r="A2794" s="7" t="s">
        <v>5394</v>
      </c>
      <c r="B2794" s="4" t="s">
        <v>5395</v>
      </c>
      <c r="C2794" s="5" t="s">
        <v>16</v>
      </c>
      <c r="D2794" s="6" t="s">
        <v>748</v>
      </c>
      <c r="E2794" s="6"/>
      <c r="F2794" s="6" t="b">
        <f t="shared" si="1"/>
        <v>0</v>
      </c>
    </row>
    <row r="2795" ht="15.75" customHeight="1">
      <c r="A2795" s="7" t="s">
        <v>5396</v>
      </c>
      <c r="B2795" s="4" t="s">
        <v>5397</v>
      </c>
      <c r="C2795" s="5" t="s">
        <v>16</v>
      </c>
      <c r="D2795" s="6" t="s">
        <v>5398</v>
      </c>
      <c r="E2795" s="6"/>
      <c r="F2795" s="6" t="b">
        <f t="shared" si="1"/>
        <v>0</v>
      </c>
    </row>
    <row r="2796" ht="15.75" customHeight="1">
      <c r="A2796" s="7" t="s">
        <v>5399</v>
      </c>
      <c r="B2796" s="4" t="s">
        <v>5400</v>
      </c>
      <c r="C2796" s="5" t="s">
        <v>6</v>
      </c>
      <c r="D2796" s="6" t="s">
        <v>5401</v>
      </c>
      <c r="E2796" s="6"/>
      <c r="F2796" s="6" t="b">
        <f t="shared" si="1"/>
        <v>0</v>
      </c>
    </row>
    <row r="2797" ht="15.75" customHeight="1">
      <c r="A2797" s="7" t="s">
        <v>5402</v>
      </c>
      <c r="B2797" s="4" t="s">
        <v>5403</v>
      </c>
      <c r="C2797" s="5" t="s">
        <v>229</v>
      </c>
      <c r="D2797" s="6" t="s">
        <v>230</v>
      </c>
      <c r="E2797" s="6"/>
      <c r="F2797" s="6" t="b">
        <f t="shared" si="1"/>
        <v>0</v>
      </c>
    </row>
    <row r="2798" ht="15.75" customHeight="1">
      <c r="A2798" s="7" t="s">
        <v>5404</v>
      </c>
      <c r="B2798" s="4" t="s">
        <v>5405</v>
      </c>
      <c r="C2798" s="6"/>
      <c r="D2798" s="6" t="s">
        <v>150</v>
      </c>
      <c r="E2798" s="6"/>
      <c r="F2798" s="6" t="b">
        <f t="shared" si="1"/>
        <v>0</v>
      </c>
    </row>
    <row r="2799" ht="15.75" customHeight="1">
      <c r="A2799" s="7" t="s">
        <v>5406</v>
      </c>
      <c r="B2799" s="4" t="s">
        <v>5407</v>
      </c>
      <c r="C2799" s="5" t="s">
        <v>6</v>
      </c>
      <c r="D2799" s="6" t="s">
        <v>5408</v>
      </c>
      <c r="E2799" s="6"/>
      <c r="F2799" s="6" t="b">
        <f t="shared" si="1"/>
        <v>0</v>
      </c>
    </row>
    <row r="2800" ht="15.75" customHeight="1">
      <c r="A2800" s="3" t="s">
        <v>5409</v>
      </c>
      <c r="B2800" s="4"/>
      <c r="C2800" s="5"/>
      <c r="D2800" s="5"/>
      <c r="E2800" s="6"/>
      <c r="F2800" s="6" t="b">
        <f t="shared" si="1"/>
        <v>0</v>
      </c>
    </row>
    <row r="2801" ht="15.75" customHeight="1">
      <c r="A2801" s="3" t="s">
        <v>5410</v>
      </c>
      <c r="B2801" s="4"/>
      <c r="C2801" s="5"/>
      <c r="D2801" s="5"/>
      <c r="E2801" s="6"/>
      <c r="F2801" s="6" t="b">
        <f t="shared" si="1"/>
        <v>0</v>
      </c>
    </row>
    <row r="2802" ht="15.75" customHeight="1">
      <c r="A2802" s="10" t="s">
        <v>5411</v>
      </c>
      <c r="B2802" s="11" t="s">
        <v>5412</v>
      </c>
      <c r="C2802" s="5"/>
      <c r="D2802" s="8" t="s">
        <v>5385</v>
      </c>
      <c r="E2802" s="6"/>
      <c r="F2802" s="6" t="b">
        <f t="shared" si="1"/>
        <v>0</v>
      </c>
    </row>
    <row r="2803" ht="15.75" customHeight="1">
      <c r="A2803" s="7" t="s">
        <v>5413</v>
      </c>
      <c r="B2803" s="4" t="s">
        <v>5414</v>
      </c>
      <c r="C2803" s="5" t="s">
        <v>16</v>
      </c>
      <c r="D2803" s="6" t="s">
        <v>1823</v>
      </c>
      <c r="E2803" s="6"/>
      <c r="F2803" s="6" t="b">
        <f t="shared" si="1"/>
        <v>0</v>
      </c>
    </row>
    <row r="2804" ht="15.75" customHeight="1">
      <c r="A2804" s="7" t="s">
        <v>5415</v>
      </c>
      <c r="B2804" s="11"/>
      <c r="C2804" s="5"/>
      <c r="D2804" s="5"/>
      <c r="E2804" s="6"/>
      <c r="F2804" s="6" t="b">
        <f t="shared" si="1"/>
        <v>0</v>
      </c>
    </row>
    <row r="2805" ht="15.75" customHeight="1">
      <c r="A2805" s="10" t="s">
        <v>5416</v>
      </c>
      <c r="B2805" s="11" t="s">
        <v>5417</v>
      </c>
      <c r="C2805" s="5"/>
      <c r="D2805" s="8" t="s">
        <v>5385</v>
      </c>
      <c r="E2805" s="6"/>
      <c r="F2805" s="6" t="b">
        <f t="shared" si="1"/>
        <v>0</v>
      </c>
    </row>
    <row r="2806" ht="15.75" customHeight="1">
      <c r="A2806" s="7" t="s">
        <v>5418</v>
      </c>
      <c r="B2806" s="4" t="s">
        <v>5419</v>
      </c>
      <c r="C2806" s="5" t="s">
        <v>6</v>
      </c>
      <c r="D2806" s="6" t="s">
        <v>477</v>
      </c>
      <c r="E2806" s="6"/>
      <c r="F2806" s="6" t="b">
        <f t="shared" si="1"/>
        <v>0</v>
      </c>
    </row>
    <row r="2807" ht="15.75" customHeight="1">
      <c r="A2807" s="3" t="s">
        <v>5420</v>
      </c>
      <c r="B2807" s="4"/>
      <c r="C2807" s="5"/>
      <c r="D2807" s="5"/>
      <c r="E2807" s="6"/>
      <c r="F2807" s="6" t="b">
        <f t="shared" si="1"/>
        <v>0</v>
      </c>
    </row>
    <row r="2808" ht="15.75" customHeight="1">
      <c r="A2808" s="10" t="s">
        <v>5421</v>
      </c>
      <c r="B2808" s="11"/>
      <c r="C2808" s="5"/>
      <c r="D2808" s="8"/>
      <c r="E2808" s="6"/>
      <c r="F2808" s="6" t="b">
        <f t="shared" si="1"/>
        <v>0</v>
      </c>
    </row>
    <row r="2809" ht="15.75" customHeight="1">
      <c r="A2809" s="3" t="s">
        <v>5422</v>
      </c>
      <c r="B2809" s="4"/>
      <c r="C2809" s="5"/>
      <c r="D2809" s="5"/>
      <c r="E2809" s="6"/>
      <c r="F2809" s="6" t="b">
        <f t="shared" si="1"/>
        <v>0</v>
      </c>
    </row>
    <row r="2810" ht="15.75" customHeight="1">
      <c r="A2810" s="3" t="s">
        <v>5423</v>
      </c>
      <c r="B2810" s="4"/>
      <c r="C2810" s="5"/>
      <c r="D2810" s="5"/>
      <c r="E2810" s="6"/>
      <c r="F2810" s="6" t="b">
        <f t="shared" si="1"/>
        <v>0</v>
      </c>
    </row>
    <row r="2811" ht="15.75" customHeight="1">
      <c r="A2811" s="7" t="s">
        <v>5424</v>
      </c>
      <c r="B2811" s="4" t="s">
        <v>5425</v>
      </c>
      <c r="C2811" s="6"/>
      <c r="D2811" s="6" t="s">
        <v>150</v>
      </c>
      <c r="E2811" s="6"/>
      <c r="F2811" s="6" t="b">
        <f t="shared" si="1"/>
        <v>0</v>
      </c>
    </row>
    <row r="2812" ht="15.75" customHeight="1">
      <c r="A2812" s="3" t="s">
        <v>5426</v>
      </c>
      <c r="B2812" s="4"/>
      <c r="C2812" s="5"/>
      <c r="D2812" s="5"/>
      <c r="E2812" s="6"/>
      <c r="F2812" s="6" t="b">
        <f t="shared" si="1"/>
        <v>0</v>
      </c>
    </row>
    <row r="2813" ht="15.75" customHeight="1">
      <c r="A2813" s="10" t="s">
        <v>5427</v>
      </c>
      <c r="B2813" s="11"/>
      <c r="C2813" s="5"/>
      <c r="D2813" s="8"/>
      <c r="E2813" s="6"/>
      <c r="F2813" s="6" t="b">
        <f t="shared" si="1"/>
        <v>0</v>
      </c>
    </row>
    <row r="2814" ht="15.75" customHeight="1">
      <c r="A2814" s="10" t="s">
        <v>5428</v>
      </c>
      <c r="B2814" s="11"/>
      <c r="C2814" s="5"/>
      <c r="D2814" s="8"/>
      <c r="E2814" s="6"/>
      <c r="F2814" s="6" t="b">
        <f t="shared" si="1"/>
        <v>0</v>
      </c>
    </row>
    <row r="2815" ht="15.75" customHeight="1">
      <c r="A2815" s="3" t="s">
        <v>5429</v>
      </c>
      <c r="B2815" s="4"/>
      <c r="C2815" s="5"/>
      <c r="D2815" s="5"/>
      <c r="E2815" s="6"/>
      <c r="F2815" s="6" t="b">
        <f t="shared" si="1"/>
        <v>0</v>
      </c>
    </row>
    <row r="2816" ht="15.75" customHeight="1">
      <c r="A2816" s="3" t="s">
        <v>5430</v>
      </c>
      <c r="B2816" s="4"/>
      <c r="C2816" s="5"/>
      <c r="D2816" s="5"/>
      <c r="E2816" s="6"/>
      <c r="F2816" s="6" t="b">
        <f t="shared" si="1"/>
        <v>0</v>
      </c>
    </row>
    <row r="2817" ht="15.75" customHeight="1">
      <c r="A2817" s="3" t="s">
        <v>5431</v>
      </c>
      <c r="B2817" s="4"/>
      <c r="C2817" s="5"/>
      <c r="D2817" s="5"/>
      <c r="E2817" s="6"/>
      <c r="F2817" s="6" t="b">
        <f t="shared" si="1"/>
        <v>0</v>
      </c>
    </row>
    <row r="2818" ht="15.75" customHeight="1">
      <c r="A2818" s="3" t="s">
        <v>5432</v>
      </c>
      <c r="B2818" s="4"/>
      <c r="C2818" s="5"/>
      <c r="D2818" s="5"/>
      <c r="E2818" s="6"/>
      <c r="F2818" s="6" t="b">
        <f t="shared" si="1"/>
        <v>0</v>
      </c>
    </row>
    <row r="2819" ht="15.75" customHeight="1">
      <c r="A2819" s="3" t="s">
        <v>5433</v>
      </c>
      <c r="B2819" s="4"/>
      <c r="C2819" s="5"/>
      <c r="D2819" s="5"/>
      <c r="E2819" s="6"/>
      <c r="F2819" s="6" t="b">
        <f t="shared" si="1"/>
        <v>0</v>
      </c>
    </row>
    <row r="2820" ht="15.75" customHeight="1">
      <c r="A2820" s="3" t="s">
        <v>5434</v>
      </c>
      <c r="B2820" s="4"/>
      <c r="C2820" s="5"/>
      <c r="D2820" s="5"/>
      <c r="E2820" s="6"/>
      <c r="F2820" s="6" t="b">
        <f t="shared" si="1"/>
        <v>0</v>
      </c>
    </row>
    <row r="2821" ht="15.75" customHeight="1">
      <c r="A2821" s="3" t="s">
        <v>5435</v>
      </c>
      <c r="B2821" s="4"/>
      <c r="C2821" s="5"/>
      <c r="D2821" s="5"/>
      <c r="E2821" s="6"/>
      <c r="F2821" s="6" t="b">
        <f t="shared" si="1"/>
        <v>0</v>
      </c>
    </row>
    <row r="2822" ht="15.75" customHeight="1">
      <c r="A2822" s="3" t="s">
        <v>5436</v>
      </c>
      <c r="B2822" s="4"/>
      <c r="C2822" s="5"/>
      <c r="D2822" s="5"/>
      <c r="E2822" s="6"/>
      <c r="F2822" s="6" t="b">
        <f t="shared" si="1"/>
        <v>0</v>
      </c>
    </row>
    <row r="2823" ht="15.75" customHeight="1">
      <c r="A2823" s="10" t="s">
        <v>5437</v>
      </c>
      <c r="B2823" s="11"/>
      <c r="C2823" s="5"/>
      <c r="D2823" s="8"/>
      <c r="E2823" s="6"/>
      <c r="F2823" s="6" t="b">
        <f t="shared" si="1"/>
        <v>0</v>
      </c>
    </row>
    <row r="2824" ht="15.75" customHeight="1">
      <c r="A2824" s="3" t="s">
        <v>5438</v>
      </c>
      <c r="B2824" s="4"/>
      <c r="C2824" s="5"/>
      <c r="D2824" s="5"/>
      <c r="E2824" s="6"/>
      <c r="F2824" s="6" t="b">
        <f t="shared" si="1"/>
        <v>0</v>
      </c>
    </row>
    <row r="2825" ht="15.75" customHeight="1">
      <c r="A2825" s="3" t="s">
        <v>5439</v>
      </c>
      <c r="B2825" s="4"/>
      <c r="C2825" s="5"/>
      <c r="D2825" s="5"/>
      <c r="E2825" s="6"/>
      <c r="F2825" s="6" t="b">
        <f t="shared" si="1"/>
        <v>0</v>
      </c>
    </row>
    <row r="2826" ht="15.75" customHeight="1">
      <c r="A2826" s="3" t="s">
        <v>5440</v>
      </c>
      <c r="B2826" s="4"/>
      <c r="C2826" s="5"/>
      <c r="D2826" s="5"/>
      <c r="E2826" s="6"/>
      <c r="F2826" s="6" t="b">
        <f t="shared" si="1"/>
        <v>0</v>
      </c>
    </row>
    <row r="2827" ht="15.75" customHeight="1">
      <c r="A2827" s="3" t="s">
        <v>5441</v>
      </c>
      <c r="B2827" s="4"/>
      <c r="C2827" s="5"/>
      <c r="D2827" s="5"/>
      <c r="E2827" s="6"/>
      <c r="F2827" s="6" t="b">
        <f t="shared" si="1"/>
        <v>0</v>
      </c>
    </row>
    <row r="2828" ht="15.75" customHeight="1">
      <c r="A2828" s="3" t="s">
        <v>5442</v>
      </c>
      <c r="B2828" s="4"/>
      <c r="C2828" s="5"/>
      <c r="D2828" s="5"/>
      <c r="E2828" s="6"/>
      <c r="F2828" s="6" t="b">
        <f t="shared" si="1"/>
        <v>0</v>
      </c>
    </row>
    <row r="2829" ht="15.75" customHeight="1">
      <c r="A2829" s="10" t="s">
        <v>5443</v>
      </c>
      <c r="B2829" s="11"/>
      <c r="C2829" s="5"/>
      <c r="D2829" s="8"/>
      <c r="E2829" s="6"/>
      <c r="F2829" s="6" t="b">
        <f t="shared" si="1"/>
        <v>0</v>
      </c>
    </row>
    <row r="2830" ht="15.75" customHeight="1">
      <c r="A2830" s="3" t="s">
        <v>5444</v>
      </c>
      <c r="B2830" s="4"/>
      <c r="C2830" s="5"/>
      <c r="D2830" s="5"/>
      <c r="E2830" s="6"/>
      <c r="F2830" s="6" t="b">
        <f t="shared" si="1"/>
        <v>0</v>
      </c>
    </row>
    <row r="2831" ht="15.75" customHeight="1">
      <c r="A2831" s="3" t="s">
        <v>5445</v>
      </c>
      <c r="B2831" s="4"/>
      <c r="C2831" s="5"/>
      <c r="D2831" s="5"/>
      <c r="E2831" s="6"/>
      <c r="F2831" s="6" t="b">
        <f t="shared" si="1"/>
        <v>0</v>
      </c>
    </row>
    <row r="2832" ht="15.75" customHeight="1">
      <c r="A2832" s="3" t="s">
        <v>5446</v>
      </c>
      <c r="B2832" s="4"/>
      <c r="C2832" s="5"/>
      <c r="D2832" s="5"/>
      <c r="E2832" s="6"/>
      <c r="F2832" s="6" t="b">
        <f t="shared" si="1"/>
        <v>0</v>
      </c>
    </row>
    <row r="2833" ht="15.75" customHeight="1">
      <c r="A2833" s="3" t="s">
        <v>5447</v>
      </c>
      <c r="B2833" s="4"/>
      <c r="C2833" s="5"/>
      <c r="D2833" s="5"/>
      <c r="E2833" s="6"/>
      <c r="F2833" s="6" t="b">
        <f t="shared" si="1"/>
        <v>0</v>
      </c>
    </row>
    <row r="2834" ht="15.75" customHeight="1">
      <c r="A2834" s="3" t="s">
        <v>5448</v>
      </c>
      <c r="B2834" s="4"/>
      <c r="C2834" s="5"/>
      <c r="D2834" s="5"/>
      <c r="E2834" s="6"/>
      <c r="F2834" s="6" t="b">
        <f t="shared" si="1"/>
        <v>0</v>
      </c>
    </row>
    <row r="2835" ht="15.75" customHeight="1">
      <c r="A2835" s="3" t="s">
        <v>5449</v>
      </c>
      <c r="B2835" s="4"/>
      <c r="C2835" s="5"/>
      <c r="D2835" s="5"/>
      <c r="E2835" s="6"/>
      <c r="F2835" s="6" t="b">
        <f t="shared" si="1"/>
        <v>0</v>
      </c>
    </row>
    <row r="2836" ht="15.75" customHeight="1">
      <c r="A2836" s="3" t="s">
        <v>5450</v>
      </c>
      <c r="B2836" s="4"/>
      <c r="C2836" s="5"/>
      <c r="D2836" s="5"/>
      <c r="E2836" s="6"/>
      <c r="F2836" s="6" t="b">
        <f t="shared" si="1"/>
        <v>0</v>
      </c>
    </row>
    <row r="2837" ht="15.75" customHeight="1">
      <c r="A2837" s="3" t="s">
        <v>5451</v>
      </c>
      <c r="B2837" s="4"/>
      <c r="C2837" s="5"/>
      <c r="D2837" s="5"/>
      <c r="E2837" s="6"/>
      <c r="F2837" s="6" t="b">
        <f t="shared" si="1"/>
        <v>0</v>
      </c>
    </row>
    <row r="2838" ht="15.75" customHeight="1">
      <c r="A2838" s="3" t="s">
        <v>5452</v>
      </c>
      <c r="B2838" s="4"/>
      <c r="C2838" s="5"/>
      <c r="D2838" s="5"/>
      <c r="E2838" s="6"/>
      <c r="F2838" s="6" t="b">
        <f t="shared" si="1"/>
        <v>0</v>
      </c>
    </row>
    <row r="2839" ht="15.75" customHeight="1">
      <c r="A2839" s="7" t="s">
        <v>5453</v>
      </c>
      <c r="B2839" s="4" t="s">
        <v>5454</v>
      </c>
      <c r="C2839" s="5" t="s">
        <v>6</v>
      </c>
      <c r="D2839" s="6" t="s">
        <v>1465</v>
      </c>
      <c r="E2839" s="6"/>
      <c r="F2839" s="6" t="b">
        <f t="shared" si="1"/>
        <v>0</v>
      </c>
    </row>
    <row r="2840" ht="15.75" customHeight="1">
      <c r="A2840" s="7" t="s">
        <v>5455</v>
      </c>
      <c r="B2840" s="4" t="s">
        <v>5456</v>
      </c>
      <c r="C2840" s="5" t="s">
        <v>6</v>
      </c>
      <c r="D2840" s="6" t="s">
        <v>81</v>
      </c>
      <c r="E2840" s="6"/>
      <c r="F2840" s="6" t="b">
        <f t="shared" si="1"/>
        <v>0</v>
      </c>
    </row>
    <row r="2841" ht="15.75" customHeight="1">
      <c r="A2841" s="10" t="s">
        <v>5457</v>
      </c>
      <c r="B2841" s="11"/>
      <c r="C2841" s="5"/>
      <c r="D2841" s="8"/>
      <c r="E2841" s="6"/>
      <c r="F2841" s="6" t="b">
        <f t="shared" si="1"/>
        <v>0</v>
      </c>
    </row>
    <row r="2842" ht="15.75" customHeight="1">
      <c r="A2842" s="3" t="s">
        <v>5458</v>
      </c>
      <c r="B2842" s="4"/>
      <c r="C2842" s="5"/>
      <c r="D2842" s="5"/>
      <c r="E2842" s="6"/>
      <c r="F2842" s="6" t="b">
        <f t="shared" si="1"/>
        <v>0</v>
      </c>
    </row>
    <row r="2843" ht="15.75" customHeight="1">
      <c r="A2843" s="3" t="s">
        <v>5459</v>
      </c>
      <c r="B2843" s="4"/>
      <c r="C2843" s="5"/>
      <c r="D2843" s="5"/>
      <c r="E2843" s="6"/>
      <c r="F2843" s="6" t="b">
        <f t="shared" si="1"/>
        <v>0</v>
      </c>
    </row>
    <row r="2844" ht="15.75" customHeight="1">
      <c r="A2844" s="3" t="s">
        <v>5460</v>
      </c>
      <c r="B2844" s="4"/>
      <c r="C2844" s="5"/>
      <c r="D2844" s="5"/>
      <c r="E2844" s="6"/>
      <c r="F2844" s="6" t="b">
        <f t="shared" si="1"/>
        <v>0</v>
      </c>
    </row>
    <row r="2845" ht="15.75" customHeight="1">
      <c r="A2845" s="3" t="s">
        <v>5461</v>
      </c>
      <c r="B2845" s="4"/>
      <c r="C2845" s="5"/>
      <c r="D2845" s="5"/>
      <c r="E2845" s="6"/>
      <c r="F2845" s="6" t="b">
        <f t="shared" si="1"/>
        <v>0</v>
      </c>
    </row>
    <row r="2846" ht="15.75" customHeight="1">
      <c r="A2846" s="3" t="s">
        <v>5462</v>
      </c>
      <c r="B2846" s="4"/>
      <c r="C2846" s="5"/>
      <c r="D2846" s="5"/>
      <c r="E2846" s="6"/>
      <c r="F2846" s="6" t="b">
        <f t="shared" si="1"/>
        <v>0</v>
      </c>
    </row>
    <row r="2847" ht="15.75" customHeight="1">
      <c r="A2847" s="3" t="s">
        <v>5463</v>
      </c>
      <c r="B2847" s="4"/>
      <c r="C2847" s="5"/>
      <c r="D2847" s="5"/>
      <c r="E2847" s="6"/>
      <c r="F2847" s="6" t="b">
        <f t="shared" si="1"/>
        <v>0</v>
      </c>
    </row>
    <row r="2848" ht="15.75" customHeight="1">
      <c r="A2848" s="12" t="s">
        <v>5464</v>
      </c>
      <c r="B2848" s="9" t="s">
        <v>5465</v>
      </c>
      <c r="C2848" s="5" t="s">
        <v>5466</v>
      </c>
      <c r="D2848" s="5"/>
      <c r="E2848" s="6"/>
      <c r="F2848" s="6" t="b">
        <f t="shared" si="1"/>
        <v>0</v>
      </c>
    </row>
    <row r="2849" ht="15.75" customHeight="1">
      <c r="A2849" s="7" t="s">
        <v>5467</v>
      </c>
      <c r="B2849" s="4" t="s">
        <v>5468</v>
      </c>
      <c r="C2849" s="5" t="s">
        <v>6</v>
      </c>
      <c r="D2849" s="6" t="s">
        <v>547</v>
      </c>
      <c r="E2849" s="6"/>
      <c r="F2849" s="6" t="b">
        <f t="shared" si="1"/>
        <v>0</v>
      </c>
    </row>
    <row r="2850" ht="15.75" customHeight="1">
      <c r="A2850" s="10" t="s">
        <v>5469</v>
      </c>
      <c r="B2850" s="11"/>
      <c r="C2850" s="5"/>
      <c r="D2850" s="8"/>
      <c r="E2850" s="6"/>
      <c r="F2850" s="6" t="b">
        <f t="shared" si="1"/>
        <v>0</v>
      </c>
    </row>
    <row r="2851" ht="15.75" customHeight="1">
      <c r="A2851" s="3" t="s">
        <v>5470</v>
      </c>
      <c r="B2851" s="4"/>
      <c r="C2851" s="5"/>
      <c r="D2851" s="5"/>
      <c r="E2851" s="6"/>
      <c r="F2851" s="6" t="b">
        <f t="shared" si="1"/>
        <v>0</v>
      </c>
    </row>
    <row r="2852" ht="15.75" customHeight="1">
      <c r="A2852" s="3" t="s">
        <v>5471</v>
      </c>
      <c r="B2852" s="4"/>
      <c r="C2852" s="5"/>
      <c r="D2852" s="5"/>
      <c r="E2852" s="6"/>
      <c r="F2852" s="6" t="b">
        <f t="shared" si="1"/>
        <v>0</v>
      </c>
    </row>
    <row r="2853" ht="15.75" customHeight="1">
      <c r="A2853" s="3" t="s">
        <v>5472</v>
      </c>
      <c r="B2853" s="4"/>
      <c r="C2853" s="5"/>
      <c r="D2853" s="5"/>
      <c r="E2853" s="6"/>
      <c r="F2853" s="6" t="b">
        <f t="shared" si="1"/>
        <v>0</v>
      </c>
    </row>
    <row r="2854" ht="15.75" customHeight="1">
      <c r="A2854" s="3" t="s">
        <v>5473</v>
      </c>
      <c r="B2854" s="4"/>
      <c r="C2854" s="5"/>
      <c r="D2854" s="5"/>
      <c r="E2854" s="6"/>
      <c r="F2854" s="6" t="b">
        <f t="shared" si="1"/>
        <v>0</v>
      </c>
    </row>
    <row r="2855" ht="15.75" customHeight="1">
      <c r="A2855" s="3" t="s">
        <v>5474</v>
      </c>
      <c r="B2855" s="4"/>
      <c r="C2855" s="5"/>
      <c r="D2855" s="5"/>
      <c r="E2855" s="6"/>
      <c r="F2855" s="6" t="b">
        <f t="shared" si="1"/>
        <v>0</v>
      </c>
    </row>
    <row r="2856" ht="15.75" customHeight="1">
      <c r="A2856" s="3" t="s">
        <v>5475</v>
      </c>
      <c r="B2856" s="4"/>
      <c r="C2856" s="5"/>
      <c r="D2856" s="5"/>
      <c r="E2856" s="6"/>
      <c r="F2856" s="6" t="b">
        <f t="shared" si="1"/>
        <v>0</v>
      </c>
    </row>
    <row r="2857" ht="15.75" customHeight="1">
      <c r="A2857" s="3" t="s">
        <v>5476</v>
      </c>
      <c r="B2857" s="4"/>
      <c r="C2857" s="5"/>
      <c r="D2857" s="5"/>
      <c r="E2857" s="6"/>
      <c r="F2857" s="6" t="b">
        <f t="shared" si="1"/>
        <v>0</v>
      </c>
    </row>
    <row r="2858" ht="15.75" customHeight="1">
      <c r="A2858" s="3" t="s">
        <v>5477</v>
      </c>
      <c r="B2858" s="4"/>
      <c r="C2858" s="5"/>
      <c r="D2858" s="5"/>
      <c r="E2858" s="6"/>
      <c r="F2858" s="6" t="b">
        <f t="shared" si="1"/>
        <v>0</v>
      </c>
    </row>
    <row r="2859" ht="15.75" customHeight="1">
      <c r="A2859" s="3" t="s">
        <v>5478</v>
      </c>
      <c r="B2859" s="4"/>
      <c r="C2859" s="5"/>
      <c r="D2859" s="5"/>
      <c r="E2859" s="6"/>
      <c r="F2859" s="6" t="b">
        <f t="shared" si="1"/>
        <v>0</v>
      </c>
    </row>
    <row r="2860" ht="15.75" customHeight="1">
      <c r="A2860" s="3" t="s">
        <v>5479</v>
      </c>
      <c r="B2860" s="4"/>
      <c r="C2860" s="5"/>
      <c r="D2860" s="5"/>
      <c r="E2860" s="6"/>
      <c r="F2860" s="6" t="b">
        <f t="shared" si="1"/>
        <v>0</v>
      </c>
    </row>
    <row r="2861" ht="15.75" customHeight="1">
      <c r="A2861" s="3" t="s">
        <v>5480</v>
      </c>
      <c r="B2861" s="4"/>
      <c r="C2861" s="5"/>
      <c r="D2861" s="5"/>
      <c r="E2861" s="6"/>
      <c r="F2861" s="6" t="b">
        <f t="shared" si="1"/>
        <v>0</v>
      </c>
    </row>
    <row r="2862" ht="15.75" customHeight="1">
      <c r="A2862" s="3" t="s">
        <v>5481</v>
      </c>
      <c r="B2862" s="4"/>
      <c r="C2862" s="5"/>
      <c r="D2862" s="5"/>
      <c r="E2862" s="6"/>
      <c r="F2862" s="6" t="b">
        <f t="shared" si="1"/>
        <v>0</v>
      </c>
    </row>
    <row r="2863" ht="15.75" customHeight="1">
      <c r="A2863" s="3" t="s">
        <v>5482</v>
      </c>
      <c r="B2863" s="4"/>
      <c r="C2863" s="5"/>
      <c r="D2863" s="5"/>
      <c r="E2863" s="6"/>
      <c r="F2863" s="6" t="b">
        <f t="shared" si="1"/>
        <v>0</v>
      </c>
    </row>
    <row r="2864" ht="15.75" customHeight="1">
      <c r="A2864" s="3" t="s">
        <v>5483</v>
      </c>
      <c r="B2864" s="4"/>
      <c r="C2864" s="5"/>
      <c r="D2864" s="5"/>
      <c r="E2864" s="6"/>
      <c r="F2864" s="6" t="b">
        <f t="shared" si="1"/>
        <v>0</v>
      </c>
    </row>
    <row r="2865" ht="15.75" customHeight="1">
      <c r="A2865" s="3" t="s">
        <v>5484</v>
      </c>
      <c r="B2865" s="4"/>
      <c r="C2865" s="5"/>
      <c r="D2865" s="5"/>
      <c r="E2865" s="6"/>
      <c r="F2865" s="6" t="b">
        <f t="shared" si="1"/>
        <v>0</v>
      </c>
    </row>
    <row r="2866" ht="15.75" customHeight="1">
      <c r="A2866" s="3" t="s">
        <v>5485</v>
      </c>
      <c r="B2866" s="4"/>
      <c r="C2866" s="5"/>
      <c r="D2866" s="5"/>
      <c r="E2866" s="6"/>
      <c r="F2866" s="6" t="b">
        <f t="shared" si="1"/>
        <v>0</v>
      </c>
    </row>
    <row r="2867" ht="15.75" customHeight="1">
      <c r="A2867" s="3" t="s">
        <v>5486</v>
      </c>
      <c r="B2867" s="4"/>
      <c r="C2867" s="5"/>
      <c r="D2867" s="5"/>
      <c r="E2867" s="6"/>
      <c r="F2867" s="6" t="b">
        <f t="shared" si="1"/>
        <v>0</v>
      </c>
    </row>
    <row r="2868" ht="15.75" customHeight="1">
      <c r="A2868" s="3" t="s">
        <v>5487</v>
      </c>
      <c r="B2868" s="4"/>
      <c r="C2868" s="5"/>
      <c r="D2868" s="5"/>
      <c r="E2868" s="6"/>
      <c r="F2868" s="6" t="b">
        <f t="shared" si="1"/>
        <v>0</v>
      </c>
    </row>
    <row r="2869" ht="15.75" customHeight="1">
      <c r="A2869" s="10" t="s">
        <v>5488</v>
      </c>
      <c r="B2869" s="11" t="s">
        <v>5489</v>
      </c>
      <c r="C2869" s="5"/>
      <c r="D2869" s="8" t="s">
        <v>5490</v>
      </c>
      <c r="E2869" s="6"/>
      <c r="F2869" s="6" t="b">
        <f t="shared" si="1"/>
        <v>0</v>
      </c>
    </row>
    <row r="2870" ht="15.75" customHeight="1">
      <c r="A2870" s="3" t="s">
        <v>5491</v>
      </c>
      <c r="B2870" s="4"/>
      <c r="C2870" s="5"/>
      <c r="D2870" s="5"/>
      <c r="E2870" s="6"/>
      <c r="F2870" s="6" t="b">
        <f t="shared" si="1"/>
        <v>0</v>
      </c>
    </row>
    <row r="2871" ht="15.75" customHeight="1">
      <c r="A2871" s="3" t="s">
        <v>5492</v>
      </c>
      <c r="B2871" s="4"/>
      <c r="C2871" s="5"/>
      <c r="D2871" s="5"/>
      <c r="E2871" s="6"/>
      <c r="F2871" s="6" t="b">
        <f t="shared" si="1"/>
        <v>0</v>
      </c>
    </row>
    <row r="2872" ht="15.75" customHeight="1">
      <c r="A2872" s="7" t="s">
        <v>5493</v>
      </c>
      <c r="B2872" s="4" t="s">
        <v>5494</v>
      </c>
      <c r="C2872" s="5" t="s">
        <v>6</v>
      </c>
      <c r="D2872" s="6" t="s">
        <v>895</v>
      </c>
      <c r="E2872" s="6"/>
      <c r="F2872" s="6" t="b">
        <f t="shared" si="1"/>
        <v>0</v>
      </c>
    </row>
    <row r="2873" ht="15.75" customHeight="1">
      <c r="A2873" s="7" t="s">
        <v>5495</v>
      </c>
      <c r="B2873" s="4" t="s">
        <v>5496</v>
      </c>
      <c r="C2873" s="5" t="s">
        <v>16</v>
      </c>
      <c r="D2873" s="6" t="s">
        <v>5229</v>
      </c>
      <c r="E2873" s="6"/>
      <c r="F2873" s="6" t="b">
        <f t="shared" si="1"/>
        <v>0</v>
      </c>
    </row>
    <row r="2874" ht="15.75" customHeight="1">
      <c r="A2874" s="3" t="s">
        <v>5497</v>
      </c>
      <c r="B2874" s="4"/>
      <c r="C2874" s="5"/>
      <c r="D2874" s="5"/>
      <c r="E2874" s="6"/>
      <c r="F2874" s="6" t="b">
        <f t="shared" si="1"/>
        <v>0</v>
      </c>
    </row>
    <row r="2875" ht="15.75" customHeight="1">
      <c r="A2875" s="7" t="s">
        <v>5498</v>
      </c>
      <c r="B2875" s="4" t="s">
        <v>5499</v>
      </c>
      <c r="C2875" s="5" t="s">
        <v>6</v>
      </c>
      <c r="D2875" s="6" t="s">
        <v>5500</v>
      </c>
      <c r="E2875" s="6"/>
      <c r="F2875" s="6" t="b">
        <f t="shared" si="1"/>
        <v>0</v>
      </c>
    </row>
    <row r="2876" ht="15.75" customHeight="1">
      <c r="A2876" s="3" t="s">
        <v>5501</v>
      </c>
      <c r="B2876" s="4"/>
      <c r="C2876" s="5"/>
      <c r="D2876" s="5"/>
      <c r="E2876" s="6"/>
      <c r="F2876" s="6" t="b">
        <f t="shared" si="1"/>
        <v>0</v>
      </c>
    </row>
    <row r="2877" ht="15.75" customHeight="1">
      <c r="A2877" s="3" t="s">
        <v>5502</v>
      </c>
      <c r="B2877" s="4"/>
      <c r="C2877" s="5"/>
      <c r="D2877" s="5"/>
      <c r="E2877" s="6"/>
      <c r="F2877" s="6" t="b">
        <f t="shared" si="1"/>
        <v>0</v>
      </c>
    </row>
    <row r="2878" ht="15.75" customHeight="1">
      <c r="A2878" s="3" t="s">
        <v>5503</v>
      </c>
      <c r="B2878" s="4"/>
      <c r="C2878" s="5"/>
      <c r="D2878" s="5"/>
      <c r="E2878" s="6"/>
      <c r="F2878" s="6" t="b">
        <f t="shared" si="1"/>
        <v>0</v>
      </c>
    </row>
    <row r="2879" ht="15.75" customHeight="1">
      <c r="A2879" s="7" t="s">
        <v>5504</v>
      </c>
      <c r="B2879" s="4" t="s">
        <v>5505</v>
      </c>
      <c r="C2879" s="5" t="s">
        <v>6</v>
      </c>
      <c r="D2879" s="6" t="s">
        <v>547</v>
      </c>
      <c r="E2879" s="6"/>
      <c r="F2879" s="6" t="b">
        <f t="shared" si="1"/>
        <v>0</v>
      </c>
    </row>
    <row r="2880" ht="15.75" customHeight="1">
      <c r="A2880" s="3" t="s">
        <v>5506</v>
      </c>
      <c r="B2880" s="4"/>
      <c r="C2880" s="5"/>
      <c r="D2880" s="5"/>
      <c r="E2880" s="6"/>
      <c r="F2880" s="6" t="b">
        <f t="shared" si="1"/>
        <v>0</v>
      </c>
    </row>
    <row r="2881" ht="15.75" customHeight="1">
      <c r="A2881" s="3" t="s">
        <v>5507</v>
      </c>
      <c r="B2881" s="4"/>
      <c r="C2881" s="5"/>
      <c r="D2881" s="5"/>
      <c r="E2881" s="6"/>
      <c r="F2881" s="6" t="b">
        <f t="shared" si="1"/>
        <v>0</v>
      </c>
    </row>
    <row r="2882" ht="15.75" customHeight="1">
      <c r="A2882" s="3" t="s">
        <v>5508</v>
      </c>
      <c r="B2882" s="4"/>
      <c r="C2882" s="5"/>
      <c r="D2882" s="5"/>
      <c r="E2882" s="6"/>
      <c r="F2882" s="6" t="b">
        <f t="shared" si="1"/>
        <v>0</v>
      </c>
    </row>
    <row r="2883" ht="15.75" customHeight="1">
      <c r="A2883" s="3" t="s">
        <v>5509</v>
      </c>
      <c r="B2883" s="4"/>
      <c r="C2883" s="5"/>
      <c r="D2883" s="5"/>
      <c r="E2883" s="6"/>
      <c r="F2883" s="6" t="b">
        <f t="shared" si="1"/>
        <v>0</v>
      </c>
    </row>
    <row r="2884" ht="15.75" customHeight="1">
      <c r="A2884" s="3" t="s">
        <v>5510</v>
      </c>
      <c r="B2884" s="4"/>
      <c r="C2884" s="5"/>
      <c r="D2884" s="5"/>
      <c r="E2884" s="6"/>
      <c r="F2884" s="6" t="b">
        <f t="shared" si="1"/>
        <v>0</v>
      </c>
    </row>
    <row r="2885" ht="15.75" customHeight="1">
      <c r="A2885" s="10" t="s">
        <v>5511</v>
      </c>
      <c r="B2885" s="11" t="s">
        <v>5512</v>
      </c>
      <c r="C2885" s="5"/>
      <c r="D2885" s="8"/>
      <c r="E2885" s="6"/>
      <c r="F2885" s="6" t="b">
        <f t="shared" si="1"/>
        <v>0</v>
      </c>
    </row>
    <row r="2886" ht="15.75" customHeight="1">
      <c r="A2886" s="3" t="s">
        <v>5513</v>
      </c>
      <c r="B2886" s="4"/>
      <c r="C2886" s="5"/>
      <c r="D2886" s="5"/>
      <c r="E2886" s="6"/>
      <c r="F2886" s="6" t="b">
        <f t="shared" si="1"/>
        <v>0</v>
      </c>
    </row>
    <row r="2887" ht="15.75" customHeight="1">
      <c r="A2887" s="3" t="s">
        <v>5514</v>
      </c>
      <c r="B2887" s="4"/>
      <c r="C2887" s="5"/>
      <c r="D2887" s="5"/>
      <c r="E2887" s="6"/>
      <c r="F2887" s="6" t="b">
        <f t="shared" si="1"/>
        <v>0</v>
      </c>
    </row>
    <row r="2888" ht="15.75" customHeight="1">
      <c r="A2888" s="3" t="s">
        <v>5515</v>
      </c>
      <c r="B2888" s="4"/>
      <c r="C2888" s="5"/>
      <c r="D2888" s="5"/>
      <c r="E2888" s="6"/>
      <c r="F2888" s="6" t="b">
        <f t="shared" si="1"/>
        <v>0</v>
      </c>
    </row>
    <row r="2889" ht="15.75" customHeight="1">
      <c r="A2889" s="3" t="s">
        <v>5516</v>
      </c>
      <c r="B2889" s="4"/>
      <c r="C2889" s="5"/>
      <c r="D2889" s="5"/>
      <c r="E2889" s="6"/>
      <c r="F2889" s="6" t="b">
        <f t="shared" si="1"/>
        <v>0</v>
      </c>
    </row>
    <row r="2890" ht="15.75" customHeight="1">
      <c r="A2890" s="3" t="s">
        <v>5517</v>
      </c>
      <c r="B2890" s="4"/>
      <c r="C2890" s="5"/>
      <c r="D2890" s="5"/>
      <c r="E2890" s="6"/>
      <c r="F2890" s="6" t="b">
        <f t="shared" si="1"/>
        <v>0</v>
      </c>
    </row>
    <row r="2891" ht="15.75" customHeight="1">
      <c r="A2891" s="3" t="s">
        <v>5518</v>
      </c>
      <c r="B2891" s="4"/>
      <c r="C2891" s="5"/>
      <c r="D2891" s="5"/>
      <c r="E2891" s="6"/>
      <c r="F2891" s="6" t="b">
        <f t="shared" si="1"/>
        <v>0</v>
      </c>
    </row>
    <row r="2892" ht="15.75" customHeight="1">
      <c r="A2892" s="7" t="s">
        <v>5519</v>
      </c>
      <c r="B2892" s="4" t="s">
        <v>5520</v>
      </c>
      <c r="C2892" s="5" t="s">
        <v>6</v>
      </c>
      <c r="D2892" s="6" t="s">
        <v>1118</v>
      </c>
      <c r="E2892" s="6"/>
      <c r="F2892" s="6" t="b">
        <f t="shared" si="1"/>
        <v>0</v>
      </c>
    </row>
    <row r="2893" ht="15.75" customHeight="1">
      <c r="A2893" s="3" t="s">
        <v>5521</v>
      </c>
      <c r="B2893" s="4"/>
      <c r="C2893" s="5"/>
      <c r="D2893" s="5"/>
      <c r="E2893" s="6"/>
      <c r="F2893" s="6" t="b">
        <f t="shared" si="1"/>
        <v>0</v>
      </c>
    </row>
    <row r="2894" ht="15.75" customHeight="1">
      <c r="A2894" s="3" t="s">
        <v>5522</v>
      </c>
      <c r="B2894" s="4"/>
      <c r="C2894" s="5"/>
      <c r="D2894" s="5"/>
      <c r="E2894" s="6"/>
      <c r="F2894" s="6" t="b">
        <f t="shared" si="1"/>
        <v>0</v>
      </c>
    </row>
    <row r="2895" ht="15.75" customHeight="1">
      <c r="A2895" s="3" t="s">
        <v>5523</v>
      </c>
      <c r="B2895" s="4"/>
      <c r="C2895" s="5"/>
      <c r="D2895" s="5"/>
      <c r="E2895" s="6"/>
      <c r="F2895" s="6" t="b">
        <f t="shared" si="1"/>
        <v>0</v>
      </c>
    </row>
    <row r="2896" ht="15.75" customHeight="1">
      <c r="A2896" s="7" t="s">
        <v>5524</v>
      </c>
      <c r="B2896" s="4" t="s">
        <v>5525</v>
      </c>
      <c r="C2896" s="5" t="s">
        <v>16</v>
      </c>
      <c r="D2896" s="6" t="s">
        <v>4753</v>
      </c>
      <c r="E2896" s="6"/>
      <c r="F2896" s="6" t="b">
        <f t="shared" si="1"/>
        <v>0</v>
      </c>
    </row>
    <row r="2897" ht="15.75" customHeight="1">
      <c r="A2897" s="3" t="s">
        <v>5526</v>
      </c>
      <c r="B2897" s="4"/>
      <c r="C2897" s="5"/>
      <c r="D2897" s="5"/>
      <c r="E2897" s="6"/>
      <c r="F2897" s="6" t="b">
        <f t="shared" si="1"/>
        <v>0</v>
      </c>
    </row>
    <row r="2898" ht="15.75" customHeight="1">
      <c r="A2898" s="7" t="s">
        <v>5527</v>
      </c>
      <c r="B2898" s="4" t="s">
        <v>5528</v>
      </c>
      <c r="C2898" s="5" t="s">
        <v>6</v>
      </c>
      <c r="D2898" s="6" t="s">
        <v>895</v>
      </c>
      <c r="E2898" s="6"/>
      <c r="F2898" s="6" t="b">
        <f t="shared" si="1"/>
        <v>0</v>
      </c>
    </row>
    <row r="2899" ht="15.75" customHeight="1">
      <c r="A2899" s="3" t="s">
        <v>5529</v>
      </c>
      <c r="B2899" s="4"/>
      <c r="C2899" s="5"/>
      <c r="D2899" s="5"/>
      <c r="E2899" s="6"/>
      <c r="F2899" s="6" t="b">
        <f t="shared" si="1"/>
        <v>0</v>
      </c>
    </row>
    <row r="2900" ht="15.75" customHeight="1">
      <c r="A2900" s="3" t="s">
        <v>5530</v>
      </c>
      <c r="B2900" s="4"/>
      <c r="C2900" s="5"/>
      <c r="D2900" s="5"/>
      <c r="E2900" s="6"/>
      <c r="F2900" s="6" t="b">
        <f t="shared" si="1"/>
        <v>0</v>
      </c>
    </row>
    <row r="2901" ht="15.75" customHeight="1">
      <c r="A2901" s="3" t="s">
        <v>5531</v>
      </c>
      <c r="B2901" s="4"/>
      <c r="C2901" s="5"/>
      <c r="D2901" s="5"/>
      <c r="E2901" s="6"/>
      <c r="F2901" s="6" t="b">
        <f t="shared" si="1"/>
        <v>0</v>
      </c>
    </row>
    <row r="2902" ht="15.75" customHeight="1">
      <c r="A2902" s="3" t="s">
        <v>5532</v>
      </c>
      <c r="B2902" s="4"/>
      <c r="C2902" s="5"/>
      <c r="D2902" s="5"/>
      <c r="E2902" s="6"/>
      <c r="F2902" s="6" t="b">
        <f t="shared" si="1"/>
        <v>0</v>
      </c>
    </row>
    <row r="2903" ht="15.75" customHeight="1">
      <c r="A2903" s="10" t="s">
        <v>5533</v>
      </c>
      <c r="B2903" s="11" t="s">
        <v>5534</v>
      </c>
      <c r="C2903" s="5"/>
      <c r="D2903" s="8" t="s">
        <v>5535</v>
      </c>
      <c r="E2903" s="6"/>
      <c r="F2903" s="6" t="b">
        <f t="shared" si="1"/>
        <v>0</v>
      </c>
    </row>
    <row r="2904" ht="15.75" customHeight="1">
      <c r="A2904" s="3" t="s">
        <v>5536</v>
      </c>
      <c r="B2904" s="4"/>
      <c r="C2904" s="5"/>
      <c r="D2904" s="5"/>
      <c r="E2904" s="6"/>
      <c r="F2904" s="6" t="b">
        <f t="shared" si="1"/>
        <v>0</v>
      </c>
    </row>
    <row r="2905" ht="15.75" customHeight="1">
      <c r="A2905" s="3" t="s">
        <v>5537</v>
      </c>
      <c r="B2905" s="4"/>
      <c r="C2905" s="5"/>
      <c r="D2905" s="5"/>
      <c r="E2905" s="6"/>
      <c r="F2905" s="6" t="b">
        <f t="shared" si="1"/>
        <v>0</v>
      </c>
    </row>
    <row r="2906" ht="15.75" customHeight="1">
      <c r="A2906" s="3" t="s">
        <v>5538</v>
      </c>
      <c r="B2906" s="4"/>
      <c r="C2906" s="5"/>
      <c r="D2906" s="5"/>
      <c r="E2906" s="6"/>
      <c r="F2906" s="6" t="b">
        <f t="shared" si="1"/>
        <v>0</v>
      </c>
    </row>
    <row r="2907" ht="15.75" customHeight="1">
      <c r="A2907" s="3" t="s">
        <v>5539</v>
      </c>
      <c r="B2907" s="4"/>
      <c r="C2907" s="5"/>
      <c r="D2907" s="5"/>
      <c r="E2907" s="6"/>
      <c r="F2907" s="6" t="b">
        <f t="shared" si="1"/>
        <v>0</v>
      </c>
    </row>
    <row r="2908" ht="15.75" customHeight="1">
      <c r="A2908" s="7" t="s">
        <v>5540</v>
      </c>
      <c r="B2908" s="11"/>
      <c r="C2908" s="5"/>
      <c r="D2908" s="5"/>
      <c r="E2908" s="6"/>
      <c r="F2908" s="6" t="b">
        <f t="shared" si="1"/>
        <v>0</v>
      </c>
    </row>
    <row r="2909" ht="15.75" customHeight="1">
      <c r="A2909" s="3" t="s">
        <v>5541</v>
      </c>
      <c r="B2909" s="4"/>
      <c r="C2909" s="5"/>
      <c r="D2909" s="5"/>
      <c r="E2909" s="6"/>
      <c r="F2909" s="6" t="b">
        <f t="shared" si="1"/>
        <v>0</v>
      </c>
    </row>
    <row r="2910" ht="15.75" customHeight="1">
      <c r="A2910" s="7" t="s">
        <v>5542</v>
      </c>
      <c r="B2910" s="4" t="s">
        <v>5543</v>
      </c>
      <c r="C2910" s="5" t="s">
        <v>6</v>
      </c>
      <c r="D2910" s="6" t="s">
        <v>1422</v>
      </c>
      <c r="E2910" s="6"/>
      <c r="F2910" s="6" t="b">
        <f t="shared" si="1"/>
        <v>0</v>
      </c>
    </row>
    <row r="2911" ht="15.75" customHeight="1">
      <c r="A2911" s="3" t="s">
        <v>5544</v>
      </c>
      <c r="B2911" s="4"/>
      <c r="C2911" s="5"/>
      <c r="D2911" s="5"/>
      <c r="E2911" s="6"/>
      <c r="F2911" s="6" t="b">
        <f t="shared" si="1"/>
        <v>0</v>
      </c>
    </row>
    <row r="2912" ht="15.75" customHeight="1">
      <c r="A2912" s="3" t="s">
        <v>5545</v>
      </c>
      <c r="B2912" s="4"/>
      <c r="C2912" s="5"/>
      <c r="D2912" s="5"/>
      <c r="E2912" s="6"/>
      <c r="F2912" s="6" t="b">
        <f t="shared" si="1"/>
        <v>0</v>
      </c>
    </row>
    <row r="2913" ht="15.75" customHeight="1">
      <c r="A2913" s="3" t="s">
        <v>5546</v>
      </c>
      <c r="B2913" s="4"/>
      <c r="C2913" s="5"/>
      <c r="D2913" s="5"/>
      <c r="E2913" s="6"/>
      <c r="F2913" s="6" t="b">
        <f t="shared" si="1"/>
        <v>0</v>
      </c>
    </row>
    <row r="2914" ht="15.75" customHeight="1">
      <c r="A2914" s="10" t="s">
        <v>5547</v>
      </c>
      <c r="B2914" s="11"/>
      <c r="C2914" s="5"/>
      <c r="D2914" s="8"/>
      <c r="E2914" s="6"/>
      <c r="F2914" s="6" t="b">
        <f t="shared" si="1"/>
        <v>0</v>
      </c>
    </row>
    <row r="2915" ht="15.75" customHeight="1">
      <c r="A2915" s="10" t="s">
        <v>5548</v>
      </c>
      <c r="B2915" s="11"/>
      <c r="C2915" s="5"/>
      <c r="D2915" s="8"/>
      <c r="E2915" s="6"/>
      <c r="F2915" s="6" t="b">
        <f t="shared" si="1"/>
        <v>0</v>
      </c>
    </row>
    <row r="2916" ht="15.75" customHeight="1">
      <c r="A2916" s="10" t="s">
        <v>5549</v>
      </c>
      <c r="B2916" s="11"/>
      <c r="C2916" s="5"/>
      <c r="D2916" s="8"/>
      <c r="E2916" s="6"/>
      <c r="F2916" s="6" t="b">
        <f t="shared" si="1"/>
        <v>0</v>
      </c>
    </row>
    <row r="2917" ht="15.75" customHeight="1">
      <c r="A2917" s="3" t="s">
        <v>5550</v>
      </c>
      <c r="B2917" s="4"/>
      <c r="C2917" s="5"/>
      <c r="D2917" s="5"/>
      <c r="E2917" s="6"/>
      <c r="F2917" s="6" t="b">
        <f t="shared" si="1"/>
        <v>0</v>
      </c>
    </row>
    <row r="2918" ht="15.75" customHeight="1">
      <c r="A2918" s="3" t="s">
        <v>5551</v>
      </c>
      <c r="B2918" s="4"/>
      <c r="C2918" s="5"/>
      <c r="D2918" s="5"/>
      <c r="E2918" s="6"/>
      <c r="F2918" s="6" t="b">
        <f t="shared" si="1"/>
        <v>0</v>
      </c>
    </row>
    <row r="2919" ht="15.75" customHeight="1">
      <c r="A2919" s="3" t="s">
        <v>5552</v>
      </c>
      <c r="B2919" s="4"/>
      <c r="C2919" s="5"/>
      <c r="D2919" s="5"/>
      <c r="E2919" s="6"/>
      <c r="F2919" s="6" t="b">
        <f t="shared" si="1"/>
        <v>0</v>
      </c>
    </row>
    <row r="2920" ht="15.75" customHeight="1">
      <c r="A2920" s="3" t="s">
        <v>5553</v>
      </c>
      <c r="B2920" s="4"/>
      <c r="C2920" s="5"/>
      <c r="D2920" s="5"/>
      <c r="E2920" s="6"/>
      <c r="F2920" s="6" t="b">
        <f t="shared" si="1"/>
        <v>0</v>
      </c>
    </row>
    <row r="2921" ht="15.75" customHeight="1">
      <c r="A2921" s="7" t="s">
        <v>5554</v>
      </c>
      <c r="B2921" s="4" t="s">
        <v>5555</v>
      </c>
      <c r="C2921" s="5" t="s">
        <v>16</v>
      </c>
      <c r="D2921" s="6" t="s">
        <v>1400</v>
      </c>
      <c r="E2921" s="6"/>
      <c r="F2921" s="6" t="b">
        <f t="shared" si="1"/>
        <v>0</v>
      </c>
    </row>
    <row r="2922" ht="15.75" customHeight="1">
      <c r="A2922" s="3" t="s">
        <v>5556</v>
      </c>
      <c r="B2922" s="4"/>
      <c r="C2922" s="5"/>
      <c r="D2922" s="5"/>
      <c r="E2922" s="6"/>
      <c r="F2922" s="6" t="b">
        <f t="shared" si="1"/>
        <v>0</v>
      </c>
    </row>
    <row r="2923" ht="15.75" customHeight="1">
      <c r="A2923" s="3" t="s">
        <v>5557</v>
      </c>
      <c r="B2923" s="4"/>
      <c r="C2923" s="5"/>
      <c r="D2923" s="5"/>
      <c r="E2923" s="6"/>
      <c r="F2923" s="6" t="b">
        <f t="shared" si="1"/>
        <v>0</v>
      </c>
    </row>
    <row r="2924" ht="15.75" customHeight="1">
      <c r="A2924" s="3" t="s">
        <v>5558</v>
      </c>
      <c r="B2924" s="4"/>
      <c r="C2924" s="5"/>
      <c r="D2924" s="5"/>
      <c r="E2924" s="6"/>
      <c r="F2924" s="6" t="b">
        <f t="shared" si="1"/>
        <v>0</v>
      </c>
    </row>
    <row r="2925" ht="15.75" customHeight="1">
      <c r="A2925" s="10" t="s">
        <v>5559</v>
      </c>
      <c r="B2925" s="11"/>
      <c r="C2925" s="5"/>
      <c r="D2925" s="8"/>
      <c r="E2925" s="6"/>
      <c r="F2925" s="6" t="b">
        <f t="shared" si="1"/>
        <v>0</v>
      </c>
    </row>
    <row r="2926" ht="15.75" customHeight="1">
      <c r="A2926" s="3" t="s">
        <v>5560</v>
      </c>
      <c r="B2926" s="4"/>
      <c r="C2926" s="5"/>
      <c r="D2926" s="5"/>
      <c r="E2926" s="6"/>
      <c r="F2926" s="6" t="b">
        <f t="shared" si="1"/>
        <v>0</v>
      </c>
    </row>
    <row r="2927" ht="15.75" customHeight="1">
      <c r="A2927" s="3" t="s">
        <v>5561</v>
      </c>
      <c r="B2927" s="4"/>
      <c r="C2927" s="5"/>
      <c r="D2927" s="5"/>
      <c r="E2927" s="6"/>
      <c r="F2927" s="6" t="b">
        <f t="shared" si="1"/>
        <v>0</v>
      </c>
    </row>
    <row r="2928" ht="15.75" customHeight="1">
      <c r="A2928" s="3" t="s">
        <v>5562</v>
      </c>
      <c r="B2928" s="4"/>
      <c r="C2928" s="5"/>
      <c r="D2928" s="5"/>
      <c r="E2928" s="6"/>
      <c r="F2928" s="6" t="b">
        <f t="shared" si="1"/>
        <v>0</v>
      </c>
    </row>
    <row r="2929" ht="15.75" customHeight="1">
      <c r="A2929" s="3" t="s">
        <v>5563</v>
      </c>
      <c r="B2929" s="4"/>
      <c r="C2929" s="5"/>
      <c r="D2929" s="5"/>
      <c r="E2929" s="6"/>
      <c r="F2929" s="6" t="b">
        <f t="shared" si="1"/>
        <v>0</v>
      </c>
    </row>
    <row r="2930" ht="15.75" customHeight="1">
      <c r="A2930" s="3" t="s">
        <v>5564</v>
      </c>
      <c r="B2930" s="4"/>
      <c r="C2930" s="5"/>
      <c r="D2930" s="5"/>
      <c r="E2930" s="6"/>
      <c r="F2930" s="6" t="b">
        <f t="shared" si="1"/>
        <v>0</v>
      </c>
    </row>
    <row r="2931" ht="15.75" customHeight="1">
      <c r="A2931" s="3" t="s">
        <v>5565</v>
      </c>
      <c r="B2931" s="4"/>
      <c r="C2931" s="5"/>
      <c r="D2931" s="5"/>
      <c r="E2931" s="6"/>
      <c r="F2931" s="6" t="b">
        <f t="shared" si="1"/>
        <v>0</v>
      </c>
    </row>
    <row r="2932" ht="15.75" customHeight="1">
      <c r="A2932" s="3" t="s">
        <v>5566</v>
      </c>
      <c r="B2932" s="4"/>
      <c r="C2932" s="5"/>
      <c r="D2932" s="5"/>
      <c r="E2932" s="6"/>
      <c r="F2932" s="6" t="b">
        <f t="shared" si="1"/>
        <v>0</v>
      </c>
    </row>
    <row r="2933" ht="15.75" customHeight="1">
      <c r="A2933" s="3" t="s">
        <v>5567</v>
      </c>
      <c r="B2933" s="4"/>
      <c r="C2933" s="5"/>
      <c r="D2933" s="5"/>
      <c r="E2933" s="6"/>
      <c r="F2933" s="6" t="b">
        <f t="shared" si="1"/>
        <v>0</v>
      </c>
    </row>
    <row r="2934" ht="15.75" customHeight="1">
      <c r="A2934" s="3" t="s">
        <v>5568</v>
      </c>
      <c r="B2934" s="4"/>
      <c r="C2934" s="5"/>
      <c r="D2934" s="5"/>
      <c r="E2934" s="6"/>
      <c r="F2934" s="6" t="b">
        <f t="shared" si="1"/>
        <v>0</v>
      </c>
    </row>
    <row r="2935" ht="15.75" customHeight="1">
      <c r="A2935" s="10" t="s">
        <v>5569</v>
      </c>
      <c r="B2935" s="11"/>
      <c r="C2935" s="5"/>
      <c r="D2935" s="8"/>
      <c r="E2935" s="6"/>
      <c r="F2935" s="6" t="b">
        <f t="shared" si="1"/>
        <v>0</v>
      </c>
    </row>
    <row r="2936" ht="15.75" customHeight="1">
      <c r="A2936" s="3" t="s">
        <v>5570</v>
      </c>
      <c r="B2936" s="4"/>
      <c r="C2936" s="5"/>
      <c r="D2936" s="5"/>
      <c r="E2936" s="6"/>
      <c r="F2936" s="6" t="b">
        <f t="shared" si="1"/>
        <v>0</v>
      </c>
    </row>
    <row r="2937" ht="15.75" customHeight="1">
      <c r="A2937" s="7" t="s">
        <v>5571</v>
      </c>
      <c r="B2937" s="4" t="s">
        <v>5572</v>
      </c>
      <c r="C2937" s="5" t="s">
        <v>16</v>
      </c>
      <c r="D2937" s="6" t="s">
        <v>1276</v>
      </c>
      <c r="E2937" s="6"/>
      <c r="F2937" s="6" t="b">
        <f t="shared" si="1"/>
        <v>0</v>
      </c>
    </row>
    <row r="2938" ht="15.75" customHeight="1">
      <c r="A2938" s="7" t="s">
        <v>5573</v>
      </c>
      <c r="B2938" s="4" t="s">
        <v>5574</v>
      </c>
      <c r="C2938" s="5" t="s">
        <v>16</v>
      </c>
      <c r="D2938" s="6" t="s">
        <v>5575</v>
      </c>
      <c r="E2938" s="6"/>
      <c r="F2938" s="6" t="b">
        <f t="shared" si="1"/>
        <v>0</v>
      </c>
    </row>
    <row r="2939" ht="15.75" customHeight="1">
      <c r="A2939" s="3" t="s">
        <v>5576</v>
      </c>
      <c r="B2939" s="4"/>
      <c r="C2939" s="5"/>
      <c r="D2939" s="5"/>
      <c r="E2939" s="6"/>
      <c r="F2939" s="6" t="b">
        <f t="shared" si="1"/>
        <v>0</v>
      </c>
    </row>
    <row r="2940" ht="15.75" customHeight="1">
      <c r="A2940" s="3" t="s">
        <v>5577</v>
      </c>
      <c r="B2940" s="4"/>
      <c r="C2940" s="5"/>
      <c r="D2940" s="5"/>
      <c r="E2940" s="6"/>
      <c r="F2940" s="6" t="b">
        <f t="shared" si="1"/>
        <v>0</v>
      </c>
    </row>
    <row r="2941" ht="15.75" customHeight="1">
      <c r="A2941" s="7" t="s">
        <v>5578</v>
      </c>
      <c r="B2941" s="4" t="s">
        <v>5579</v>
      </c>
      <c r="C2941" s="5" t="s">
        <v>6</v>
      </c>
      <c r="D2941" s="6" t="s">
        <v>7</v>
      </c>
      <c r="E2941" s="6"/>
      <c r="F2941" s="6" t="b">
        <f t="shared" si="1"/>
        <v>0</v>
      </c>
    </row>
    <row r="2942" ht="15.75" customHeight="1">
      <c r="A2942" s="7" t="s">
        <v>5580</v>
      </c>
      <c r="B2942" s="4" t="s">
        <v>5581</v>
      </c>
      <c r="C2942" s="5" t="s">
        <v>6</v>
      </c>
      <c r="D2942" s="6" t="s">
        <v>5582</v>
      </c>
      <c r="E2942" s="6"/>
      <c r="F2942" s="6" t="b">
        <f t="shared" si="1"/>
        <v>0</v>
      </c>
    </row>
    <row r="2943" ht="15.75" customHeight="1">
      <c r="A2943" s="3" t="s">
        <v>5583</v>
      </c>
      <c r="B2943" s="4"/>
      <c r="C2943" s="5"/>
      <c r="D2943" s="5"/>
      <c r="E2943" s="6"/>
      <c r="F2943" s="6" t="b">
        <f t="shared" si="1"/>
        <v>0</v>
      </c>
    </row>
    <row r="2944" ht="15.75" customHeight="1">
      <c r="A2944" s="3" t="s">
        <v>5584</v>
      </c>
      <c r="B2944" s="4"/>
      <c r="C2944" s="5"/>
      <c r="D2944" s="5"/>
      <c r="E2944" s="6"/>
      <c r="F2944" s="6" t="b">
        <f t="shared" si="1"/>
        <v>0</v>
      </c>
    </row>
    <row r="2945" ht="15.75" customHeight="1">
      <c r="A2945" s="3" t="s">
        <v>5585</v>
      </c>
      <c r="B2945" s="4"/>
      <c r="C2945" s="5"/>
      <c r="D2945" s="5"/>
      <c r="E2945" s="6"/>
      <c r="F2945" s="6" t="b">
        <f t="shared" si="1"/>
        <v>0</v>
      </c>
    </row>
    <row r="2946" ht="15.75" customHeight="1">
      <c r="A2946" s="3" t="s">
        <v>5586</v>
      </c>
      <c r="B2946" s="4"/>
      <c r="C2946" s="5"/>
      <c r="D2946" s="5"/>
      <c r="E2946" s="6"/>
      <c r="F2946" s="6" t="b">
        <f t="shared" si="1"/>
        <v>0</v>
      </c>
    </row>
    <row r="2947" ht="15.75" customHeight="1">
      <c r="A2947" s="7" t="s">
        <v>5587</v>
      </c>
      <c r="B2947" s="4" t="s">
        <v>5588</v>
      </c>
      <c r="C2947" s="5" t="s">
        <v>16</v>
      </c>
      <c r="D2947" s="6" t="s">
        <v>1738</v>
      </c>
      <c r="E2947" s="6"/>
      <c r="F2947" s="6" t="b">
        <f t="shared" si="1"/>
        <v>0</v>
      </c>
    </row>
    <row r="2948" ht="15.75" customHeight="1">
      <c r="A2948" s="3" t="s">
        <v>5589</v>
      </c>
      <c r="B2948" s="4"/>
      <c r="C2948" s="5"/>
      <c r="D2948" s="5"/>
      <c r="E2948" s="6"/>
      <c r="F2948" s="6" t="b">
        <f t="shared" si="1"/>
        <v>0</v>
      </c>
    </row>
    <row r="2949" ht="15.75" customHeight="1">
      <c r="A2949" s="3" t="s">
        <v>5590</v>
      </c>
      <c r="B2949" s="4"/>
      <c r="C2949" s="5"/>
      <c r="D2949" s="5"/>
      <c r="E2949" s="6"/>
      <c r="F2949" s="6" t="b">
        <f t="shared" si="1"/>
        <v>0</v>
      </c>
    </row>
    <row r="2950" ht="15.75" customHeight="1">
      <c r="A2950" s="7" t="s">
        <v>5591</v>
      </c>
      <c r="B2950" s="11"/>
      <c r="C2950" s="5"/>
      <c r="D2950" s="5"/>
      <c r="E2950" s="6"/>
      <c r="F2950" s="6" t="b">
        <f t="shared" si="1"/>
        <v>0</v>
      </c>
    </row>
    <row r="2951" ht="15.75" customHeight="1">
      <c r="A2951" s="3" t="s">
        <v>5592</v>
      </c>
      <c r="B2951" s="4"/>
      <c r="C2951" s="5"/>
      <c r="D2951" s="5"/>
      <c r="E2951" s="6"/>
      <c r="F2951" s="6" t="b">
        <f t="shared" si="1"/>
        <v>0</v>
      </c>
    </row>
    <row r="2952" ht="15.75" customHeight="1">
      <c r="A2952" s="10" t="s">
        <v>5593</v>
      </c>
      <c r="B2952" s="11"/>
      <c r="C2952" s="5"/>
      <c r="D2952" s="8"/>
      <c r="E2952" s="6"/>
      <c r="F2952" s="6" t="b">
        <f t="shared" si="1"/>
        <v>0</v>
      </c>
    </row>
    <row r="2953" ht="15.75" customHeight="1">
      <c r="A2953" s="3" t="s">
        <v>5594</v>
      </c>
      <c r="B2953" s="4"/>
      <c r="C2953" s="5"/>
      <c r="D2953" s="5"/>
      <c r="E2953" s="6"/>
      <c r="F2953" s="6" t="b">
        <f t="shared" si="1"/>
        <v>0</v>
      </c>
    </row>
    <row r="2954" ht="15.75" customHeight="1">
      <c r="A2954" s="3" t="s">
        <v>5595</v>
      </c>
      <c r="B2954" s="4"/>
      <c r="C2954" s="5"/>
      <c r="D2954" s="5"/>
      <c r="E2954" s="6"/>
      <c r="F2954" s="6" t="b">
        <f t="shared" si="1"/>
        <v>0</v>
      </c>
    </row>
    <row r="2955" ht="15.75" customHeight="1">
      <c r="A2955" s="3" t="s">
        <v>5596</v>
      </c>
      <c r="B2955" s="4"/>
      <c r="C2955" s="5"/>
      <c r="D2955" s="5"/>
      <c r="E2955" s="6"/>
      <c r="F2955" s="6" t="b">
        <f t="shared" si="1"/>
        <v>0</v>
      </c>
    </row>
    <row r="2956" ht="15.75" customHeight="1">
      <c r="A2956" s="3" t="s">
        <v>5597</v>
      </c>
      <c r="B2956" s="4"/>
      <c r="C2956" s="5"/>
      <c r="D2956" s="5"/>
      <c r="E2956" s="6"/>
      <c r="F2956" s="6" t="b">
        <f t="shared" si="1"/>
        <v>0</v>
      </c>
    </row>
    <row r="2957" ht="15.75" customHeight="1">
      <c r="A2957" s="7" t="s">
        <v>5598</v>
      </c>
      <c r="B2957" s="9" t="s">
        <v>5599</v>
      </c>
      <c r="C2957" s="5" t="s">
        <v>16</v>
      </c>
      <c r="D2957" s="6" t="s">
        <v>5600</v>
      </c>
      <c r="E2957" s="6"/>
      <c r="F2957" s="6" t="b">
        <f t="shared" si="1"/>
        <v>0</v>
      </c>
    </row>
    <row r="2958" ht="15.75" customHeight="1">
      <c r="A2958" s="10" t="s">
        <v>5601</v>
      </c>
      <c r="B2958" s="11"/>
      <c r="C2958" s="5"/>
      <c r="D2958" s="8"/>
      <c r="E2958" s="6"/>
      <c r="F2958" s="6" t="b">
        <f t="shared" si="1"/>
        <v>0</v>
      </c>
    </row>
    <row r="2959" ht="15.75" customHeight="1">
      <c r="A2959" s="3" t="s">
        <v>5602</v>
      </c>
      <c r="B2959" s="4"/>
      <c r="C2959" s="5"/>
      <c r="D2959" s="5"/>
      <c r="E2959" s="6"/>
      <c r="F2959" s="6" t="b">
        <f t="shared" si="1"/>
        <v>0</v>
      </c>
    </row>
    <row r="2960" ht="15.75" customHeight="1">
      <c r="A2960" s="3" t="s">
        <v>5603</v>
      </c>
      <c r="B2960" s="4"/>
      <c r="C2960" s="5"/>
      <c r="D2960" s="5"/>
      <c r="E2960" s="6"/>
      <c r="F2960" s="6" t="b">
        <f t="shared" si="1"/>
        <v>0</v>
      </c>
    </row>
    <row r="2961" ht="15.75" customHeight="1">
      <c r="A2961" s="7" t="s">
        <v>5604</v>
      </c>
      <c r="B2961" s="4" t="s">
        <v>5605</v>
      </c>
      <c r="C2961" s="5" t="s">
        <v>6</v>
      </c>
      <c r="D2961" s="6" t="s">
        <v>1067</v>
      </c>
      <c r="E2961" s="6"/>
      <c r="F2961" s="6" t="b">
        <f t="shared" si="1"/>
        <v>0</v>
      </c>
    </row>
    <row r="2962" ht="15.75" customHeight="1">
      <c r="A2962" s="3" t="s">
        <v>5606</v>
      </c>
      <c r="B2962" s="4"/>
      <c r="C2962" s="5"/>
      <c r="D2962" s="5"/>
      <c r="E2962" s="6"/>
      <c r="F2962" s="6" t="b">
        <f t="shared" si="1"/>
        <v>0</v>
      </c>
    </row>
    <row r="2963" ht="15.75" customHeight="1">
      <c r="A2963" s="3" t="s">
        <v>5607</v>
      </c>
      <c r="B2963" s="4"/>
      <c r="C2963" s="5"/>
      <c r="D2963" s="5"/>
      <c r="E2963" s="6"/>
      <c r="F2963" s="6" t="b">
        <f t="shared" si="1"/>
        <v>0</v>
      </c>
    </row>
    <row r="2964" ht="15.75" customHeight="1">
      <c r="A2964" s="3" t="s">
        <v>5608</v>
      </c>
      <c r="B2964" s="4"/>
      <c r="C2964" s="5"/>
      <c r="D2964" s="5"/>
      <c r="E2964" s="6"/>
      <c r="F2964" s="6" t="b">
        <f t="shared" si="1"/>
        <v>0</v>
      </c>
    </row>
    <row r="2965" ht="15.75" customHeight="1">
      <c r="A2965" s="3" t="s">
        <v>5609</v>
      </c>
      <c r="B2965" s="4"/>
      <c r="C2965" s="5"/>
      <c r="D2965" s="5"/>
      <c r="E2965" s="6"/>
      <c r="F2965" s="6" t="b">
        <f t="shared" si="1"/>
        <v>0</v>
      </c>
    </row>
    <row r="2966" ht="15.75" customHeight="1">
      <c r="A2966" s="3" t="s">
        <v>5610</v>
      </c>
      <c r="B2966" s="4"/>
      <c r="C2966" s="5"/>
      <c r="D2966" s="5"/>
      <c r="E2966" s="6"/>
      <c r="F2966" s="6" t="b">
        <f t="shared" si="1"/>
        <v>0</v>
      </c>
    </row>
    <row r="2967" ht="15.75" customHeight="1">
      <c r="A2967" s="7" t="s">
        <v>5611</v>
      </c>
      <c r="B2967" s="4" t="s">
        <v>5612</v>
      </c>
      <c r="C2967" s="5" t="s">
        <v>6</v>
      </c>
      <c r="D2967" s="6" t="s">
        <v>7</v>
      </c>
      <c r="E2967" s="6"/>
      <c r="F2967" s="6" t="b">
        <f t="shared" si="1"/>
        <v>0</v>
      </c>
    </row>
    <row r="2968" ht="15.75" customHeight="1">
      <c r="A2968" s="7" t="s">
        <v>5613</v>
      </c>
      <c r="B2968" s="4" t="s">
        <v>5614</v>
      </c>
      <c r="C2968" s="5" t="s">
        <v>6</v>
      </c>
      <c r="D2968" s="6" t="s">
        <v>895</v>
      </c>
      <c r="E2968" s="6"/>
      <c r="F2968" s="6" t="b">
        <f t="shared" si="1"/>
        <v>0</v>
      </c>
    </row>
    <row r="2969" ht="15.75" customHeight="1">
      <c r="A2969" s="3" t="s">
        <v>5615</v>
      </c>
      <c r="B2969" s="4"/>
      <c r="C2969" s="5"/>
      <c r="D2969" s="5"/>
      <c r="E2969" s="6"/>
      <c r="F2969" s="6" t="b">
        <f t="shared" si="1"/>
        <v>0</v>
      </c>
    </row>
    <row r="2970" ht="15.75" customHeight="1">
      <c r="A2970" s="3" t="s">
        <v>5616</v>
      </c>
      <c r="B2970" s="4"/>
      <c r="C2970" s="5"/>
      <c r="D2970" s="5"/>
      <c r="E2970" s="6"/>
      <c r="F2970" s="6" t="b">
        <f t="shared" si="1"/>
        <v>0</v>
      </c>
    </row>
    <row r="2971" ht="15.75" customHeight="1">
      <c r="A2971" s="3" t="s">
        <v>5617</v>
      </c>
      <c r="B2971" s="4"/>
      <c r="C2971" s="5"/>
      <c r="D2971" s="5"/>
      <c r="E2971" s="6"/>
      <c r="F2971" s="6" t="b">
        <f t="shared" si="1"/>
        <v>0</v>
      </c>
    </row>
    <row r="2972" ht="15.75" customHeight="1">
      <c r="A2972" s="3" t="s">
        <v>5618</v>
      </c>
      <c r="B2972" s="4"/>
      <c r="C2972" s="5"/>
      <c r="D2972" s="5"/>
      <c r="E2972" s="6"/>
      <c r="F2972" s="6" t="b">
        <f t="shared" si="1"/>
        <v>0</v>
      </c>
    </row>
    <row r="2973" ht="15.75" customHeight="1">
      <c r="A2973" s="7" t="s">
        <v>5619</v>
      </c>
      <c r="B2973" s="4" t="s">
        <v>5620</v>
      </c>
      <c r="C2973" s="5" t="s">
        <v>6</v>
      </c>
      <c r="D2973" s="6" t="s">
        <v>547</v>
      </c>
      <c r="E2973" s="6"/>
      <c r="F2973" s="6" t="b">
        <f t="shared" si="1"/>
        <v>0</v>
      </c>
    </row>
    <row r="2974" ht="15.75" customHeight="1">
      <c r="A2974" s="3" t="s">
        <v>5621</v>
      </c>
      <c r="B2974" s="4"/>
      <c r="C2974" s="5"/>
      <c r="D2974" s="5"/>
      <c r="E2974" s="6"/>
      <c r="F2974" s="6" t="b">
        <f t="shared" si="1"/>
        <v>0</v>
      </c>
    </row>
    <row r="2975" ht="15.75" customHeight="1">
      <c r="A2975" s="3" t="s">
        <v>5622</v>
      </c>
      <c r="B2975" s="4"/>
      <c r="C2975" s="5"/>
      <c r="D2975" s="5"/>
      <c r="E2975" s="6"/>
      <c r="F2975" s="6" t="b">
        <f t="shared" si="1"/>
        <v>0</v>
      </c>
    </row>
    <row r="2976" ht="15.75" customHeight="1">
      <c r="A2976" s="3" t="s">
        <v>5623</v>
      </c>
      <c r="B2976" s="4"/>
      <c r="C2976" s="5"/>
      <c r="D2976" s="5"/>
      <c r="E2976" s="6"/>
      <c r="F2976" s="6" t="b">
        <f t="shared" si="1"/>
        <v>0</v>
      </c>
    </row>
    <row r="2977" ht="15.75" customHeight="1">
      <c r="A2977" s="7" t="s">
        <v>5624</v>
      </c>
      <c r="B2977" s="4" t="s">
        <v>5625</v>
      </c>
      <c r="C2977" s="5" t="s">
        <v>6</v>
      </c>
      <c r="D2977" s="6" t="s">
        <v>5626</v>
      </c>
      <c r="E2977" s="6"/>
      <c r="F2977" s="6" t="b">
        <f t="shared" si="1"/>
        <v>0</v>
      </c>
    </row>
    <row r="2978" ht="15.75" customHeight="1">
      <c r="A2978" s="3" t="s">
        <v>5627</v>
      </c>
      <c r="B2978" s="4"/>
      <c r="C2978" s="5"/>
      <c r="D2978" s="5"/>
      <c r="E2978" s="6"/>
      <c r="F2978" s="6" t="b">
        <f t="shared" si="1"/>
        <v>0</v>
      </c>
    </row>
    <row r="2979" ht="15.75" customHeight="1">
      <c r="A2979" s="3" t="s">
        <v>5628</v>
      </c>
      <c r="B2979" s="4"/>
      <c r="C2979" s="5"/>
      <c r="D2979" s="5"/>
      <c r="E2979" s="6"/>
      <c r="F2979" s="6" t="b">
        <f t="shared" si="1"/>
        <v>0</v>
      </c>
    </row>
    <row r="2980" ht="15.75" customHeight="1">
      <c r="A2980" s="7" t="s">
        <v>5629</v>
      </c>
      <c r="B2980" s="4" t="s">
        <v>5630</v>
      </c>
      <c r="C2980" s="5" t="s">
        <v>6</v>
      </c>
      <c r="D2980" s="6" t="s">
        <v>5631</v>
      </c>
      <c r="E2980" s="6"/>
      <c r="F2980" s="6" t="b">
        <f t="shared" si="1"/>
        <v>0</v>
      </c>
    </row>
    <row r="2981" ht="15.75" customHeight="1">
      <c r="A2981" s="3" t="s">
        <v>5632</v>
      </c>
      <c r="B2981" s="4"/>
      <c r="C2981" s="5"/>
      <c r="D2981" s="5"/>
      <c r="E2981" s="6"/>
      <c r="F2981" s="6" t="b">
        <f t="shared" si="1"/>
        <v>0</v>
      </c>
    </row>
    <row r="2982" ht="15.75" customHeight="1">
      <c r="A2982" s="3" t="s">
        <v>5633</v>
      </c>
      <c r="B2982" s="4"/>
      <c r="C2982" s="5"/>
      <c r="D2982" s="5"/>
      <c r="E2982" s="6"/>
      <c r="F2982" s="6" t="b">
        <f t="shared" si="1"/>
        <v>0</v>
      </c>
    </row>
    <row r="2983" ht="15.75" customHeight="1">
      <c r="A2983" s="7" t="s">
        <v>5634</v>
      </c>
      <c r="B2983" s="11"/>
      <c r="C2983" s="5"/>
      <c r="D2983" s="5"/>
      <c r="E2983" s="6"/>
      <c r="F2983" s="6" t="b">
        <f t="shared" si="1"/>
        <v>0</v>
      </c>
    </row>
    <row r="2984" ht="15.75" customHeight="1">
      <c r="A2984" s="3" t="s">
        <v>5635</v>
      </c>
      <c r="B2984" s="4"/>
      <c r="C2984" s="5"/>
      <c r="D2984" s="5"/>
      <c r="E2984" s="6"/>
      <c r="F2984" s="6" t="b">
        <f t="shared" si="1"/>
        <v>0</v>
      </c>
    </row>
    <row r="2985" ht="15.75" customHeight="1">
      <c r="A2985" s="7" t="s">
        <v>5636</v>
      </c>
      <c r="B2985" s="4" t="s">
        <v>5637</v>
      </c>
      <c r="C2985" s="5" t="s">
        <v>6</v>
      </c>
      <c r="D2985" s="6" t="s">
        <v>731</v>
      </c>
      <c r="E2985" s="6"/>
      <c r="F2985" s="6" t="b">
        <f t="shared" si="1"/>
        <v>0</v>
      </c>
    </row>
    <row r="2986" ht="15.75" customHeight="1">
      <c r="A2986" s="7" t="s">
        <v>5638</v>
      </c>
      <c r="B2986" s="4" t="s">
        <v>5639</v>
      </c>
      <c r="C2986" s="5" t="s">
        <v>6</v>
      </c>
      <c r="D2986" s="6" t="s">
        <v>5640</v>
      </c>
      <c r="E2986" s="6"/>
      <c r="F2986" s="6" t="b">
        <f t="shared" si="1"/>
        <v>0</v>
      </c>
    </row>
    <row r="2987" ht="15.75" customHeight="1">
      <c r="A2987" s="7" t="s">
        <v>5641</v>
      </c>
      <c r="B2987" s="4" t="s">
        <v>5642</v>
      </c>
      <c r="C2987" s="8"/>
      <c r="D2987" s="6" t="s">
        <v>36</v>
      </c>
      <c r="E2987" s="6"/>
      <c r="F2987" s="6" t="b">
        <f t="shared" si="1"/>
        <v>0</v>
      </c>
    </row>
    <row r="2988" ht="15.75" customHeight="1">
      <c r="A2988" s="7" t="s">
        <v>5643</v>
      </c>
      <c r="B2988" s="4" t="s">
        <v>5644</v>
      </c>
      <c r="C2988" s="5" t="s">
        <v>6</v>
      </c>
      <c r="D2988" s="6" t="s">
        <v>5645</v>
      </c>
      <c r="E2988" s="6"/>
      <c r="F2988" s="6" t="b">
        <f t="shared" si="1"/>
        <v>0</v>
      </c>
    </row>
    <row r="2989" ht="15.75" customHeight="1">
      <c r="A2989" s="7" t="s">
        <v>5646</v>
      </c>
      <c r="B2989" s="4" t="s">
        <v>5647</v>
      </c>
      <c r="C2989" s="5" t="s">
        <v>6</v>
      </c>
      <c r="D2989" s="6" t="s">
        <v>3966</v>
      </c>
      <c r="E2989" s="6"/>
      <c r="F2989" s="6" t="b">
        <f t="shared" si="1"/>
        <v>0</v>
      </c>
    </row>
    <row r="2990" ht="15.75" customHeight="1">
      <c r="A2990" s="7" t="s">
        <v>5648</v>
      </c>
      <c r="B2990" s="4" t="s">
        <v>5649</v>
      </c>
      <c r="C2990" s="6"/>
      <c r="D2990" s="6" t="s">
        <v>55</v>
      </c>
      <c r="E2990" s="6"/>
      <c r="F2990" s="6" t="b">
        <f t="shared" si="1"/>
        <v>0</v>
      </c>
    </row>
    <row r="2991" ht="15.75" customHeight="1">
      <c r="A2991" s="7" t="s">
        <v>5650</v>
      </c>
      <c r="B2991" s="4" t="s">
        <v>5651</v>
      </c>
      <c r="C2991" s="5" t="s">
        <v>6</v>
      </c>
      <c r="D2991" s="6" t="s">
        <v>5652</v>
      </c>
      <c r="E2991" s="6"/>
      <c r="F2991" s="6" t="b">
        <f t="shared" si="1"/>
        <v>0</v>
      </c>
    </row>
    <row r="2992" ht="15.75" customHeight="1">
      <c r="A2992" s="7" t="s">
        <v>5653</v>
      </c>
      <c r="B2992" s="4" t="s">
        <v>5654</v>
      </c>
      <c r="C2992" s="5" t="s">
        <v>6</v>
      </c>
      <c r="D2992" s="6" t="s">
        <v>5655</v>
      </c>
      <c r="E2992" s="6"/>
      <c r="F2992" s="6" t="b">
        <f t="shared" si="1"/>
        <v>0</v>
      </c>
    </row>
    <row r="2993" ht="15.75" customHeight="1">
      <c r="A2993" s="7" t="s">
        <v>5656</v>
      </c>
      <c r="B2993" s="4" t="s">
        <v>5657</v>
      </c>
      <c r="C2993" s="5" t="s">
        <v>6</v>
      </c>
      <c r="D2993" s="6" t="s">
        <v>5658</v>
      </c>
      <c r="E2993" s="6"/>
      <c r="F2993" s="6" t="b">
        <f t="shared" si="1"/>
        <v>0</v>
      </c>
    </row>
    <row r="2994" ht="15.75" customHeight="1">
      <c r="A2994" s="7" t="s">
        <v>5659</v>
      </c>
      <c r="B2994" s="4" t="s">
        <v>5660</v>
      </c>
      <c r="C2994" s="5" t="s">
        <v>229</v>
      </c>
      <c r="D2994" s="6" t="s">
        <v>2853</v>
      </c>
      <c r="E2994" s="6"/>
      <c r="F2994" s="6" t="b">
        <f t="shared" si="1"/>
        <v>0</v>
      </c>
    </row>
    <row r="2995" ht="15.75" customHeight="1">
      <c r="A2995" s="3" t="s">
        <v>5661</v>
      </c>
      <c r="B2995" s="4"/>
      <c r="C2995" s="5"/>
      <c r="D2995" s="5"/>
      <c r="E2995" s="6"/>
      <c r="F2995" s="6" t="b">
        <f t="shared" si="1"/>
        <v>0</v>
      </c>
    </row>
    <row r="2996" ht="15.75" customHeight="1">
      <c r="A2996" s="7" t="s">
        <v>5662</v>
      </c>
      <c r="B2996" s="4" t="s">
        <v>5663</v>
      </c>
      <c r="C2996" s="5" t="s">
        <v>229</v>
      </c>
      <c r="D2996" s="6" t="s">
        <v>5664</v>
      </c>
      <c r="E2996" s="6"/>
      <c r="F2996" s="6" t="b">
        <f t="shared" si="1"/>
        <v>0</v>
      </c>
    </row>
    <row r="2997" ht="15.75" customHeight="1">
      <c r="A2997" s="7" t="s">
        <v>5665</v>
      </c>
      <c r="B2997" s="4" t="s">
        <v>5666</v>
      </c>
      <c r="C2997" s="5" t="s">
        <v>229</v>
      </c>
      <c r="D2997" s="6" t="s">
        <v>2853</v>
      </c>
      <c r="E2997" s="6"/>
      <c r="F2997" s="6" t="b">
        <f t="shared" si="1"/>
        <v>0</v>
      </c>
    </row>
    <row r="2998" ht="15.75" customHeight="1">
      <c r="A2998" s="3" t="s">
        <v>5667</v>
      </c>
      <c r="B2998" s="4"/>
      <c r="C2998" s="5"/>
      <c r="D2998" s="5"/>
      <c r="E2998" s="6"/>
      <c r="F2998" s="6" t="b">
        <f t="shared" si="1"/>
        <v>0</v>
      </c>
    </row>
    <row r="2999" ht="15.75" customHeight="1">
      <c r="A2999" s="12" t="s">
        <v>5668</v>
      </c>
      <c r="B2999" s="11"/>
      <c r="C2999" s="5"/>
      <c r="D2999" s="5"/>
      <c r="E2999" s="6"/>
      <c r="F2999" s="6" t="b">
        <f t="shared" si="1"/>
        <v>0</v>
      </c>
    </row>
    <row r="3000" ht="15.75" customHeight="1">
      <c r="A3000" s="10" t="s">
        <v>5669</v>
      </c>
      <c r="B3000" s="11" t="s">
        <v>5670</v>
      </c>
      <c r="C3000" s="5"/>
      <c r="D3000" s="8" t="s">
        <v>5490</v>
      </c>
      <c r="E3000" s="6"/>
      <c r="F3000" s="6" t="b">
        <f t="shared" si="1"/>
        <v>0</v>
      </c>
    </row>
    <row r="3001" ht="15.75" customHeight="1">
      <c r="A3001" s="3" t="s">
        <v>5671</v>
      </c>
      <c r="B3001" s="4"/>
      <c r="C3001" s="5"/>
      <c r="D3001" s="5"/>
      <c r="E3001" s="6"/>
      <c r="F3001" s="6" t="b">
        <f t="shared" si="1"/>
        <v>0</v>
      </c>
    </row>
    <row r="3002" ht="15.75" customHeight="1">
      <c r="A3002" s="7" t="s">
        <v>5672</v>
      </c>
      <c r="B3002" s="4" t="s">
        <v>5673</v>
      </c>
      <c r="C3002" s="5" t="s">
        <v>6</v>
      </c>
      <c r="D3002" s="6" t="s">
        <v>547</v>
      </c>
      <c r="E3002" s="6"/>
      <c r="F3002" s="6" t="b">
        <f t="shared" si="1"/>
        <v>0</v>
      </c>
    </row>
    <row r="3003" ht="15.75" customHeight="1">
      <c r="A3003" s="3" t="s">
        <v>5674</v>
      </c>
      <c r="B3003" s="4"/>
      <c r="C3003" s="5"/>
      <c r="D3003" s="5"/>
      <c r="E3003" s="6"/>
      <c r="F3003" s="6" t="b">
        <f t="shared" si="1"/>
        <v>0</v>
      </c>
    </row>
    <row r="3004" ht="15.75" customHeight="1">
      <c r="A3004" s="3" t="s">
        <v>5675</v>
      </c>
      <c r="B3004" s="4"/>
      <c r="C3004" s="5"/>
      <c r="D3004" s="5"/>
      <c r="E3004" s="6"/>
      <c r="F3004" s="6" t="b">
        <f t="shared" si="1"/>
        <v>0</v>
      </c>
    </row>
    <row r="3005" ht="15.75" customHeight="1">
      <c r="A3005" s="3" t="s">
        <v>5676</v>
      </c>
      <c r="B3005" s="4"/>
      <c r="C3005" s="5"/>
      <c r="D3005" s="5"/>
      <c r="E3005" s="6"/>
      <c r="F3005" s="6" t="b">
        <f t="shared" si="1"/>
        <v>0</v>
      </c>
    </row>
    <row r="3006" ht="15.75" customHeight="1">
      <c r="A3006" s="7" t="s">
        <v>5677</v>
      </c>
      <c r="B3006" s="4" t="s">
        <v>5678</v>
      </c>
      <c r="C3006" s="5" t="s">
        <v>6</v>
      </c>
      <c r="D3006" s="6" t="s">
        <v>5679</v>
      </c>
      <c r="E3006" s="6"/>
      <c r="F3006" s="6" t="b">
        <f t="shared" si="1"/>
        <v>0</v>
      </c>
    </row>
    <row r="3007" ht="15.75" customHeight="1">
      <c r="A3007" s="7" t="s">
        <v>5680</v>
      </c>
      <c r="B3007" s="4" t="s">
        <v>5681</v>
      </c>
      <c r="C3007" s="5" t="s">
        <v>6</v>
      </c>
      <c r="D3007" s="6" t="s">
        <v>5682</v>
      </c>
      <c r="E3007" s="6"/>
      <c r="F3007" s="6" t="b">
        <f t="shared" si="1"/>
        <v>0</v>
      </c>
    </row>
    <row r="3008" ht="15.75" customHeight="1">
      <c r="A3008" s="7" t="s">
        <v>5683</v>
      </c>
      <c r="B3008" s="4" t="s">
        <v>5684</v>
      </c>
      <c r="C3008" s="5" t="s">
        <v>16</v>
      </c>
      <c r="D3008" s="6" t="s">
        <v>1087</v>
      </c>
      <c r="E3008" s="6"/>
      <c r="F3008" s="6" t="b">
        <f t="shared" si="1"/>
        <v>0</v>
      </c>
    </row>
    <row r="3009" ht="15.75" customHeight="1">
      <c r="A3009" s="3" t="s">
        <v>5685</v>
      </c>
      <c r="B3009" s="4"/>
      <c r="C3009" s="5"/>
      <c r="D3009" s="5"/>
      <c r="E3009" s="6"/>
      <c r="F3009" s="6" t="b">
        <f t="shared" si="1"/>
        <v>0</v>
      </c>
    </row>
    <row r="3010" ht="15.75" customHeight="1">
      <c r="A3010" s="7" t="s">
        <v>5686</v>
      </c>
      <c r="B3010" s="4" t="s">
        <v>5687</v>
      </c>
      <c r="C3010" s="5" t="s">
        <v>6</v>
      </c>
      <c r="D3010" s="6" t="s">
        <v>5688</v>
      </c>
      <c r="E3010" s="6"/>
      <c r="F3010" s="6" t="b">
        <f t="shared" si="1"/>
        <v>0</v>
      </c>
    </row>
    <row r="3011" ht="15.75" customHeight="1">
      <c r="A3011" s="7" t="s">
        <v>5689</v>
      </c>
      <c r="B3011" s="4" t="s">
        <v>5690</v>
      </c>
      <c r="C3011" s="5" t="s">
        <v>16</v>
      </c>
      <c r="D3011" s="6" t="s">
        <v>4162</v>
      </c>
      <c r="E3011" s="6"/>
      <c r="F3011" s="6" t="b">
        <f t="shared" si="1"/>
        <v>0</v>
      </c>
    </row>
    <row r="3012" ht="15.75" customHeight="1">
      <c r="A3012" s="7" t="s">
        <v>5691</v>
      </c>
      <c r="B3012" s="4" t="s">
        <v>5692</v>
      </c>
      <c r="C3012" s="5" t="s">
        <v>6</v>
      </c>
      <c r="D3012" s="6" t="s">
        <v>5693</v>
      </c>
      <c r="E3012" s="6"/>
      <c r="F3012" s="6" t="b">
        <f t="shared" si="1"/>
        <v>0</v>
      </c>
    </row>
    <row r="3013" ht="15.75" customHeight="1">
      <c r="A3013" s="3" t="s">
        <v>5694</v>
      </c>
      <c r="B3013" s="4"/>
      <c r="C3013" s="5"/>
      <c r="D3013" s="5"/>
      <c r="E3013" s="6"/>
      <c r="F3013" s="6" t="b">
        <f t="shared" si="1"/>
        <v>0</v>
      </c>
    </row>
    <row r="3014" ht="15.75" customHeight="1">
      <c r="A3014" s="3" t="s">
        <v>5695</v>
      </c>
      <c r="B3014" s="4"/>
      <c r="C3014" s="5"/>
      <c r="D3014" s="5"/>
      <c r="E3014" s="6"/>
      <c r="F3014" s="6" t="b">
        <f t="shared" si="1"/>
        <v>0</v>
      </c>
    </row>
    <row r="3015" ht="15.75" customHeight="1">
      <c r="A3015" s="3" t="s">
        <v>5696</v>
      </c>
      <c r="B3015" s="4"/>
      <c r="C3015" s="5"/>
      <c r="D3015" s="5"/>
      <c r="E3015" s="6"/>
      <c r="F3015" s="6" t="b">
        <f t="shared" si="1"/>
        <v>0</v>
      </c>
    </row>
    <row r="3016" ht="15.75" customHeight="1">
      <c r="A3016" s="3" t="s">
        <v>5697</v>
      </c>
      <c r="B3016" s="4"/>
      <c r="C3016" s="5"/>
      <c r="D3016" s="5"/>
      <c r="E3016" s="6"/>
      <c r="F3016" s="6" t="b">
        <f t="shared" si="1"/>
        <v>0</v>
      </c>
    </row>
    <row r="3017" ht="15.75" customHeight="1">
      <c r="A3017" s="3" t="s">
        <v>5698</v>
      </c>
      <c r="B3017" s="4"/>
      <c r="C3017" s="5"/>
      <c r="D3017" s="5"/>
      <c r="E3017" s="6"/>
      <c r="F3017" s="6" t="b">
        <f t="shared" si="1"/>
        <v>0</v>
      </c>
    </row>
    <row r="3018" ht="15.75" customHeight="1">
      <c r="A3018" s="7" t="s">
        <v>5699</v>
      </c>
      <c r="B3018" s="4" t="s">
        <v>5700</v>
      </c>
      <c r="C3018" s="5" t="s">
        <v>16</v>
      </c>
      <c r="D3018" s="6" t="s">
        <v>5701</v>
      </c>
      <c r="E3018" s="6"/>
      <c r="F3018" s="6" t="b">
        <f t="shared" si="1"/>
        <v>0</v>
      </c>
    </row>
    <row r="3019" ht="15.75" customHeight="1">
      <c r="A3019" s="7" t="s">
        <v>5702</v>
      </c>
      <c r="B3019" s="4" t="s">
        <v>5703</v>
      </c>
      <c r="C3019" s="5" t="s">
        <v>6</v>
      </c>
      <c r="D3019" s="6" t="s">
        <v>5704</v>
      </c>
      <c r="E3019" s="6"/>
      <c r="F3019" s="6" t="b">
        <f t="shared" si="1"/>
        <v>0</v>
      </c>
    </row>
    <row r="3020" ht="15.75" customHeight="1">
      <c r="A3020" s="7" t="s">
        <v>5705</v>
      </c>
      <c r="B3020" s="4" t="s">
        <v>5706</v>
      </c>
      <c r="C3020" s="5" t="s">
        <v>6</v>
      </c>
      <c r="D3020" s="6" t="s">
        <v>5704</v>
      </c>
      <c r="E3020" s="6"/>
      <c r="F3020" s="6" t="b">
        <f t="shared" si="1"/>
        <v>0</v>
      </c>
    </row>
    <row r="3021" ht="15.75" customHeight="1">
      <c r="A3021" s="7" t="s">
        <v>5707</v>
      </c>
      <c r="B3021" s="4" t="s">
        <v>4673</v>
      </c>
      <c r="C3021" s="5" t="s">
        <v>16</v>
      </c>
      <c r="D3021" s="6" t="s">
        <v>4688</v>
      </c>
      <c r="E3021" s="6"/>
      <c r="F3021" s="6" t="b">
        <f t="shared" si="1"/>
        <v>0</v>
      </c>
    </row>
    <row r="3022" ht="15.75" customHeight="1">
      <c r="A3022" s="7" t="s">
        <v>5708</v>
      </c>
      <c r="B3022" s="4" t="s">
        <v>5709</v>
      </c>
      <c r="C3022" s="5" t="s">
        <v>16</v>
      </c>
      <c r="D3022" s="6" t="s">
        <v>236</v>
      </c>
      <c r="E3022" s="6"/>
      <c r="F3022" s="6" t="b">
        <f t="shared" si="1"/>
        <v>0</v>
      </c>
    </row>
    <row r="3023" ht="15.75" customHeight="1">
      <c r="A3023" s="3" t="s">
        <v>5710</v>
      </c>
      <c r="B3023" s="4"/>
      <c r="C3023" s="5"/>
      <c r="D3023" s="5"/>
      <c r="E3023" s="6"/>
      <c r="F3023" s="6" t="b">
        <f t="shared" si="1"/>
        <v>0</v>
      </c>
    </row>
    <row r="3024" ht="15.75" customHeight="1">
      <c r="A3024" s="3" t="s">
        <v>5711</v>
      </c>
      <c r="B3024" s="4"/>
      <c r="C3024" s="5"/>
      <c r="D3024" s="5"/>
      <c r="E3024" s="6"/>
      <c r="F3024" s="6" t="b">
        <f t="shared" si="1"/>
        <v>0</v>
      </c>
    </row>
    <row r="3025" ht="15.75" customHeight="1">
      <c r="A3025" s="7" t="s">
        <v>5712</v>
      </c>
      <c r="B3025" s="4" t="s">
        <v>5713</v>
      </c>
      <c r="C3025" s="5" t="s">
        <v>16</v>
      </c>
      <c r="D3025" s="6" t="s">
        <v>800</v>
      </c>
      <c r="E3025" s="6"/>
      <c r="F3025" s="6" t="b">
        <f t="shared" si="1"/>
        <v>0</v>
      </c>
    </row>
    <row r="3026" ht="15.75" customHeight="1">
      <c r="A3026" s="7" t="s">
        <v>5714</v>
      </c>
      <c r="B3026" s="4" t="s">
        <v>5715</v>
      </c>
      <c r="C3026" s="5" t="s">
        <v>16</v>
      </c>
      <c r="D3026" s="6" t="s">
        <v>5716</v>
      </c>
      <c r="E3026" s="6"/>
      <c r="F3026" s="6" t="b">
        <f t="shared" si="1"/>
        <v>0</v>
      </c>
    </row>
    <row r="3027" ht="15.75" customHeight="1">
      <c r="A3027" s="7" t="s">
        <v>5717</v>
      </c>
      <c r="B3027" s="4" t="s">
        <v>5718</v>
      </c>
      <c r="C3027" s="5" t="s">
        <v>16</v>
      </c>
      <c r="D3027" s="6" t="s">
        <v>5719</v>
      </c>
      <c r="E3027" s="6"/>
      <c r="F3027" s="6" t="b">
        <f t="shared" si="1"/>
        <v>0</v>
      </c>
    </row>
    <row r="3028" ht="15.75" customHeight="1">
      <c r="A3028" s="7" t="s">
        <v>5720</v>
      </c>
      <c r="B3028" s="4" t="s">
        <v>5721</v>
      </c>
      <c r="C3028" s="5" t="s">
        <v>6</v>
      </c>
      <c r="D3028" s="6" t="s">
        <v>5722</v>
      </c>
      <c r="E3028" s="6"/>
      <c r="F3028" s="6" t="b">
        <f t="shared" si="1"/>
        <v>0</v>
      </c>
    </row>
    <row r="3029" ht="15.75" customHeight="1">
      <c r="A3029" s="7" t="s">
        <v>5723</v>
      </c>
      <c r="B3029" s="4" t="s">
        <v>5724</v>
      </c>
      <c r="C3029" s="5" t="s">
        <v>16</v>
      </c>
      <c r="D3029" s="6" t="s">
        <v>5725</v>
      </c>
      <c r="E3029" s="6"/>
      <c r="F3029" s="6" t="b">
        <f t="shared" si="1"/>
        <v>0</v>
      </c>
    </row>
    <row r="3030" ht="15.75" customHeight="1">
      <c r="A3030" s="7" t="s">
        <v>5726</v>
      </c>
      <c r="B3030" s="4" t="s">
        <v>5727</v>
      </c>
      <c r="C3030" s="5" t="s">
        <v>16</v>
      </c>
      <c r="D3030" s="6" t="s">
        <v>1087</v>
      </c>
      <c r="E3030" s="6"/>
      <c r="F3030" s="6" t="b">
        <f t="shared" si="1"/>
        <v>0</v>
      </c>
    </row>
    <row r="3031" ht="15.75" customHeight="1">
      <c r="A3031" s="7" t="s">
        <v>5728</v>
      </c>
      <c r="B3031" s="4" t="s">
        <v>5729</v>
      </c>
      <c r="C3031" s="5" t="s">
        <v>6</v>
      </c>
      <c r="D3031" s="6" t="s">
        <v>5730</v>
      </c>
      <c r="E3031" s="6"/>
      <c r="F3031" s="6" t="b">
        <f t="shared" si="1"/>
        <v>0</v>
      </c>
    </row>
    <row r="3032" ht="15.75" customHeight="1">
      <c r="A3032" s="7" t="s">
        <v>5731</v>
      </c>
      <c r="B3032" s="4" t="s">
        <v>5732</v>
      </c>
      <c r="C3032" s="5" t="s">
        <v>6</v>
      </c>
      <c r="D3032" s="6" t="s">
        <v>241</v>
      </c>
      <c r="E3032" s="6"/>
      <c r="F3032" s="6" t="b">
        <f t="shared" si="1"/>
        <v>0</v>
      </c>
    </row>
    <row r="3033" ht="15.75" customHeight="1">
      <c r="A3033" s="7" t="s">
        <v>5733</v>
      </c>
      <c r="B3033" s="4" t="s">
        <v>5734</v>
      </c>
      <c r="C3033" s="5" t="s">
        <v>16</v>
      </c>
      <c r="D3033" s="6" t="s">
        <v>4579</v>
      </c>
      <c r="E3033" s="6"/>
      <c r="F3033" s="6" t="b">
        <f t="shared" si="1"/>
        <v>0</v>
      </c>
    </row>
    <row r="3034" ht="15.75" customHeight="1">
      <c r="A3034" s="7" t="s">
        <v>5735</v>
      </c>
      <c r="B3034" s="4" t="s">
        <v>5736</v>
      </c>
      <c r="C3034" s="5" t="s">
        <v>6</v>
      </c>
      <c r="D3034" s="6" t="s">
        <v>5737</v>
      </c>
      <c r="E3034" s="6"/>
      <c r="F3034" s="6" t="b">
        <f t="shared" si="1"/>
        <v>0</v>
      </c>
    </row>
    <row r="3035" ht="15.75" customHeight="1">
      <c r="A3035" s="7" t="s">
        <v>5738</v>
      </c>
      <c r="B3035" s="4" t="s">
        <v>5739</v>
      </c>
      <c r="C3035" s="5" t="s">
        <v>16</v>
      </c>
      <c r="D3035" s="6" t="s">
        <v>5740</v>
      </c>
      <c r="E3035" s="6"/>
      <c r="F3035" s="6" t="b">
        <f t="shared" si="1"/>
        <v>0</v>
      </c>
    </row>
    <row r="3036" ht="15.75" customHeight="1">
      <c r="A3036" s="10" t="s">
        <v>5741</v>
      </c>
      <c r="B3036" s="11"/>
      <c r="C3036" s="5"/>
      <c r="D3036" s="8"/>
      <c r="E3036" s="6"/>
      <c r="F3036" s="6" t="b">
        <f t="shared" si="1"/>
        <v>0</v>
      </c>
    </row>
    <row r="3037" ht="15.75" customHeight="1">
      <c r="A3037" s="7" t="s">
        <v>5742</v>
      </c>
      <c r="B3037" s="4" t="s">
        <v>5743</v>
      </c>
      <c r="C3037" s="5" t="s">
        <v>6</v>
      </c>
      <c r="D3037" s="6" t="s">
        <v>5744</v>
      </c>
      <c r="E3037" s="6"/>
      <c r="F3037" s="6" t="b">
        <f t="shared" si="1"/>
        <v>0</v>
      </c>
    </row>
    <row r="3038" ht="15.75" customHeight="1">
      <c r="A3038" s="7" t="s">
        <v>5745</v>
      </c>
      <c r="B3038" s="4" t="s">
        <v>5746</v>
      </c>
      <c r="C3038" s="5" t="s">
        <v>6</v>
      </c>
      <c r="D3038" s="6" t="s">
        <v>5747</v>
      </c>
      <c r="E3038" s="6"/>
      <c r="F3038" s="6" t="b">
        <f t="shared" si="1"/>
        <v>0</v>
      </c>
    </row>
    <row r="3039" ht="15.75" customHeight="1">
      <c r="A3039" s="7" t="s">
        <v>5748</v>
      </c>
      <c r="B3039" s="4" t="s">
        <v>5749</v>
      </c>
      <c r="C3039" s="5" t="s">
        <v>6</v>
      </c>
      <c r="D3039" s="6" t="s">
        <v>5688</v>
      </c>
      <c r="E3039" s="6"/>
      <c r="F3039" s="6" t="b">
        <f t="shared" si="1"/>
        <v>0</v>
      </c>
    </row>
    <row r="3040" ht="15.75" customHeight="1">
      <c r="A3040" s="7" t="s">
        <v>5750</v>
      </c>
      <c r="B3040" s="4" t="s">
        <v>5751</v>
      </c>
      <c r="C3040" s="5" t="s">
        <v>6</v>
      </c>
      <c r="D3040" s="6" t="s">
        <v>5688</v>
      </c>
      <c r="E3040" s="6"/>
      <c r="F3040" s="6" t="b">
        <f t="shared" si="1"/>
        <v>0</v>
      </c>
    </row>
    <row r="3041" ht="15.75" customHeight="1">
      <c r="A3041" s="7" t="s">
        <v>5752</v>
      </c>
      <c r="B3041" s="4" t="s">
        <v>5753</v>
      </c>
      <c r="C3041" s="5" t="s">
        <v>6</v>
      </c>
      <c r="D3041" s="6" t="s">
        <v>5754</v>
      </c>
      <c r="E3041" s="6"/>
      <c r="F3041" s="6" t="b">
        <f t="shared" si="1"/>
        <v>0</v>
      </c>
    </row>
    <row r="3042" ht="15.75" customHeight="1">
      <c r="A3042" s="7" t="s">
        <v>5755</v>
      </c>
      <c r="B3042" s="4" t="s">
        <v>5756</v>
      </c>
      <c r="C3042" s="5" t="s">
        <v>6</v>
      </c>
      <c r="D3042" s="6" t="s">
        <v>5754</v>
      </c>
      <c r="E3042" s="6"/>
      <c r="F3042" s="6" t="b">
        <f t="shared" si="1"/>
        <v>0</v>
      </c>
    </row>
    <row r="3043" ht="15.75" customHeight="1">
      <c r="A3043" s="7" t="s">
        <v>5757</v>
      </c>
      <c r="B3043" s="4" t="s">
        <v>5758</v>
      </c>
      <c r="C3043" s="5" t="s">
        <v>6</v>
      </c>
      <c r="D3043" s="6" t="s">
        <v>5759</v>
      </c>
      <c r="E3043" s="6"/>
      <c r="F3043" s="6" t="b">
        <f t="shared" si="1"/>
        <v>0</v>
      </c>
    </row>
    <row r="3044" ht="15.75" customHeight="1">
      <c r="A3044" s="7" t="s">
        <v>5760</v>
      </c>
      <c r="B3044" s="4" t="s">
        <v>5761</v>
      </c>
      <c r="C3044" s="5" t="s">
        <v>6</v>
      </c>
      <c r="D3044" s="6" t="s">
        <v>5693</v>
      </c>
      <c r="E3044" s="6"/>
      <c r="F3044" s="6" t="b">
        <f t="shared" si="1"/>
        <v>0</v>
      </c>
    </row>
    <row r="3045" ht="15.75" customHeight="1">
      <c r="A3045" s="7" t="s">
        <v>5762</v>
      </c>
      <c r="B3045" s="4" t="s">
        <v>5763</v>
      </c>
      <c r="C3045" s="5" t="s">
        <v>16</v>
      </c>
      <c r="D3045" s="6" t="s">
        <v>1199</v>
      </c>
      <c r="E3045" s="6"/>
      <c r="F3045" s="6" t="b">
        <f t="shared" si="1"/>
        <v>0</v>
      </c>
    </row>
    <row r="3046" ht="15.75" customHeight="1">
      <c r="A3046" s="7" t="s">
        <v>5764</v>
      </c>
      <c r="B3046" s="4" t="s">
        <v>5765</v>
      </c>
      <c r="C3046" s="5" t="s">
        <v>16</v>
      </c>
      <c r="D3046" s="6" t="s">
        <v>1087</v>
      </c>
      <c r="E3046" s="6"/>
      <c r="F3046" s="6" t="b">
        <f t="shared" si="1"/>
        <v>0</v>
      </c>
    </row>
    <row r="3047" ht="15.75" customHeight="1">
      <c r="A3047" s="3" t="s">
        <v>5766</v>
      </c>
      <c r="B3047" s="4"/>
      <c r="C3047" s="5"/>
      <c r="D3047" s="5"/>
      <c r="E3047" s="6"/>
      <c r="F3047" s="6" t="b">
        <f t="shared" si="1"/>
        <v>0</v>
      </c>
    </row>
    <row r="3048" ht="15.75" customHeight="1">
      <c r="A3048" s="7" t="s">
        <v>5767</v>
      </c>
      <c r="B3048" s="4" t="s">
        <v>5768</v>
      </c>
      <c r="C3048" s="5" t="s">
        <v>16</v>
      </c>
      <c r="D3048" s="6" t="s">
        <v>5769</v>
      </c>
      <c r="E3048" s="6"/>
      <c r="F3048" s="6" t="b">
        <f t="shared" si="1"/>
        <v>0</v>
      </c>
    </row>
    <row r="3049" ht="15.75" customHeight="1">
      <c r="A3049" s="7" t="s">
        <v>5770</v>
      </c>
      <c r="B3049" s="4" t="s">
        <v>5771</v>
      </c>
      <c r="C3049" s="5" t="s">
        <v>6</v>
      </c>
      <c r="D3049" s="6" t="s">
        <v>5772</v>
      </c>
      <c r="E3049" s="6"/>
      <c r="F3049" s="6" t="b">
        <f t="shared" si="1"/>
        <v>0</v>
      </c>
    </row>
    <row r="3050" ht="15.75" customHeight="1">
      <c r="A3050" s="7" t="s">
        <v>5773</v>
      </c>
      <c r="B3050" s="4" t="s">
        <v>5774</v>
      </c>
      <c r="C3050" s="5" t="s">
        <v>6</v>
      </c>
      <c r="D3050" s="6" t="s">
        <v>5775</v>
      </c>
      <c r="E3050" s="6"/>
      <c r="F3050" s="6" t="b">
        <f t="shared" si="1"/>
        <v>0</v>
      </c>
    </row>
    <row r="3051" ht="15.75" customHeight="1">
      <c r="A3051" s="3" t="s">
        <v>5776</v>
      </c>
      <c r="B3051" s="4"/>
      <c r="C3051" s="5"/>
      <c r="D3051" s="5"/>
      <c r="E3051" s="6"/>
      <c r="F3051" s="6" t="b">
        <f t="shared" si="1"/>
        <v>0</v>
      </c>
    </row>
    <row r="3052" ht="15.75" customHeight="1">
      <c r="A3052" s="7" t="s">
        <v>5777</v>
      </c>
      <c r="B3052" s="4" t="s">
        <v>5778</v>
      </c>
      <c r="C3052" s="5" t="s">
        <v>6</v>
      </c>
      <c r="D3052" s="6" t="s">
        <v>1313</v>
      </c>
      <c r="E3052" s="6"/>
      <c r="F3052" s="6" t="b">
        <f t="shared" si="1"/>
        <v>0</v>
      </c>
    </row>
    <row r="3053" ht="15.75" customHeight="1">
      <c r="A3053" s="7" t="s">
        <v>5779</v>
      </c>
      <c r="B3053" s="4" t="s">
        <v>5780</v>
      </c>
      <c r="C3053" s="5" t="s">
        <v>6</v>
      </c>
      <c r="D3053" s="6" t="s">
        <v>1313</v>
      </c>
      <c r="E3053" s="6"/>
      <c r="F3053" s="6" t="b">
        <f t="shared" si="1"/>
        <v>0</v>
      </c>
    </row>
    <row r="3054" ht="15.75" customHeight="1">
      <c r="A3054" s="7" t="s">
        <v>5781</v>
      </c>
      <c r="B3054" s="4" t="s">
        <v>5782</v>
      </c>
      <c r="C3054" s="5" t="s">
        <v>6</v>
      </c>
      <c r="D3054" s="6" t="s">
        <v>3922</v>
      </c>
      <c r="E3054" s="6"/>
      <c r="F3054" s="6" t="b">
        <f t="shared" si="1"/>
        <v>0</v>
      </c>
    </row>
    <row r="3055" ht="15.75" customHeight="1">
      <c r="A3055" s="7" t="s">
        <v>5783</v>
      </c>
      <c r="B3055" s="4" t="s">
        <v>5784</v>
      </c>
      <c r="C3055" s="5" t="s">
        <v>16</v>
      </c>
      <c r="D3055" s="6" t="s">
        <v>1738</v>
      </c>
      <c r="E3055" s="6"/>
      <c r="F3055" s="6" t="b">
        <f t="shared" si="1"/>
        <v>0</v>
      </c>
    </row>
    <row r="3056" ht="15.75" customHeight="1">
      <c r="A3056" s="7" t="s">
        <v>5785</v>
      </c>
      <c r="B3056" s="4" t="s">
        <v>5786</v>
      </c>
      <c r="C3056" s="5" t="s">
        <v>6</v>
      </c>
      <c r="D3056" s="6" t="s">
        <v>5408</v>
      </c>
      <c r="E3056" s="6"/>
      <c r="F3056" s="6" t="b">
        <f t="shared" si="1"/>
        <v>0</v>
      </c>
    </row>
    <row r="3057" ht="15.75" customHeight="1">
      <c r="A3057" s="3" t="s">
        <v>5787</v>
      </c>
      <c r="B3057" s="4"/>
      <c r="C3057" s="5"/>
      <c r="D3057" s="5"/>
      <c r="E3057" s="6"/>
      <c r="F3057" s="6" t="b">
        <f t="shared" si="1"/>
        <v>0</v>
      </c>
    </row>
    <row r="3058" ht="15.75" customHeight="1">
      <c r="A3058" s="7" t="s">
        <v>5788</v>
      </c>
      <c r="B3058" s="4" t="s">
        <v>5789</v>
      </c>
      <c r="C3058" s="5" t="s">
        <v>16</v>
      </c>
      <c r="D3058" s="6" t="s">
        <v>4628</v>
      </c>
      <c r="E3058" s="6"/>
      <c r="F3058" s="6" t="b">
        <f t="shared" si="1"/>
        <v>0</v>
      </c>
    </row>
    <row r="3059" ht="15.75" customHeight="1">
      <c r="A3059" s="7" t="s">
        <v>5790</v>
      </c>
      <c r="B3059" s="4" t="s">
        <v>5791</v>
      </c>
      <c r="C3059" s="5" t="s">
        <v>16</v>
      </c>
      <c r="D3059" s="6" t="s">
        <v>4634</v>
      </c>
      <c r="E3059" s="6"/>
      <c r="F3059" s="6" t="b">
        <f t="shared" si="1"/>
        <v>0</v>
      </c>
    </row>
    <row r="3060" ht="15.75" customHeight="1">
      <c r="A3060" s="7" t="s">
        <v>5792</v>
      </c>
      <c r="B3060" s="4" t="s">
        <v>5793</v>
      </c>
      <c r="C3060" s="5" t="s">
        <v>16</v>
      </c>
      <c r="D3060" s="6" t="s">
        <v>5794</v>
      </c>
      <c r="E3060" s="6"/>
      <c r="F3060" s="6" t="b">
        <f t="shared" si="1"/>
        <v>0</v>
      </c>
    </row>
    <row r="3061" ht="15.75" customHeight="1">
      <c r="A3061" s="7" t="s">
        <v>5795</v>
      </c>
      <c r="B3061" s="4" t="s">
        <v>5796</v>
      </c>
      <c r="C3061" s="5" t="s">
        <v>16</v>
      </c>
      <c r="D3061" s="6" t="s">
        <v>4641</v>
      </c>
      <c r="E3061" s="6"/>
      <c r="F3061" s="6" t="b">
        <f t="shared" si="1"/>
        <v>0</v>
      </c>
    </row>
    <row r="3062" ht="15.75" customHeight="1">
      <c r="A3062" s="7" t="s">
        <v>5797</v>
      </c>
      <c r="B3062" s="4" t="s">
        <v>5798</v>
      </c>
      <c r="C3062" s="5" t="s">
        <v>16</v>
      </c>
      <c r="D3062" s="6" t="s">
        <v>4662</v>
      </c>
      <c r="E3062" s="6"/>
      <c r="F3062" s="6" t="b">
        <f t="shared" si="1"/>
        <v>0</v>
      </c>
    </row>
    <row r="3063" ht="15.75" customHeight="1">
      <c r="A3063" s="7" t="s">
        <v>5799</v>
      </c>
      <c r="B3063" s="4" t="s">
        <v>5800</v>
      </c>
      <c r="C3063" s="5" t="s">
        <v>6</v>
      </c>
      <c r="D3063" s="6" t="s">
        <v>5801</v>
      </c>
      <c r="E3063" s="6"/>
      <c r="F3063" s="6" t="b">
        <f t="shared" si="1"/>
        <v>0</v>
      </c>
    </row>
    <row r="3064" ht="15.75" customHeight="1">
      <c r="A3064" s="7" t="s">
        <v>5802</v>
      </c>
      <c r="B3064" s="4" t="s">
        <v>5803</v>
      </c>
      <c r="C3064" s="5" t="s">
        <v>6</v>
      </c>
      <c r="D3064" s="6" t="s">
        <v>5804</v>
      </c>
      <c r="E3064" s="6"/>
      <c r="F3064" s="6" t="b">
        <f t="shared" si="1"/>
        <v>0</v>
      </c>
    </row>
    <row r="3065" ht="15.75" customHeight="1">
      <c r="A3065" s="3" t="s">
        <v>5805</v>
      </c>
      <c r="B3065" s="4"/>
      <c r="C3065" s="5"/>
      <c r="D3065" s="5"/>
      <c r="E3065" s="6"/>
      <c r="F3065" s="6" t="b">
        <f t="shared" si="1"/>
        <v>0</v>
      </c>
    </row>
    <row r="3066" ht="15.75" customHeight="1">
      <c r="A3066" s="7" t="s">
        <v>5806</v>
      </c>
      <c r="B3066" s="4" t="s">
        <v>5807</v>
      </c>
      <c r="C3066" s="5" t="s">
        <v>16</v>
      </c>
      <c r="D3066" s="6" t="s">
        <v>734</v>
      </c>
      <c r="E3066" s="6"/>
      <c r="F3066" s="6" t="b">
        <f t="shared" si="1"/>
        <v>0</v>
      </c>
    </row>
    <row r="3067" ht="15.75" customHeight="1">
      <c r="A3067" s="7" t="s">
        <v>5808</v>
      </c>
      <c r="B3067" s="4" t="s">
        <v>5809</v>
      </c>
      <c r="C3067" s="5" t="s">
        <v>16</v>
      </c>
      <c r="D3067" s="6" t="s">
        <v>5810</v>
      </c>
      <c r="E3067" s="6"/>
      <c r="F3067" s="6" t="b">
        <f t="shared" si="1"/>
        <v>0</v>
      </c>
    </row>
    <row r="3068" ht="15.75" customHeight="1">
      <c r="A3068" s="7" t="s">
        <v>5811</v>
      </c>
      <c r="B3068" s="4" t="s">
        <v>5812</v>
      </c>
      <c r="C3068" s="5" t="s">
        <v>6</v>
      </c>
      <c r="D3068" s="6" t="s">
        <v>5813</v>
      </c>
      <c r="E3068" s="6"/>
      <c r="F3068" s="6" t="b">
        <f t="shared" si="1"/>
        <v>0</v>
      </c>
    </row>
    <row r="3069" ht="15.75" customHeight="1">
      <c r="A3069" s="7" t="s">
        <v>5814</v>
      </c>
      <c r="B3069" s="4" t="s">
        <v>5815</v>
      </c>
      <c r="C3069" s="5" t="s">
        <v>16</v>
      </c>
      <c r="D3069" s="6" t="s">
        <v>441</v>
      </c>
      <c r="E3069" s="6"/>
      <c r="F3069" s="6" t="b">
        <f t="shared" si="1"/>
        <v>0</v>
      </c>
    </row>
    <row r="3070" ht="15.75" customHeight="1">
      <c r="A3070" s="7" t="s">
        <v>5816</v>
      </c>
      <c r="B3070" s="4" t="s">
        <v>5817</v>
      </c>
      <c r="C3070" s="5" t="s">
        <v>16</v>
      </c>
      <c r="D3070" s="6" t="s">
        <v>441</v>
      </c>
      <c r="E3070" s="6"/>
      <c r="F3070" s="6" t="b">
        <f t="shared" si="1"/>
        <v>0</v>
      </c>
    </row>
    <row r="3071" ht="15.75" customHeight="1">
      <c r="A3071" s="7" t="s">
        <v>5818</v>
      </c>
      <c r="B3071" s="4" t="s">
        <v>5819</v>
      </c>
      <c r="C3071" s="5" t="s">
        <v>16</v>
      </c>
      <c r="D3071" s="6" t="s">
        <v>5820</v>
      </c>
      <c r="E3071" s="6"/>
      <c r="F3071" s="6" t="b">
        <f t="shared" si="1"/>
        <v>0</v>
      </c>
    </row>
    <row r="3072" ht="15.75" customHeight="1">
      <c r="A3072" s="7" t="s">
        <v>5821</v>
      </c>
      <c r="B3072" s="4" t="s">
        <v>5822</v>
      </c>
      <c r="C3072" s="5" t="s">
        <v>16</v>
      </c>
      <c r="D3072" s="6" t="s">
        <v>5823</v>
      </c>
      <c r="E3072" s="6"/>
      <c r="F3072" s="6" t="b">
        <f t="shared" si="1"/>
        <v>0</v>
      </c>
    </row>
    <row r="3073" ht="15.75" customHeight="1">
      <c r="A3073" s="7" t="s">
        <v>5824</v>
      </c>
      <c r="B3073" s="4" t="s">
        <v>5825</v>
      </c>
      <c r="C3073" s="5" t="s">
        <v>16</v>
      </c>
      <c r="D3073" s="6" t="s">
        <v>5826</v>
      </c>
      <c r="E3073" s="6"/>
      <c r="F3073" s="6" t="b">
        <f t="shared" si="1"/>
        <v>0</v>
      </c>
    </row>
    <row r="3074" ht="15.75" customHeight="1">
      <c r="A3074" s="7" t="s">
        <v>5827</v>
      </c>
      <c r="B3074" s="4" t="s">
        <v>5828</v>
      </c>
      <c r="C3074" s="5" t="s">
        <v>6</v>
      </c>
      <c r="D3074" s="6" t="s">
        <v>5829</v>
      </c>
      <c r="E3074" s="6"/>
      <c r="F3074" s="6" t="b">
        <f t="shared" si="1"/>
        <v>0</v>
      </c>
    </row>
    <row r="3075" ht="15.75" customHeight="1">
      <c r="A3075" s="7" t="s">
        <v>5830</v>
      </c>
      <c r="B3075" s="4" t="s">
        <v>5831</v>
      </c>
      <c r="C3075" s="5" t="s">
        <v>16</v>
      </c>
      <c r="D3075" s="6" t="s">
        <v>800</v>
      </c>
      <c r="E3075" s="6"/>
      <c r="F3075" s="6" t="b">
        <f t="shared" si="1"/>
        <v>0</v>
      </c>
    </row>
    <row r="3076" ht="15.75" customHeight="1">
      <c r="A3076" s="7" t="s">
        <v>5832</v>
      </c>
      <c r="B3076" s="4" t="s">
        <v>5833</v>
      </c>
      <c r="C3076" s="5" t="s">
        <v>16</v>
      </c>
      <c r="D3076" s="6" t="s">
        <v>800</v>
      </c>
      <c r="E3076" s="6"/>
      <c r="F3076" s="6" t="b">
        <f t="shared" si="1"/>
        <v>0</v>
      </c>
    </row>
    <row r="3077" ht="15.75" customHeight="1">
      <c r="A3077" s="7" t="s">
        <v>5834</v>
      </c>
      <c r="B3077" s="4" t="s">
        <v>5835</v>
      </c>
      <c r="C3077" s="5" t="s">
        <v>16</v>
      </c>
      <c r="D3077" s="6" t="s">
        <v>4688</v>
      </c>
      <c r="E3077" s="6"/>
      <c r="F3077" s="6" t="b">
        <f t="shared" si="1"/>
        <v>0</v>
      </c>
    </row>
    <row r="3078" ht="15.75" customHeight="1">
      <c r="A3078" s="7" t="s">
        <v>5836</v>
      </c>
      <c r="B3078" s="4" t="s">
        <v>5837</v>
      </c>
      <c r="C3078" s="5" t="s">
        <v>16</v>
      </c>
      <c r="D3078" s="6" t="s">
        <v>800</v>
      </c>
      <c r="E3078" s="6"/>
      <c r="F3078" s="6" t="b">
        <f t="shared" si="1"/>
        <v>0</v>
      </c>
    </row>
    <row r="3079" ht="15.75" customHeight="1">
      <c r="A3079" s="7" t="s">
        <v>5838</v>
      </c>
      <c r="B3079" s="4" t="s">
        <v>5839</v>
      </c>
      <c r="C3079" s="5" t="s">
        <v>16</v>
      </c>
      <c r="D3079" s="6" t="s">
        <v>748</v>
      </c>
      <c r="E3079" s="6"/>
      <c r="F3079" s="6" t="b">
        <f t="shared" si="1"/>
        <v>0</v>
      </c>
    </row>
    <row r="3080" ht="15.75" customHeight="1">
      <c r="A3080" s="7" t="s">
        <v>5840</v>
      </c>
      <c r="B3080" s="4" t="s">
        <v>5841</v>
      </c>
      <c r="C3080" s="5" t="s">
        <v>16</v>
      </c>
      <c r="D3080" s="6" t="s">
        <v>5719</v>
      </c>
      <c r="E3080" s="6"/>
      <c r="F3080" s="6" t="b">
        <f t="shared" si="1"/>
        <v>0</v>
      </c>
    </row>
    <row r="3081" ht="15.75" customHeight="1">
      <c r="A3081" s="7" t="s">
        <v>5842</v>
      </c>
      <c r="B3081" s="4" t="s">
        <v>5843</v>
      </c>
      <c r="C3081" s="5" t="s">
        <v>6</v>
      </c>
      <c r="D3081" s="6" t="s">
        <v>5844</v>
      </c>
      <c r="E3081" s="6"/>
      <c r="F3081" s="6" t="b">
        <f t="shared" si="1"/>
        <v>0</v>
      </c>
    </row>
    <row r="3082" ht="15.75" customHeight="1">
      <c r="A3082" s="7" t="s">
        <v>5845</v>
      </c>
      <c r="B3082" s="4" t="s">
        <v>5846</v>
      </c>
      <c r="C3082" s="5" t="s">
        <v>16</v>
      </c>
      <c r="D3082" s="6" t="s">
        <v>4553</v>
      </c>
      <c r="E3082" s="6"/>
      <c r="F3082" s="6" t="b">
        <f t="shared" si="1"/>
        <v>0</v>
      </c>
    </row>
    <row r="3083" ht="15.75" customHeight="1">
      <c r="A3083" s="7" t="s">
        <v>5847</v>
      </c>
      <c r="B3083" s="4" t="s">
        <v>5848</v>
      </c>
      <c r="C3083" s="5" t="s">
        <v>6</v>
      </c>
      <c r="D3083" s="6" t="s">
        <v>5849</v>
      </c>
      <c r="E3083" s="6"/>
      <c r="F3083" s="6" t="b">
        <f t="shared" si="1"/>
        <v>0</v>
      </c>
    </row>
    <row r="3084" ht="15.75" customHeight="1">
      <c r="A3084" s="7" t="s">
        <v>5850</v>
      </c>
      <c r="B3084" s="4" t="s">
        <v>5851</v>
      </c>
      <c r="C3084" s="5" t="s">
        <v>16</v>
      </c>
      <c r="D3084" s="6" t="s">
        <v>5852</v>
      </c>
      <c r="E3084" s="6"/>
      <c r="F3084" s="6" t="b">
        <f t="shared" si="1"/>
        <v>0</v>
      </c>
    </row>
    <row r="3085" ht="15.75" customHeight="1">
      <c r="A3085" s="7" t="s">
        <v>5853</v>
      </c>
      <c r="B3085" s="4" t="s">
        <v>5854</v>
      </c>
      <c r="C3085" s="5" t="s">
        <v>16</v>
      </c>
      <c r="D3085" s="6" t="s">
        <v>5855</v>
      </c>
      <c r="E3085" s="6"/>
      <c r="F3085" s="6" t="b">
        <f t="shared" si="1"/>
        <v>0</v>
      </c>
    </row>
    <row r="3086" ht="15.75" customHeight="1">
      <c r="A3086" s="7" t="s">
        <v>5856</v>
      </c>
      <c r="B3086" s="4" t="s">
        <v>5857</v>
      </c>
      <c r="C3086" s="5" t="s">
        <v>16</v>
      </c>
      <c r="D3086" s="6" t="s">
        <v>800</v>
      </c>
      <c r="E3086" s="6"/>
      <c r="F3086" s="6" t="b">
        <f t="shared" si="1"/>
        <v>0</v>
      </c>
    </row>
    <row r="3087" ht="15.75" customHeight="1">
      <c r="A3087" s="7" t="s">
        <v>5858</v>
      </c>
      <c r="B3087" s="4" t="s">
        <v>5859</v>
      </c>
      <c r="C3087" s="5" t="s">
        <v>6</v>
      </c>
      <c r="D3087" s="6" t="s">
        <v>761</v>
      </c>
      <c r="E3087" s="6"/>
      <c r="F3087" s="6" t="b">
        <f t="shared" si="1"/>
        <v>0</v>
      </c>
    </row>
    <row r="3088" ht="15.75" customHeight="1">
      <c r="A3088" s="7" t="s">
        <v>5860</v>
      </c>
      <c r="B3088" s="4" t="s">
        <v>5861</v>
      </c>
      <c r="C3088" s="5" t="s">
        <v>6</v>
      </c>
      <c r="D3088" s="6" t="s">
        <v>761</v>
      </c>
      <c r="E3088" s="6"/>
      <c r="F3088" s="6" t="b">
        <f t="shared" si="1"/>
        <v>0</v>
      </c>
    </row>
    <row r="3089" ht="15.75" customHeight="1">
      <c r="A3089" s="7" t="s">
        <v>5862</v>
      </c>
      <c r="B3089" s="4" t="s">
        <v>5863</v>
      </c>
      <c r="C3089" s="5" t="s">
        <v>6</v>
      </c>
      <c r="D3089" s="6" t="s">
        <v>761</v>
      </c>
      <c r="E3089" s="6"/>
      <c r="F3089" s="6" t="b">
        <f t="shared" si="1"/>
        <v>0</v>
      </c>
    </row>
    <row r="3090" ht="15.75" customHeight="1">
      <c r="A3090" s="7" t="s">
        <v>5864</v>
      </c>
      <c r="B3090" s="4" t="s">
        <v>5865</v>
      </c>
      <c r="C3090" s="5" t="s">
        <v>16</v>
      </c>
      <c r="D3090" s="6" t="s">
        <v>800</v>
      </c>
      <c r="E3090" s="6"/>
      <c r="F3090" s="6" t="b">
        <f t="shared" si="1"/>
        <v>0</v>
      </c>
    </row>
    <row r="3091" ht="15.75" customHeight="1">
      <c r="A3091" s="7" t="s">
        <v>5866</v>
      </c>
      <c r="B3091" s="4" t="s">
        <v>5867</v>
      </c>
      <c r="C3091" s="5" t="s">
        <v>6</v>
      </c>
      <c r="D3091" s="6" t="s">
        <v>5868</v>
      </c>
      <c r="E3091" s="6"/>
      <c r="F3091" s="6" t="b">
        <f t="shared" si="1"/>
        <v>0</v>
      </c>
    </row>
    <row r="3092" ht="15.75" customHeight="1">
      <c r="A3092" s="7" t="s">
        <v>5869</v>
      </c>
      <c r="B3092" s="4" t="s">
        <v>5870</v>
      </c>
      <c r="C3092" s="5" t="s">
        <v>16</v>
      </c>
      <c r="D3092" s="6" t="s">
        <v>5719</v>
      </c>
      <c r="E3092" s="6"/>
      <c r="F3092" s="6" t="b">
        <f t="shared" si="1"/>
        <v>0</v>
      </c>
    </row>
    <row r="3093" ht="15.75" customHeight="1">
      <c r="A3093" s="7" t="s">
        <v>5871</v>
      </c>
      <c r="B3093" s="4" t="s">
        <v>5872</v>
      </c>
      <c r="C3093" s="5" t="s">
        <v>6</v>
      </c>
      <c r="D3093" s="6" t="s">
        <v>5873</v>
      </c>
      <c r="E3093" s="6"/>
      <c r="F3093" s="6" t="b">
        <f t="shared" si="1"/>
        <v>0</v>
      </c>
    </row>
    <row r="3094" ht="15.75" customHeight="1">
      <c r="A3094" s="7" t="s">
        <v>5874</v>
      </c>
      <c r="B3094" s="4" t="s">
        <v>5875</v>
      </c>
      <c r="C3094" s="5" t="s">
        <v>16</v>
      </c>
      <c r="D3094" s="6" t="s">
        <v>999</v>
      </c>
      <c r="E3094" s="6"/>
      <c r="F3094" s="6" t="b">
        <f t="shared" si="1"/>
        <v>0</v>
      </c>
    </row>
    <row r="3095" ht="15.75" customHeight="1">
      <c r="A3095" s="7" t="s">
        <v>5876</v>
      </c>
      <c r="B3095" s="4" t="s">
        <v>5877</v>
      </c>
      <c r="C3095" s="5" t="s">
        <v>16</v>
      </c>
      <c r="D3095" s="6" t="s">
        <v>5878</v>
      </c>
      <c r="E3095" s="6"/>
      <c r="F3095" s="6" t="b">
        <f t="shared" si="1"/>
        <v>0</v>
      </c>
    </row>
    <row r="3096" ht="15.75" customHeight="1">
      <c r="A3096" s="7" t="s">
        <v>5879</v>
      </c>
      <c r="B3096" s="4" t="s">
        <v>5880</v>
      </c>
      <c r="C3096" s="5" t="s">
        <v>6</v>
      </c>
      <c r="D3096" s="6" t="s">
        <v>863</v>
      </c>
      <c r="E3096" s="6"/>
      <c r="F3096" s="6" t="b">
        <f t="shared" si="1"/>
        <v>0</v>
      </c>
    </row>
    <row r="3097" ht="15.75" customHeight="1">
      <c r="A3097" s="7" t="s">
        <v>5881</v>
      </c>
      <c r="B3097" s="4" t="s">
        <v>5882</v>
      </c>
      <c r="C3097" s="5" t="s">
        <v>6</v>
      </c>
      <c r="D3097" s="6" t="s">
        <v>863</v>
      </c>
      <c r="E3097" s="6"/>
      <c r="F3097" s="6" t="b">
        <f t="shared" si="1"/>
        <v>0</v>
      </c>
    </row>
    <row r="3098" ht="15.75" customHeight="1">
      <c r="A3098" s="7" t="s">
        <v>5883</v>
      </c>
      <c r="B3098" s="4" t="s">
        <v>5884</v>
      </c>
      <c r="C3098" s="5" t="s">
        <v>6</v>
      </c>
      <c r="D3098" s="6" t="s">
        <v>5722</v>
      </c>
      <c r="E3098" s="6"/>
      <c r="F3098" s="6" t="b">
        <f t="shared" si="1"/>
        <v>0</v>
      </c>
    </row>
    <row r="3099" ht="15.75" customHeight="1">
      <c r="A3099" s="7" t="s">
        <v>5885</v>
      </c>
      <c r="B3099" s="4" t="s">
        <v>5886</v>
      </c>
      <c r="C3099" s="5" t="s">
        <v>6</v>
      </c>
      <c r="D3099" s="6" t="s">
        <v>5722</v>
      </c>
      <c r="E3099" s="6"/>
      <c r="F3099" s="6" t="b">
        <f t="shared" si="1"/>
        <v>0</v>
      </c>
    </row>
    <row r="3100" ht="15.75" customHeight="1">
      <c r="A3100" s="7" t="s">
        <v>5887</v>
      </c>
      <c r="B3100" s="4" t="s">
        <v>5888</v>
      </c>
      <c r="C3100" s="5" t="s">
        <v>6</v>
      </c>
      <c r="D3100" s="6" t="s">
        <v>5722</v>
      </c>
      <c r="E3100" s="6"/>
      <c r="F3100" s="6" t="b">
        <f t="shared" si="1"/>
        <v>0</v>
      </c>
    </row>
    <row r="3101" ht="15.75" customHeight="1">
      <c r="A3101" s="7" t="s">
        <v>5889</v>
      </c>
      <c r="B3101" s="4" t="s">
        <v>5890</v>
      </c>
      <c r="C3101" s="5" t="s">
        <v>6</v>
      </c>
      <c r="D3101" s="6" t="s">
        <v>5722</v>
      </c>
      <c r="E3101" s="6"/>
      <c r="F3101" s="6" t="b">
        <f t="shared" si="1"/>
        <v>0</v>
      </c>
    </row>
    <row r="3102" ht="15.75" customHeight="1">
      <c r="A3102" s="7" t="s">
        <v>5891</v>
      </c>
      <c r="B3102" s="4" t="s">
        <v>5892</v>
      </c>
      <c r="C3102" s="5" t="s">
        <v>6</v>
      </c>
      <c r="D3102" s="6" t="s">
        <v>5722</v>
      </c>
      <c r="E3102" s="6"/>
      <c r="F3102" s="6" t="b">
        <f t="shared" si="1"/>
        <v>0</v>
      </c>
    </row>
    <row r="3103" ht="15.75" customHeight="1">
      <c r="A3103" s="7" t="s">
        <v>5893</v>
      </c>
      <c r="B3103" s="4" t="s">
        <v>5894</v>
      </c>
      <c r="C3103" s="5" t="s">
        <v>6</v>
      </c>
      <c r="D3103" s="6" t="s">
        <v>5895</v>
      </c>
      <c r="E3103" s="6"/>
      <c r="F3103" s="6" t="b">
        <f t="shared" si="1"/>
        <v>0</v>
      </c>
    </row>
    <row r="3104" ht="15.75" customHeight="1">
      <c r="A3104" s="7" t="s">
        <v>5896</v>
      </c>
      <c r="B3104" s="4" t="s">
        <v>5897</v>
      </c>
      <c r="C3104" s="5" t="s">
        <v>6</v>
      </c>
      <c r="D3104" s="6" t="s">
        <v>4316</v>
      </c>
      <c r="E3104" s="6"/>
      <c r="F3104" s="6" t="b">
        <f t="shared" si="1"/>
        <v>0</v>
      </c>
    </row>
    <row r="3105" ht="15.75" customHeight="1">
      <c r="A3105" s="7" t="s">
        <v>5898</v>
      </c>
      <c r="B3105" s="4" t="s">
        <v>5899</v>
      </c>
      <c r="C3105" s="5" t="s">
        <v>6</v>
      </c>
      <c r="D3105" s="6" t="s">
        <v>4316</v>
      </c>
      <c r="E3105" s="6"/>
      <c r="F3105" s="6" t="b">
        <f t="shared" si="1"/>
        <v>0</v>
      </c>
    </row>
    <row r="3106" ht="15.75" customHeight="1">
      <c r="A3106" s="7" t="s">
        <v>5900</v>
      </c>
      <c r="B3106" s="4" t="s">
        <v>5901</v>
      </c>
      <c r="C3106" s="5" t="s">
        <v>6</v>
      </c>
      <c r="D3106" s="6" t="s">
        <v>4373</v>
      </c>
      <c r="E3106" s="6"/>
      <c r="F3106" s="6" t="b">
        <f t="shared" si="1"/>
        <v>0</v>
      </c>
    </row>
    <row r="3107" ht="15.75" customHeight="1">
      <c r="A3107" s="7" t="s">
        <v>5902</v>
      </c>
      <c r="B3107" s="4" t="s">
        <v>5903</v>
      </c>
      <c r="C3107" s="5" t="s">
        <v>16</v>
      </c>
      <c r="D3107" s="6" t="s">
        <v>911</v>
      </c>
      <c r="E3107" s="6"/>
      <c r="F3107" s="6" t="b">
        <f t="shared" si="1"/>
        <v>0</v>
      </c>
    </row>
    <row r="3108" ht="15.75" customHeight="1">
      <c r="A3108" s="7" t="s">
        <v>5904</v>
      </c>
      <c r="B3108" s="4" t="s">
        <v>5905</v>
      </c>
      <c r="C3108" s="5" t="s">
        <v>16</v>
      </c>
      <c r="D3108" s="6" t="s">
        <v>748</v>
      </c>
      <c r="E3108" s="6"/>
      <c r="F3108" s="6" t="b">
        <f t="shared" si="1"/>
        <v>0</v>
      </c>
    </row>
    <row r="3109" ht="15.75" customHeight="1">
      <c r="A3109" s="7" t="s">
        <v>5906</v>
      </c>
      <c r="B3109" s="4" t="s">
        <v>5907</v>
      </c>
      <c r="C3109" s="5" t="s">
        <v>16</v>
      </c>
      <c r="D3109" s="6" t="s">
        <v>748</v>
      </c>
      <c r="E3109" s="6"/>
      <c r="F3109" s="6" t="b">
        <f t="shared" si="1"/>
        <v>0</v>
      </c>
    </row>
    <row r="3110" ht="15.75" customHeight="1">
      <c r="A3110" s="7" t="s">
        <v>5908</v>
      </c>
      <c r="B3110" s="4" t="s">
        <v>5909</v>
      </c>
      <c r="C3110" s="5" t="s">
        <v>16</v>
      </c>
      <c r="D3110" s="6" t="s">
        <v>748</v>
      </c>
      <c r="E3110" s="6"/>
      <c r="F3110" s="6" t="b">
        <f t="shared" si="1"/>
        <v>0</v>
      </c>
    </row>
    <row r="3111" ht="15.75" customHeight="1">
      <c r="A3111" s="7" t="s">
        <v>5910</v>
      </c>
      <c r="B3111" s="4" t="s">
        <v>5911</v>
      </c>
      <c r="C3111" s="5" t="s">
        <v>6</v>
      </c>
      <c r="D3111" s="6" t="s">
        <v>5759</v>
      </c>
      <c r="E3111" s="6"/>
      <c r="F3111" s="6" t="b">
        <f t="shared" si="1"/>
        <v>0</v>
      </c>
    </row>
    <row r="3112" ht="15.75" customHeight="1">
      <c r="A3112" s="7" t="s">
        <v>5912</v>
      </c>
      <c r="B3112" s="4" t="s">
        <v>5913</v>
      </c>
      <c r="C3112" s="5" t="s">
        <v>16</v>
      </c>
      <c r="D3112" s="6" t="s">
        <v>5914</v>
      </c>
      <c r="E3112" s="6"/>
      <c r="F3112" s="6" t="b">
        <f t="shared" si="1"/>
        <v>0</v>
      </c>
    </row>
    <row r="3113" ht="15.75" customHeight="1">
      <c r="A3113" s="7" t="s">
        <v>5915</v>
      </c>
      <c r="B3113" s="4" t="s">
        <v>5916</v>
      </c>
      <c r="C3113" s="5" t="s">
        <v>16</v>
      </c>
      <c r="D3113" s="6" t="s">
        <v>1400</v>
      </c>
      <c r="E3113" s="6"/>
      <c r="F3113" s="6" t="b">
        <f t="shared" si="1"/>
        <v>0</v>
      </c>
    </row>
    <row r="3114" ht="15.75" customHeight="1">
      <c r="A3114" s="7" t="s">
        <v>5917</v>
      </c>
      <c r="B3114" s="4" t="s">
        <v>5918</v>
      </c>
      <c r="C3114" s="5" t="s">
        <v>16</v>
      </c>
      <c r="D3114" s="6" t="s">
        <v>1199</v>
      </c>
      <c r="E3114" s="6"/>
      <c r="F3114" s="6" t="b">
        <f t="shared" si="1"/>
        <v>0</v>
      </c>
    </row>
    <row r="3115" ht="15.75" customHeight="1">
      <c r="A3115" s="7" t="s">
        <v>5919</v>
      </c>
      <c r="B3115" s="4" t="s">
        <v>5920</v>
      </c>
      <c r="C3115" s="5" t="s">
        <v>16</v>
      </c>
      <c r="D3115" s="6" t="s">
        <v>4625</v>
      </c>
      <c r="E3115" s="6"/>
      <c r="F3115" s="6" t="b">
        <f t="shared" si="1"/>
        <v>0</v>
      </c>
    </row>
    <row r="3116" ht="15.75" customHeight="1">
      <c r="A3116" s="7" t="s">
        <v>5921</v>
      </c>
      <c r="B3116" s="4" t="s">
        <v>5922</v>
      </c>
      <c r="C3116" s="5" t="s">
        <v>16</v>
      </c>
      <c r="D3116" s="6" t="s">
        <v>5923</v>
      </c>
      <c r="E3116" s="6"/>
      <c r="F3116" s="6" t="b">
        <f t="shared" si="1"/>
        <v>0</v>
      </c>
    </row>
    <row r="3117" ht="15.75" customHeight="1">
      <c r="A3117" s="7" t="s">
        <v>5924</v>
      </c>
      <c r="B3117" s="4" t="s">
        <v>5925</v>
      </c>
      <c r="C3117" s="5" t="s">
        <v>16</v>
      </c>
      <c r="D3117" s="6" t="s">
        <v>1087</v>
      </c>
      <c r="E3117" s="6"/>
      <c r="F3117" s="6" t="b">
        <f t="shared" si="1"/>
        <v>0</v>
      </c>
    </row>
    <row r="3118" ht="15.75" customHeight="1">
      <c r="A3118" s="7" t="s">
        <v>5926</v>
      </c>
      <c r="B3118" s="4" t="s">
        <v>5927</v>
      </c>
      <c r="C3118" s="5" t="s">
        <v>16</v>
      </c>
      <c r="D3118" s="6" t="s">
        <v>800</v>
      </c>
      <c r="E3118" s="6"/>
      <c r="F3118" s="6" t="b">
        <f t="shared" si="1"/>
        <v>0</v>
      </c>
    </row>
    <row r="3119" ht="15.75" customHeight="1">
      <c r="A3119" s="7" t="s">
        <v>5928</v>
      </c>
      <c r="B3119" s="4" t="s">
        <v>5929</v>
      </c>
      <c r="C3119" s="5" t="s">
        <v>6</v>
      </c>
      <c r="D3119" s="6" t="s">
        <v>5804</v>
      </c>
      <c r="E3119" s="6"/>
      <c r="F3119" s="6" t="b">
        <f t="shared" si="1"/>
        <v>0</v>
      </c>
    </row>
    <row r="3120" ht="15.75" customHeight="1">
      <c r="A3120" s="7" t="s">
        <v>5930</v>
      </c>
      <c r="B3120" s="4" t="s">
        <v>5931</v>
      </c>
      <c r="C3120" s="5" t="s">
        <v>6</v>
      </c>
      <c r="D3120" s="6" t="s">
        <v>5704</v>
      </c>
      <c r="E3120" s="6"/>
      <c r="F3120" s="6" t="b">
        <f t="shared" si="1"/>
        <v>0</v>
      </c>
    </row>
    <row r="3121" ht="15.75" customHeight="1">
      <c r="A3121" s="7" t="s">
        <v>5932</v>
      </c>
      <c r="B3121" s="4" t="s">
        <v>5933</v>
      </c>
      <c r="C3121" s="5" t="s">
        <v>6</v>
      </c>
      <c r="D3121" s="6" t="s">
        <v>863</v>
      </c>
      <c r="E3121" s="6"/>
      <c r="F3121" s="6" t="b">
        <f t="shared" si="1"/>
        <v>0</v>
      </c>
    </row>
    <row r="3122" ht="15.75" customHeight="1">
      <c r="A3122" s="7" t="s">
        <v>5934</v>
      </c>
      <c r="B3122" s="4" t="s">
        <v>5935</v>
      </c>
      <c r="C3122" s="5" t="s">
        <v>6</v>
      </c>
      <c r="D3122" s="6" t="s">
        <v>5936</v>
      </c>
      <c r="E3122" s="6"/>
      <c r="F3122" s="6" t="b">
        <f t="shared" si="1"/>
        <v>0</v>
      </c>
    </row>
    <row r="3123" ht="15.75" customHeight="1">
      <c r="A3123" s="3" t="s">
        <v>5937</v>
      </c>
      <c r="B3123" s="4"/>
      <c r="C3123" s="5"/>
      <c r="D3123" s="5"/>
      <c r="E3123" s="6"/>
      <c r="F3123" s="6" t="b">
        <f t="shared" si="1"/>
        <v>0</v>
      </c>
    </row>
    <row r="3124" ht="15.75" customHeight="1">
      <c r="A3124" s="7" t="s">
        <v>5938</v>
      </c>
      <c r="B3124" s="4" t="s">
        <v>5939</v>
      </c>
      <c r="C3124" s="5" t="s">
        <v>6</v>
      </c>
      <c r="D3124" s="6" t="s">
        <v>1118</v>
      </c>
      <c r="E3124" s="6"/>
      <c r="F3124" s="6" t="b">
        <f t="shared" si="1"/>
        <v>0</v>
      </c>
    </row>
    <row r="3125" ht="15.75" customHeight="1">
      <c r="A3125" s="7" t="s">
        <v>5940</v>
      </c>
      <c r="B3125" s="4" t="s">
        <v>5941</v>
      </c>
      <c r="C3125" s="5" t="s">
        <v>16</v>
      </c>
      <c r="D3125" s="6" t="s">
        <v>1429</v>
      </c>
      <c r="E3125" s="6"/>
      <c r="F3125" s="6" t="b">
        <f t="shared" si="1"/>
        <v>0</v>
      </c>
    </row>
    <row r="3126" ht="15.75" customHeight="1">
      <c r="A3126" s="7" t="s">
        <v>5942</v>
      </c>
      <c r="B3126" s="4" t="s">
        <v>5943</v>
      </c>
      <c r="C3126" s="5" t="s">
        <v>16</v>
      </c>
      <c r="D3126" s="6" t="s">
        <v>4563</v>
      </c>
      <c r="E3126" s="6"/>
      <c r="F3126" s="6" t="b">
        <f t="shared" si="1"/>
        <v>0</v>
      </c>
    </row>
    <row r="3127" ht="15.75" customHeight="1">
      <c r="A3127" s="7" t="s">
        <v>5944</v>
      </c>
      <c r="B3127" s="4" t="s">
        <v>5945</v>
      </c>
      <c r="C3127" s="5" t="s">
        <v>5466</v>
      </c>
      <c r="D3127" s="5"/>
      <c r="E3127" s="6"/>
      <c r="F3127" s="6" t="b">
        <f t="shared" si="1"/>
        <v>0</v>
      </c>
    </row>
    <row r="3128" ht="15.75" customHeight="1">
      <c r="A3128" s="7" t="s">
        <v>5946</v>
      </c>
      <c r="B3128" s="4" t="s">
        <v>5947</v>
      </c>
      <c r="C3128" s="5" t="s">
        <v>5466</v>
      </c>
      <c r="D3128" s="5"/>
      <c r="E3128" s="6"/>
      <c r="F3128" s="6" t="b">
        <f t="shared" si="1"/>
        <v>0</v>
      </c>
    </row>
    <row r="3129" ht="15.75" customHeight="1">
      <c r="A3129" s="7" t="s">
        <v>5948</v>
      </c>
      <c r="B3129" s="4" t="s">
        <v>5949</v>
      </c>
      <c r="C3129" s="5" t="s">
        <v>5466</v>
      </c>
      <c r="D3129" s="5"/>
      <c r="E3129" s="6"/>
      <c r="F3129" s="6" t="b">
        <f t="shared" si="1"/>
        <v>0</v>
      </c>
    </row>
    <row r="3130" ht="15.75" customHeight="1">
      <c r="A3130" s="7" t="s">
        <v>5950</v>
      </c>
      <c r="B3130" s="4" t="s">
        <v>5951</v>
      </c>
      <c r="C3130" s="5" t="s">
        <v>5466</v>
      </c>
      <c r="D3130" s="5"/>
      <c r="E3130" s="6"/>
      <c r="F3130" s="6" t="b">
        <f t="shared" si="1"/>
        <v>0</v>
      </c>
    </row>
    <row r="3131" ht="15.75" customHeight="1">
      <c r="A3131" s="7" t="s">
        <v>5952</v>
      </c>
      <c r="B3131" s="4" t="s">
        <v>5953</v>
      </c>
      <c r="C3131" s="5" t="s">
        <v>5466</v>
      </c>
      <c r="D3131" s="5"/>
      <c r="E3131" s="6"/>
      <c r="F3131" s="6" t="b">
        <f t="shared" si="1"/>
        <v>0</v>
      </c>
    </row>
    <row r="3132" ht="15.75" customHeight="1">
      <c r="A3132" s="7" t="s">
        <v>5954</v>
      </c>
      <c r="B3132" s="4" t="s">
        <v>5955</v>
      </c>
      <c r="C3132" s="5" t="s">
        <v>5466</v>
      </c>
      <c r="D3132" s="5"/>
      <c r="E3132" s="6"/>
      <c r="F3132" s="6" t="b">
        <f t="shared" si="1"/>
        <v>0</v>
      </c>
    </row>
    <row r="3133" ht="15.75" customHeight="1">
      <c r="A3133" s="7" t="s">
        <v>5956</v>
      </c>
      <c r="B3133" s="4" t="s">
        <v>5957</v>
      </c>
      <c r="C3133" s="5" t="s">
        <v>5466</v>
      </c>
      <c r="D3133" s="5"/>
      <c r="E3133" s="6"/>
      <c r="F3133" s="6" t="b">
        <f t="shared" si="1"/>
        <v>0</v>
      </c>
    </row>
    <row r="3134" ht="15.75" customHeight="1">
      <c r="A3134" s="3" t="s">
        <v>5958</v>
      </c>
      <c r="B3134" s="4"/>
      <c r="C3134" s="5"/>
      <c r="D3134" s="5"/>
      <c r="E3134" s="6"/>
      <c r="F3134" s="6" t="b">
        <f t="shared" si="1"/>
        <v>0</v>
      </c>
    </row>
    <row r="3135" ht="15.75" customHeight="1">
      <c r="A3135" s="7" t="s">
        <v>5959</v>
      </c>
      <c r="B3135" s="4" t="s">
        <v>5960</v>
      </c>
      <c r="C3135" s="5" t="s">
        <v>6</v>
      </c>
      <c r="D3135" s="6" t="s">
        <v>5961</v>
      </c>
      <c r="E3135" s="6"/>
      <c r="F3135" s="6" t="b">
        <f t="shared" si="1"/>
        <v>0</v>
      </c>
    </row>
    <row r="3136" ht="15.75" customHeight="1">
      <c r="A3136" s="3" t="s">
        <v>5962</v>
      </c>
      <c r="B3136" s="4"/>
      <c r="C3136" s="5"/>
      <c r="D3136" s="5"/>
      <c r="E3136" s="6"/>
      <c r="F3136" s="6" t="b">
        <f t="shared" si="1"/>
        <v>0</v>
      </c>
    </row>
    <row r="3137" ht="15.75" customHeight="1">
      <c r="A3137" s="3" t="s">
        <v>5963</v>
      </c>
      <c r="B3137" s="4"/>
      <c r="C3137" s="5"/>
      <c r="D3137" s="5"/>
      <c r="E3137" s="6"/>
      <c r="F3137" s="6" t="b">
        <f t="shared" si="1"/>
        <v>0</v>
      </c>
    </row>
    <row r="3138" ht="15.75" customHeight="1">
      <c r="A3138" s="3" t="s">
        <v>5964</v>
      </c>
      <c r="B3138" s="4"/>
      <c r="C3138" s="5"/>
      <c r="D3138" s="5"/>
      <c r="E3138" s="6"/>
      <c r="F3138" s="6" t="b">
        <f t="shared" si="1"/>
        <v>0</v>
      </c>
    </row>
    <row r="3139" ht="15.75" customHeight="1">
      <c r="A3139" s="7" t="s">
        <v>5965</v>
      </c>
      <c r="B3139" s="4" t="s">
        <v>5966</v>
      </c>
      <c r="C3139" s="5" t="s">
        <v>5466</v>
      </c>
      <c r="D3139" s="5"/>
      <c r="E3139" s="6"/>
      <c r="F3139" s="6" t="b">
        <f t="shared" si="1"/>
        <v>0</v>
      </c>
    </row>
    <row r="3140" ht="15.75" customHeight="1">
      <c r="A3140" s="7" t="s">
        <v>5967</v>
      </c>
      <c r="B3140" s="4" t="s">
        <v>5968</v>
      </c>
      <c r="C3140" s="5" t="s">
        <v>5466</v>
      </c>
      <c r="D3140" s="5"/>
      <c r="E3140" s="6"/>
      <c r="F3140" s="6" t="b">
        <f t="shared" si="1"/>
        <v>0</v>
      </c>
    </row>
    <row r="3141" ht="15.75" customHeight="1">
      <c r="A3141" s="7" t="s">
        <v>5969</v>
      </c>
      <c r="B3141" s="4" t="s">
        <v>5970</v>
      </c>
      <c r="C3141" s="5" t="s">
        <v>6</v>
      </c>
      <c r="D3141" s="6" t="s">
        <v>5971</v>
      </c>
      <c r="E3141" s="6"/>
      <c r="F3141" s="6" t="b">
        <f t="shared" si="1"/>
        <v>0</v>
      </c>
    </row>
    <row r="3142" ht="15.75" customHeight="1">
      <c r="A3142" s="7" t="s">
        <v>5972</v>
      </c>
      <c r="B3142" s="9" t="s">
        <v>5973</v>
      </c>
      <c r="C3142" s="5"/>
      <c r="D3142" s="8"/>
      <c r="E3142" s="6"/>
      <c r="F3142" s="6" t="b">
        <f t="shared" si="1"/>
        <v>0</v>
      </c>
    </row>
    <row r="3143" ht="15.75" customHeight="1">
      <c r="A3143" s="7" t="s">
        <v>5974</v>
      </c>
      <c r="B3143" s="4" t="s">
        <v>5975</v>
      </c>
      <c r="C3143" s="5" t="s">
        <v>16</v>
      </c>
      <c r="D3143" s="6" t="s">
        <v>5976</v>
      </c>
      <c r="E3143" s="6"/>
      <c r="F3143" s="6" t="b">
        <f t="shared" si="1"/>
        <v>0</v>
      </c>
    </row>
    <row r="3144" ht="15.75" customHeight="1">
      <c r="A3144" s="7" t="s">
        <v>5977</v>
      </c>
      <c r="B3144" s="4" t="s">
        <v>5978</v>
      </c>
      <c r="C3144" s="5" t="s">
        <v>16</v>
      </c>
      <c r="D3144" s="6" t="s">
        <v>5976</v>
      </c>
      <c r="E3144" s="6"/>
      <c r="F3144" s="6" t="b">
        <f t="shared" si="1"/>
        <v>0</v>
      </c>
    </row>
    <row r="3145" ht="15.75" customHeight="1">
      <c r="A3145" s="7" t="s">
        <v>5979</v>
      </c>
      <c r="B3145" s="4" t="s">
        <v>5980</v>
      </c>
      <c r="C3145" s="5" t="s">
        <v>16</v>
      </c>
      <c r="D3145" s="6" t="s">
        <v>5981</v>
      </c>
      <c r="E3145" s="6"/>
      <c r="F3145" s="6" t="b">
        <f t="shared" si="1"/>
        <v>0</v>
      </c>
    </row>
    <row r="3146" ht="15.75" customHeight="1">
      <c r="A3146" s="7" t="s">
        <v>5982</v>
      </c>
      <c r="B3146" s="4" t="s">
        <v>5983</v>
      </c>
      <c r="C3146" s="5" t="s">
        <v>16</v>
      </c>
      <c r="D3146" s="6" t="s">
        <v>5984</v>
      </c>
      <c r="E3146" s="6"/>
      <c r="F3146" s="6" t="b">
        <f t="shared" si="1"/>
        <v>0</v>
      </c>
    </row>
    <row r="3147" ht="15.75" customHeight="1">
      <c r="A3147" s="3" t="s">
        <v>5985</v>
      </c>
      <c r="B3147" s="4"/>
      <c r="C3147" s="5"/>
      <c r="D3147" s="5"/>
      <c r="E3147" s="6"/>
      <c r="F3147" s="6" t="b">
        <f t="shared" si="1"/>
        <v>0</v>
      </c>
    </row>
    <row r="3148" ht="15.75" customHeight="1">
      <c r="A3148" s="10" t="s">
        <v>5986</v>
      </c>
      <c r="B3148" s="11"/>
      <c r="C3148" s="5"/>
      <c r="D3148" s="8"/>
      <c r="E3148" s="6"/>
      <c r="F3148" s="6" t="b">
        <f t="shared" si="1"/>
        <v>0</v>
      </c>
    </row>
    <row r="3149" ht="15.75" customHeight="1">
      <c r="A3149" s="3" t="s">
        <v>5987</v>
      </c>
      <c r="B3149" s="4"/>
      <c r="C3149" s="5"/>
      <c r="D3149" s="5"/>
      <c r="E3149" s="6"/>
      <c r="F3149" s="6" t="b">
        <f t="shared" si="1"/>
        <v>0</v>
      </c>
    </row>
    <row r="3150" ht="15.75" customHeight="1">
      <c r="A3150" s="7" t="s">
        <v>5988</v>
      </c>
      <c r="B3150" s="4" t="s">
        <v>5989</v>
      </c>
      <c r="C3150" s="6"/>
      <c r="D3150" s="6" t="s">
        <v>150</v>
      </c>
      <c r="E3150" s="6"/>
      <c r="F3150" s="6" t="b">
        <f t="shared" si="1"/>
        <v>0</v>
      </c>
    </row>
    <row r="3151" ht="15.75" customHeight="1">
      <c r="A3151" s="10" t="s">
        <v>5990</v>
      </c>
      <c r="B3151" s="11"/>
      <c r="C3151" s="5"/>
      <c r="D3151" s="8"/>
      <c r="E3151" s="6"/>
      <c r="F3151" s="6" t="b">
        <f t="shared" si="1"/>
        <v>0</v>
      </c>
    </row>
    <row r="3152" ht="15.75" customHeight="1">
      <c r="A3152" s="10" t="s">
        <v>5991</v>
      </c>
      <c r="B3152" s="11"/>
      <c r="C3152" s="5"/>
      <c r="D3152" s="8"/>
      <c r="E3152" s="6"/>
      <c r="F3152" s="6" t="b">
        <f t="shared" si="1"/>
        <v>0</v>
      </c>
    </row>
    <row r="3153" ht="15.75" customHeight="1">
      <c r="A3153" s="3" t="s">
        <v>5992</v>
      </c>
      <c r="B3153" s="4"/>
      <c r="C3153" s="5"/>
      <c r="D3153" s="5"/>
      <c r="E3153" s="6"/>
      <c r="F3153" s="6" t="b">
        <f t="shared" si="1"/>
        <v>0</v>
      </c>
    </row>
    <row r="3154" ht="15.75" customHeight="1">
      <c r="A3154" s="7" t="s">
        <v>5993</v>
      </c>
      <c r="B3154" s="4" t="s">
        <v>5994</v>
      </c>
      <c r="C3154" s="5" t="s">
        <v>6</v>
      </c>
      <c r="D3154" s="6" t="s">
        <v>4808</v>
      </c>
      <c r="E3154" s="6"/>
      <c r="F3154" s="6" t="b">
        <f t="shared" si="1"/>
        <v>0</v>
      </c>
    </row>
    <row r="3155" ht="15.75" customHeight="1">
      <c r="A3155" s="3" t="s">
        <v>5995</v>
      </c>
      <c r="B3155" s="4"/>
      <c r="C3155" s="5"/>
      <c r="D3155" s="5"/>
      <c r="E3155" s="6"/>
      <c r="F3155" s="6" t="b">
        <f t="shared" si="1"/>
        <v>0</v>
      </c>
    </row>
    <row r="3156" ht="15.75" customHeight="1">
      <c r="A3156" s="3" t="s">
        <v>5996</v>
      </c>
      <c r="B3156" s="4"/>
      <c r="C3156" s="5"/>
      <c r="D3156" s="5"/>
      <c r="E3156" s="6"/>
      <c r="F3156" s="6" t="b">
        <f t="shared" si="1"/>
        <v>0</v>
      </c>
    </row>
    <row r="3157" ht="15.75" customHeight="1">
      <c r="A3157" s="3" t="s">
        <v>5997</v>
      </c>
      <c r="B3157" s="4"/>
      <c r="C3157" s="5"/>
      <c r="D3157" s="5"/>
      <c r="E3157" s="6"/>
      <c r="F3157" s="6" t="b">
        <f t="shared" si="1"/>
        <v>0</v>
      </c>
    </row>
    <row r="3158" ht="15.75" customHeight="1">
      <c r="A3158" s="3" t="s">
        <v>5998</v>
      </c>
      <c r="B3158" s="4"/>
      <c r="C3158" s="5"/>
      <c r="D3158" s="5"/>
      <c r="E3158" s="6"/>
      <c r="F3158" s="6" t="b">
        <f t="shared" si="1"/>
        <v>0</v>
      </c>
    </row>
    <row r="3159" ht="15.75" customHeight="1">
      <c r="A3159" s="3" t="s">
        <v>5999</v>
      </c>
      <c r="B3159" s="4"/>
      <c r="C3159" s="5"/>
      <c r="D3159" s="5"/>
      <c r="E3159" s="6"/>
      <c r="F3159" s="6" t="b">
        <f t="shared" si="1"/>
        <v>0</v>
      </c>
    </row>
    <row r="3160" ht="15.75" customHeight="1">
      <c r="A3160" s="3" t="s">
        <v>6000</v>
      </c>
      <c r="B3160" s="4"/>
      <c r="C3160" s="5"/>
      <c r="D3160" s="5"/>
      <c r="E3160" s="6"/>
      <c r="F3160" s="6" t="b">
        <f t="shared" si="1"/>
        <v>0</v>
      </c>
    </row>
    <row r="3161" ht="15.75" customHeight="1">
      <c r="A3161" s="3" t="s">
        <v>6001</v>
      </c>
      <c r="B3161" s="4"/>
      <c r="C3161" s="5"/>
      <c r="D3161" s="5"/>
      <c r="E3161" s="6"/>
      <c r="F3161" s="6" t="b">
        <f t="shared" si="1"/>
        <v>0</v>
      </c>
    </row>
    <row r="3162" ht="15.75" customHeight="1">
      <c r="A3162" s="7" t="s">
        <v>6002</v>
      </c>
      <c r="B3162" s="4" t="s">
        <v>6003</v>
      </c>
      <c r="C3162" s="5" t="s">
        <v>16</v>
      </c>
      <c r="D3162" s="6" t="s">
        <v>6004</v>
      </c>
      <c r="E3162" s="6"/>
      <c r="F3162" s="6" t="b">
        <f t="shared" si="1"/>
        <v>0</v>
      </c>
    </row>
    <row r="3163" ht="15.75" customHeight="1">
      <c r="A3163" s="7" t="s">
        <v>6005</v>
      </c>
      <c r="B3163" s="4" t="s">
        <v>6006</v>
      </c>
      <c r="C3163" s="5" t="s">
        <v>16</v>
      </c>
      <c r="D3163" s="6" t="s">
        <v>6007</v>
      </c>
      <c r="E3163" s="6"/>
      <c r="F3163" s="6" t="b">
        <f t="shared" si="1"/>
        <v>0</v>
      </c>
    </row>
    <row r="3164" ht="15.75" customHeight="1">
      <c r="A3164" s="7" t="s">
        <v>6008</v>
      </c>
      <c r="B3164" s="4" t="s">
        <v>6009</v>
      </c>
      <c r="C3164" s="5" t="s">
        <v>16</v>
      </c>
      <c r="D3164" s="6" t="s">
        <v>6007</v>
      </c>
      <c r="E3164" s="6"/>
      <c r="F3164" s="6" t="b">
        <f t="shared" si="1"/>
        <v>0</v>
      </c>
    </row>
    <row r="3165" ht="15.75" customHeight="1">
      <c r="A3165" s="7" t="s">
        <v>6010</v>
      </c>
      <c r="B3165" s="4" t="s">
        <v>6011</v>
      </c>
      <c r="C3165" s="5" t="s">
        <v>16</v>
      </c>
      <c r="D3165" s="6" t="s">
        <v>6012</v>
      </c>
      <c r="E3165" s="6"/>
      <c r="F3165" s="6" t="b">
        <f t="shared" si="1"/>
        <v>0</v>
      </c>
    </row>
    <row r="3166" ht="15.75" customHeight="1">
      <c r="A3166" s="7" t="s">
        <v>6013</v>
      </c>
      <c r="B3166" s="4" t="s">
        <v>6014</v>
      </c>
      <c r="C3166" s="5" t="s">
        <v>16</v>
      </c>
      <c r="D3166" s="6" t="s">
        <v>6015</v>
      </c>
      <c r="E3166" s="6"/>
      <c r="F3166" s="6" t="b">
        <f t="shared" si="1"/>
        <v>0</v>
      </c>
    </row>
    <row r="3167" ht="15.75" customHeight="1">
      <c r="A3167" s="7" t="s">
        <v>6016</v>
      </c>
      <c r="B3167" s="4" t="s">
        <v>6017</v>
      </c>
      <c r="C3167" s="5" t="s">
        <v>16</v>
      </c>
      <c r="D3167" s="6" t="s">
        <v>6018</v>
      </c>
      <c r="E3167" s="6"/>
      <c r="F3167" s="6" t="b">
        <f t="shared" si="1"/>
        <v>0</v>
      </c>
    </row>
    <row r="3168" ht="15.75" customHeight="1">
      <c r="A3168" s="7" t="s">
        <v>6019</v>
      </c>
      <c r="B3168" s="4" t="s">
        <v>6020</v>
      </c>
      <c r="C3168" s="5" t="s">
        <v>16</v>
      </c>
      <c r="D3168" s="6" t="s">
        <v>6021</v>
      </c>
      <c r="E3168" s="6"/>
      <c r="F3168" s="6" t="b">
        <f t="shared" si="1"/>
        <v>0</v>
      </c>
    </row>
    <row r="3169" ht="15.75" customHeight="1">
      <c r="A3169" s="7" t="s">
        <v>6022</v>
      </c>
      <c r="B3169" s="4" t="s">
        <v>6023</v>
      </c>
      <c r="C3169" s="5" t="s">
        <v>16</v>
      </c>
      <c r="D3169" s="6" t="s">
        <v>6024</v>
      </c>
      <c r="E3169" s="6"/>
      <c r="F3169" s="6" t="b">
        <f t="shared" si="1"/>
        <v>0</v>
      </c>
    </row>
    <row r="3170" ht="15.75" customHeight="1">
      <c r="A3170" s="7" t="s">
        <v>6025</v>
      </c>
      <c r="B3170" s="4" t="s">
        <v>6026</v>
      </c>
      <c r="C3170" s="5" t="s">
        <v>16</v>
      </c>
      <c r="D3170" s="6" t="s">
        <v>6027</v>
      </c>
      <c r="E3170" s="6"/>
      <c r="F3170" s="6" t="b">
        <f t="shared" si="1"/>
        <v>0</v>
      </c>
    </row>
    <row r="3171" ht="15.75" customHeight="1">
      <c r="A3171" s="7" t="s">
        <v>6028</v>
      </c>
      <c r="B3171" s="4" t="s">
        <v>6029</v>
      </c>
      <c r="C3171" s="5" t="s">
        <v>16</v>
      </c>
      <c r="D3171" s="6" t="s">
        <v>125</v>
      </c>
      <c r="E3171" s="6"/>
      <c r="F3171" s="6" t="b">
        <f t="shared" si="1"/>
        <v>0</v>
      </c>
    </row>
    <row r="3172" ht="15.75" customHeight="1">
      <c r="A3172" s="7" t="s">
        <v>6030</v>
      </c>
      <c r="B3172" s="4" t="s">
        <v>6031</v>
      </c>
      <c r="C3172" s="5" t="s">
        <v>16</v>
      </c>
      <c r="D3172" s="6" t="s">
        <v>125</v>
      </c>
      <c r="E3172" s="6"/>
      <c r="F3172" s="6" t="b">
        <f t="shared" si="1"/>
        <v>0</v>
      </c>
    </row>
    <row r="3173" ht="15.75" customHeight="1">
      <c r="A3173" s="7" t="s">
        <v>6032</v>
      </c>
      <c r="B3173" s="4" t="s">
        <v>6033</v>
      </c>
      <c r="C3173" s="5" t="s">
        <v>16</v>
      </c>
      <c r="D3173" s="6" t="s">
        <v>125</v>
      </c>
      <c r="E3173" s="6"/>
      <c r="F3173" s="6" t="b">
        <f t="shared" si="1"/>
        <v>0</v>
      </c>
    </row>
    <row r="3174" ht="15.75" customHeight="1">
      <c r="A3174" s="7" t="s">
        <v>6034</v>
      </c>
      <c r="B3174" s="4" t="s">
        <v>6035</v>
      </c>
      <c r="C3174" s="5" t="s">
        <v>16</v>
      </c>
      <c r="D3174" s="6" t="s">
        <v>125</v>
      </c>
      <c r="E3174" s="6"/>
      <c r="F3174" s="6" t="b">
        <f t="shared" si="1"/>
        <v>0</v>
      </c>
    </row>
    <row r="3175" ht="15.75" customHeight="1">
      <c r="A3175" s="7" t="s">
        <v>6036</v>
      </c>
      <c r="B3175" s="4" t="s">
        <v>6037</v>
      </c>
      <c r="C3175" s="5" t="s">
        <v>16</v>
      </c>
      <c r="D3175" s="6" t="s">
        <v>6038</v>
      </c>
      <c r="E3175" s="6"/>
      <c r="F3175" s="6" t="b">
        <f t="shared" si="1"/>
        <v>0</v>
      </c>
    </row>
    <row r="3176" ht="15.75" customHeight="1">
      <c r="A3176" s="3" t="s">
        <v>6039</v>
      </c>
      <c r="B3176" s="4"/>
      <c r="C3176" s="5"/>
      <c r="D3176" s="5"/>
      <c r="E3176" s="6"/>
      <c r="F3176" s="6" t="b">
        <f t="shared" si="1"/>
        <v>0</v>
      </c>
    </row>
    <row r="3177" ht="15.75" customHeight="1">
      <c r="A3177" s="3" t="s">
        <v>6040</v>
      </c>
      <c r="B3177" s="4"/>
      <c r="C3177" s="5"/>
      <c r="D3177" s="5"/>
      <c r="E3177" s="6"/>
      <c r="F3177" s="6" t="b">
        <f t="shared" si="1"/>
        <v>0</v>
      </c>
    </row>
    <row r="3178" ht="15.75" customHeight="1">
      <c r="A3178" s="3" t="s">
        <v>6041</v>
      </c>
      <c r="B3178" s="4"/>
      <c r="C3178" s="5"/>
      <c r="D3178" s="5"/>
      <c r="E3178" s="6"/>
      <c r="F3178" s="6" t="b">
        <f t="shared" si="1"/>
        <v>0</v>
      </c>
    </row>
    <row r="3179" ht="15.75" customHeight="1">
      <c r="A3179" s="7" t="s">
        <v>6042</v>
      </c>
      <c r="B3179" s="4" t="s">
        <v>6043</v>
      </c>
      <c r="C3179" s="5" t="s">
        <v>6</v>
      </c>
      <c r="D3179" s="6" t="s">
        <v>5304</v>
      </c>
      <c r="E3179" s="6"/>
      <c r="F3179" s="6" t="b">
        <f t="shared" si="1"/>
        <v>0</v>
      </c>
    </row>
    <row r="3180" ht="15.75" customHeight="1">
      <c r="A3180" s="7" t="s">
        <v>6044</v>
      </c>
      <c r="B3180" s="4" t="s">
        <v>6045</v>
      </c>
      <c r="C3180" s="5" t="s">
        <v>6</v>
      </c>
      <c r="D3180" s="6" t="s">
        <v>5304</v>
      </c>
      <c r="E3180" s="6"/>
      <c r="F3180" s="6" t="b">
        <f t="shared" si="1"/>
        <v>0</v>
      </c>
    </row>
    <row r="3181" ht="15.75" customHeight="1">
      <c r="A3181" s="10" t="s">
        <v>6046</v>
      </c>
      <c r="B3181" s="11"/>
      <c r="C3181" s="5"/>
      <c r="D3181" s="8"/>
      <c r="E3181" s="6"/>
      <c r="F3181" s="6" t="b">
        <f t="shared" si="1"/>
        <v>0</v>
      </c>
    </row>
    <row r="3182" ht="15.75" customHeight="1">
      <c r="A3182" s="3" t="s">
        <v>6047</v>
      </c>
      <c r="B3182" s="4"/>
      <c r="C3182" s="5"/>
      <c r="D3182" s="5"/>
      <c r="E3182" s="6"/>
      <c r="F3182" s="6" t="b">
        <f t="shared" si="1"/>
        <v>0</v>
      </c>
    </row>
    <row r="3183" ht="15.75" customHeight="1">
      <c r="A3183" s="3" t="s">
        <v>6048</v>
      </c>
      <c r="B3183" s="4"/>
      <c r="C3183" s="5"/>
      <c r="D3183" s="5"/>
      <c r="E3183" s="6"/>
      <c r="F3183" s="6" t="b">
        <f t="shared" si="1"/>
        <v>0</v>
      </c>
    </row>
    <row r="3184" ht="15.75" customHeight="1">
      <c r="A3184" s="7" t="s">
        <v>6049</v>
      </c>
      <c r="B3184" s="4" t="s">
        <v>6050</v>
      </c>
      <c r="C3184" s="5" t="s">
        <v>16</v>
      </c>
      <c r="D3184" s="6" t="s">
        <v>6051</v>
      </c>
      <c r="E3184" s="6"/>
      <c r="F3184" s="6" t="b">
        <f t="shared" si="1"/>
        <v>0</v>
      </c>
    </row>
    <row r="3185" ht="15.75" customHeight="1">
      <c r="A3185" s="3" t="s">
        <v>6052</v>
      </c>
      <c r="B3185" s="4"/>
      <c r="C3185" s="5"/>
      <c r="D3185" s="5"/>
      <c r="E3185" s="6"/>
      <c r="F3185" s="6" t="b">
        <f t="shared" si="1"/>
        <v>0</v>
      </c>
    </row>
    <row r="3186" ht="15.75" customHeight="1">
      <c r="A3186" s="3" t="s">
        <v>6053</v>
      </c>
      <c r="B3186" s="4"/>
      <c r="C3186" s="5"/>
      <c r="D3186" s="5"/>
      <c r="E3186" s="6"/>
      <c r="F3186" s="6" t="b">
        <f t="shared" si="1"/>
        <v>0</v>
      </c>
    </row>
    <row r="3187" ht="15.75" customHeight="1">
      <c r="A3187" s="3" t="s">
        <v>6054</v>
      </c>
      <c r="B3187" s="4"/>
      <c r="C3187" s="5"/>
      <c r="D3187" s="5"/>
      <c r="E3187" s="6"/>
      <c r="F3187" s="6" t="b">
        <f t="shared" si="1"/>
        <v>0</v>
      </c>
    </row>
    <row r="3188" ht="15.75" customHeight="1">
      <c r="A3188" s="7" t="s">
        <v>6055</v>
      </c>
      <c r="B3188" s="4" t="s">
        <v>6056</v>
      </c>
      <c r="C3188" s="5" t="s">
        <v>229</v>
      </c>
      <c r="D3188" s="6" t="s">
        <v>6057</v>
      </c>
      <c r="E3188" s="6"/>
      <c r="F3188" s="6" t="b">
        <f t="shared" si="1"/>
        <v>0</v>
      </c>
    </row>
    <row r="3189" ht="15.75" customHeight="1">
      <c r="A3189" s="3" t="s">
        <v>6058</v>
      </c>
      <c r="B3189" s="4"/>
      <c r="C3189" s="5"/>
      <c r="D3189" s="5"/>
      <c r="E3189" s="6"/>
      <c r="F3189" s="6" t="b">
        <f t="shared" si="1"/>
        <v>0</v>
      </c>
    </row>
    <row r="3190" ht="15.75" customHeight="1">
      <c r="A3190" s="7" t="s">
        <v>6059</v>
      </c>
      <c r="B3190" s="4" t="s">
        <v>6060</v>
      </c>
      <c r="C3190" s="5" t="s">
        <v>6</v>
      </c>
      <c r="D3190" s="6" t="s">
        <v>6061</v>
      </c>
      <c r="E3190" s="6"/>
      <c r="F3190" s="6" t="b">
        <f t="shared" si="1"/>
        <v>0</v>
      </c>
    </row>
    <row r="3191" ht="15.75" customHeight="1">
      <c r="A3191" s="7" t="s">
        <v>6062</v>
      </c>
      <c r="B3191" s="4" t="s">
        <v>6063</v>
      </c>
      <c r="C3191" s="5" t="s">
        <v>6</v>
      </c>
      <c r="D3191" s="6" t="s">
        <v>1939</v>
      </c>
      <c r="E3191" s="6"/>
      <c r="F3191" s="6" t="b">
        <f t="shared" si="1"/>
        <v>0</v>
      </c>
    </row>
    <row r="3192" ht="15.75" customHeight="1">
      <c r="A3192" s="7" t="s">
        <v>6064</v>
      </c>
      <c r="B3192" s="4" t="s">
        <v>6065</v>
      </c>
      <c r="C3192" s="5" t="s">
        <v>16</v>
      </c>
      <c r="D3192" s="6" t="s">
        <v>6066</v>
      </c>
      <c r="E3192" s="6"/>
      <c r="F3192" s="6" t="b">
        <f t="shared" si="1"/>
        <v>0</v>
      </c>
    </row>
    <row r="3193" ht="15.75" customHeight="1">
      <c r="A3193" s="7" t="s">
        <v>6067</v>
      </c>
      <c r="B3193" s="4" t="s">
        <v>6068</v>
      </c>
      <c r="C3193" s="5" t="s">
        <v>16</v>
      </c>
      <c r="D3193" s="6" t="s">
        <v>6069</v>
      </c>
      <c r="E3193" s="6"/>
      <c r="F3193" s="6" t="b">
        <f t="shared" si="1"/>
        <v>0</v>
      </c>
    </row>
    <row r="3194" ht="15.75" customHeight="1">
      <c r="A3194" s="7" t="s">
        <v>6070</v>
      </c>
      <c r="B3194" s="4" t="s">
        <v>6071</v>
      </c>
      <c r="C3194" s="5" t="s">
        <v>16</v>
      </c>
      <c r="D3194" s="6" t="s">
        <v>6069</v>
      </c>
      <c r="E3194" s="6"/>
      <c r="F3194" s="6" t="b">
        <f t="shared" si="1"/>
        <v>0</v>
      </c>
    </row>
    <row r="3195" ht="15.75" customHeight="1">
      <c r="A3195" s="7" t="s">
        <v>6072</v>
      </c>
      <c r="B3195" s="4" t="s">
        <v>6073</v>
      </c>
      <c r="C3195" s="5" t="s">
        <v>16</v>
      </c>
      <c r="D3195" s="6" t="s">
        <v>3045</v>
      </c>
      <c r="E3195" s="6"/>
      <c r="F3195" s="6" t="b">
        <f t="shared" si="1"/>
        <v>0</v>
      </c>
    </row>
    <row r="3196" ht="15.75" customHeight="1">
      <c r="A3196" s="7" t="s">
        <v>6074</v>
      </c>
      <c r="B3196" s="4" t="s">
        <v>6075</v>
      </c>
      <c r="C3196" s="5" t="s">
        <v>16</v>
      </c>
      <c r="D3196" s="6" t="s">
        <v>3048</v>
      </c>
      <c r="E3196" s="6"/>
      <c r="F3196" s="6" t="b">
        <f t="shared" si="1"/>
        <v>0</v>
      </c>
    </row>
    <row r="3197" ht="15.75" customHeight="1">
      <c r="A3197" s="3" t="s">
        <v>6076</v>
      </c>
      <c r="B3197" s="4"/>
      <c r="C3197" s="5"/>
      <c r="D3197" s="5"/>
      <c r="E3197" s="6"/>
      <c r="F3197" s="6" t="b">
        <f t="shared" si="1"/>
        <v>0</v>
      </c>
    </row>
    <row r="3198" ht="15.75" customHeight="1">
      <c r="A3198" s="3" t="s">
        <v>6077</v>
      </c>
      <c r="B3198" s="4"/>
      <c r="C3198" s="5"/>
      <c r="D3198" s="5"/>
      <c r="E3198" s="6"/>
      <c r="F3198" s="6" t="b">
        <f t="shared" si="1"/>
        <v>0</v>
      </c>
    </row>
    <row r="3199" ht="15.75" customHeight="1">
      <c r="A3199" s="7" t="s">
        <v>6078</v>
      </c>
      <c r="B3199" s="4" t="s">
        <v>6079</v>
      </c>
      <c r="C3199" s="5" t="s">
        <v>16</v>
      </c>
      <c r="D3199" s="6" t="s">
        <v>6080</v>
      </c>
      <c r="E3199" s="6"/>
      <c r="F3199" s="6" t="b">
        <f t="shared" si="1"/>
        <v>0</v>
      </c>
    </row>
    <row r="3200" ht="15.75" customHeight="1">
      <c r="A3200" s="7" t="s">
        <v>6081</v>
      </c>
      <c r="B3200" s="4" t="s">
        <v>6082</v>
      </c>
      <c r="C3200" s="5" t="s">
        <v>16</v>
      </c>
      <c r="D3200" s="6" t="s">
        <v>6083</v>
      </c>
      <c r="E3200" s="6"/>
      <c r="F3200" s="6" t="b">
        <f t="shared" si="1"/>
        <v>0</v>
      </c>
    </row>
    <row r="3201" ht="15.75" customHeight="1">
      <c r="A3201" s="7" t="s">
        <v>6084</v>
      </c>
      <c r="B3201" s="4" t="s">
        <v>6085</v>
      </c>
      <c r="C3201" s="5" t="s">
        <v>16</v>
      </c>
      <c r="D3201" s="6" t="s">
        <v>6086</v>
      </c>
      <c r="E3201" s="6"/>
      <c r="F3201" s="6" t="b">
        <f t="shared" si="1"/>
        <v>0</v>
      </c>
    </row>
    <row r="3202" ht="15.75" customHeight="1">
      <c r="A3202" s="7" t="s">
        <v>6087</v>
      </c>
      <c r="B3202" s="4" t="s">
        <v>6088</v>
      </c>
      <c r="C3202" s="5" t="s">
        <v>16</v>
      </c>
      <c r="D3202" s="6" t="s">
        <v>6089</v>
      </c>
      <c r="E3202" s="6"/>
      <c r="F3202" s="6" t="b">
        <f t="shared" si="1"/>
        <v>0</v>
      </c>
    </row>
    <row r="3203" ht="15.75" customHeight="1">
      <c r="A3203" s="7" t="s">
        <v>6090</v>
      </c>
      <c r="B3203" s="4" t="s">
        <v>6091</v>
      </c>
      <c r="C3203" s="5" t="s">
        <v>16</v>
      </c>
      <c r="D3203" s="6" t="s">
        <v>6089</v>
      </c>
      <c r="E3203" s="6"/>
      <c r="F3203" s="6" t="b">
        <f t="shared" si="1"/>
        <v>0</v>
      </c>
    </row>
    <row r="3204" ht="15.75" customHeight="1">
      <c r="A3204" s="7" t="s">
        <v>6092</v>
      </c>
      <c r="B3204" s="4" t="s">
        <v>6093</v>
      </c>
      <c r="C3204" s="5" t="s">
        <v>16</v>
      </c>
      <c r="D3204" s="6" t="s">
        <v>1823</v>
      </c>
      <c r="E3204" s="6"/>
      <c r="F3204" s="6" t="b">
        <f t="shared" si="1"/>
        <v>0</v>
      </c>
    </row>
    <row r="3205" ht="15.75" customHeight="1">
      <c r="A3205" s="7" t="s">
        <v>6094</v>
      </c>
      <c r="B3205" s="4" t="s">
        <v>6095</v>
      </c>
      <c r="C3205" s="5" t="s">
        <v>16</v>
      </c>
      <c r="D3205" s="6" t="s">
        <v>6096</v>
      </c>
      <c r="E3205" s="6"/>
      <c r="F3205" s="6" t="b">
        <f t="shared" si="1"/>
        <v>0</v>
      </c>
    </row>
    <row r="3206" ht="15.75" customHeight="1">
      <c r="A3206" s="7" t="s">
        <v>6097</v>
      </c>
      <c r="B3206" s="4" t="s">
        <v>6098</v>
      </c>
      <c r="C3206" s="5" t="s">
        <v>16</v>
      </c>
      <c r="D3206" s="6" t="s">
        <v>3102</v>
      </c>
      <c r="E3206" s="6"/>
      <c r="F3206" s="6" t="b">
        <f t="shared" si="1"/>
        <v>0</v>
      </c>
    </row>
    <row r="3207" ht="15.75" customHeight="1">
      <c r="A3207" s="3" t="s">
        <v>6099</v>
      </c>
      <c r="B3207" s="4"/>
      <c r="C3207" s="5"/>
      <c r="D3207" s="5"/>
      <c r="E3207" s="6"/>
      <c r="F3207" s="6" t="b">
        <f t="shared" si="1"/>
        <v>0</v>
      </c>
    </row>
    <row r="3208" ht="15.75" customHeight="1">
      <c r="A3208" s="7" t="s">
        <v>6100</v>
      </c>
      <c r="B3208" s="4" t="s">
        <v>6101</v>
      </c>
      <c r="C3208" s="5" t="s">
        <v>16</v>
      </c>
      <c r="D3208" s="6" t="s">
        <v>6102</v>
      </c>
      <c r="E3208" s="6"/>
      <c r="F3208" s="6" t="b">
        <f t="shared" si="1"/>
        <v>0</v>
      </c>
    </row>
    <row r="3209" ht="15.75" customHeight="1">
      <c r="A3209" s="7" t="s">
        <v>6103</v>
      </c>
      <c r="B3209" s="4" t="s">
        <v>6104</v>
      </c>
      <c r="C3209" s="5" t="s">
        <v>16</v>
      </c>
      <c r="D3209" s="6" t="s">
        <v>6105</v>
      </c>
      <c r="E3209" s="6"/>
      <c r="F3209" s="6" t="b">
        <f t="shared" si="1"/>
        <v>0</v>
      </c>
    </row>
    <row r="3210" ht="15.75" customHeight="1">
      <c r="A3210" s="7" t="s">
        <v>6106</v>
      </c>
      <c r="B3210" s="4" t="s">
        <v>6107</v>
      </c>
      <c r="C3210" s="5" t="s">
        <v>16</v>
      </c>
      <c r="D3210" s="6" t="s">
        <v>6108</v>
      </c>
      <c r="E3210" s="6"/>
      <c r="F3210" s="6" t="b">
        <f t="shared" si="1"/>
        <v>0</v>
      </c>
    </row>
    <row r="3211" ht="15.75" customHeight="1">
      <c r="A3211" s="3" t="s">
        <v>6109</v>
      </c>
      <c r="B3211" s="4"/>
      <c r="C3211" s="5"/>
      <c r="D3211" s="5"/>
      <c r="E3211" s="6"/>
      <c r="F3211" s="6" t="b">
        <f t="shared" si="1"/>
        <v>0</v>
      </c>
    </row>
    <row r="3212" ht="15.75" customHeight="1">
      <c r="A3212" s="3" t="s">
        <v>6110</v>
      </c>
      <c r="B3212" s="4"/>
      <c r="C3212" s="5"/>
      <c r="D3212" s="5"/>
      <c r="E3212" s="6"/>
      <c r="F3212" s="6" t="b">
        <f t="shared" si="1"/>
        <v>0</v>
      </c>
    </row>
    <row r="3213" ht="15.75" customHeight="1">
      <c r="A3213" s="7" t="s">
        <v>6111</v>
      </c>
      <c r="B3213" s="4" t="s">
        <v>6112</v>
      </c>
      <c r="C3213" s="5" t="s">
        <v>6</v>
      </c>
      <c r="D3213" s="6" t="s">
        <v>6113</v>
      </c>
      <c r="E3213" s="6"/>
      <c r="F3213" s="6" t="b">
        <f t="shared" si="1"/>
        <v>0</v>
      </c>
    </row>
    <row r="3214" ht="15.75" customHeight="1">
      <c r="A3214" s="7" t="s">
        <v>6114</v>
      </c>
      <c r="B3214" s="4" t="s">
        <v>6115</v>
      </c>
      <c r="C3214" s="5" t="s">
        <v>6</v>
      </c>
      <c r="D3214" s="6" t="s">
        <v>6116</v>
      </c>
      <c r="E3214" s="6"/>
      <c r="F3214" s="6" t="b">
        <f t="shared" si="1"/>
        <v>0</v>
      </c>
    </row>
    <row r="3215" ht="15.75" customHeight="1">
      <c r="A3215" s="7" t="s">
        <v>6117</v>
      </c>
      <c r="B3215" s="4" t="s">
        <v>6118</v>
      </c>
      <c r="C3215" s="5" t="s">
        <v>6</v>
      </c>
      <c r="D3215" s="6" t="s">
        <v>6116</v>
      </c>
      <c r="E3215" s="6"/>
      <c r="F3215" s="6" t="b">
        <f t="shared" si="1"/>
        <v>0</v>
      </c>
    </row>
    <row r="3216" ht="15.75" customHeight="1">
      <c r="A3216" s="7" t="s">
        <v>6119</v>
      </c>
      <c r="B3216" s="4" t="s">
        <v>6120</v>
      </c>
      <c r="C3216" s="5" t="s">
        <v>6</v>
      </c>
      <c r="D3216" s="6" t="s">
        <v>6121</v>
      </c>
      <c r="E3216" s="6"/>
      <c r="F3216" s="6" t="b">
        <f t="shared" si="1"/>
        <v>0</v>
      </c>
    </row>
    <row r="3217" ht="15.75" customHeight="1">
      <c r="A3217" s="7" t="s">
        <v>6122</v>
      </c>
      <c r="B3217" s="4" t="s">
        <v>6123</v>
      </c>
      <c r="C3217" s="5" t="s">
        <v>6</v>
      </c>
      <c r="D3217" s="6" t="s">
        <v>6124</v>
      </c>
      <c r="E3217" s="6"/>
      <c r="F3217" s="6" t="b">
        <f t="shared" si="1"/>
        <v>0</v>
      </c>
    </row>
    <row r="3218" ht="15.75" customHeight="1">
      <c r="A3218" s="7" t="s">
        <v>6125</v>
      </c>
      <c r="B3218" s="4" t="s">
        <v>6126</v>
      </c>
      <c r="C3218" s="5" t="s">
        <v>6</v>
      </c>
      <c r="D3218" s="6" t="s">
        <v>6127</v>
      </c>
      <c r="E3218" s="6"/>
      <c r="F3218" s="6" t="b">
        <f t="shared" si="1"/>
        <v>0</v>
      </c>
    </row>
    <row r="3219" ht="15.75" customHeight="1">
      <c r="A3219" s="7" t="s">
        <v>6128</v>
      </c>
      <c r="B3219" s="4" t="s">
        <v>6129</v>
      </c>
      <c r="C3219" s="5" t="s">
        <v>6</v>
      </c>
      <c r="D3219" s="6" t="s">
        <v>6130</v>
      </c>
      <c r="E3219" s="6"/>
      <c r="F3219" s="6" t="b">
        <f t="shared" si="1"/>
        <v>0</v>
      </c>
    </row>
    <row r="3220" ht="15.75" customHeight="1">
      <c r="A3220" s="7" t="s">
        <v>6131</v>
      </c>
      <c r="B3220" s="4" t="s">
        <v>6132</v>
      </c>
      <c r="C3220" s="5" t="s">
        <v>6</v>
      </c>
      <c r="D3220" s="6" t="s">
        <v>947</v>
      </c>
      <c r="E3220" s="6"/>
      <c r="F3220" s="6" t="b">
        <f t="shared" si="1"/>
        <v>0</v>
      </c>
    </row>
    <row r="3221" ht="15.75" customHeight="1">
      <c r="A3221" s="7" t="s">
        <v>6133</v>
      </c>
      <c r="B3221" s="4" t="s">
        <v>6134</v>
      </c>
      <c r="C3221" s="5" t="s">
        <v>6</v>
      </c>
      <c r="D3221" s="6" t="s">
        <v>947</v>
      </c>
      <c r="E3221" s="6"/>
      <c r="F3221" s="6" t="b">
        <f t="shared" si="1"/>
        <v>0</v>
      </c>
    </row>
    <row r="3222" ht="15.75" customHeight="1">
      <c r="A3222" s="7" t="s">
        <v>6135</v>
      </c>
      <c r="B3222" s="4" t="s">
        <v>6136</v>
      </c>
      <c r="C3222" s="5" t="s">
        <v>6</v>
      </c>
      <c r="D3222" s="6" t="s">
        <v>6137</v>
      </c>
      <c r="E3222" s="6"/>
      <c r="F3222" s="6" t="b">
        <f t="shared" si="1"/>
        <v>0</v>
      </c>
    </row>
    <row r="3223" ht="15.75" customHeight="1">
      <c r="A3223" s="7" t="s">
        <v>6138</v>
      </c>
      <c r="B3223" s="4" t="s">
        <v>6139</v>
      </c>
      <c r="C3223" s="5" t="s">
        <v>6</v>
      </c>
      <c r="D3223" s="6" t="s">
        <v>6140</v>
      </c>
      <c r="E3223" s="6"/>
      <c r="F3223" s="6" t="b">
        <f t="shared" si="1"/>
        <v>0</v>
      </c>
    </row>
    <row r="3224" ht="15.75" customHeight="1">
      <c r="A3224" s="7" t="s">
        <v>6141</v>
      </c>
      <c r="B3224" s="4" t="s">
        <v>6142</v>
      </c>
      <c r="C3224" s="5" t="s">
        <v>6</v>
      </c>
      <c r="D3224" s="6" t="s">
        <v>6143</v>
      </c>
      <c r="E3224" s="6"/>
      <c r="F3224" s="6" t="b">
        <f t="shared" si="1"/>
        <v>0</v>
      </c>
    </row>
    <row r="3225" ht="15.75" customHeight="1">
      <c r="A3225" s="7" t="s">
        <v>6144</v>
      </c>
      <c r="B3225" s="4" t="s">
        <v>6145</v>
      </c>
      <c r="C3225" s="5" t="s">
        <v>6</v>
      </c>
      <c r="D3225" s="6" t="s">
        <v>6146</v>
      </c>
      <c r="E3225" s="6"/>
      <c r="F3225" s="6" t="b">
        <f t="shared" si="1"/>
        <v>0</v>
      </c>
    </row>
    <row r="3226" ht="15.75" customHeight="1">
      <c r="A3226" s="7" t="s">
        <v>6147</v>
      </c>
      <c r="B3226" s="4" t="s">
        <v>6148</v>
      </c>
      <c r="C3226" s="5" t="s">
        <v>6</v>
      </c>
      <c r="D3226" s="6" t="s">
        <v>6149</v>
      </c>
      <c r="E3226" s="6"/>
      <c r="F3226" s="6" t="b">
        <f t="shared" si="1"/>
        <v>0</v>
      </c>
    </row>
    <row r="3227" ht="15.75" customHeight="1">
      <c r="A3227" s="7" t="s">
        <v>6150</v>
      </c>
      <c r="B3227" s="4" t="s">
        <v>6151</v>
      </c>
      <c r="C3227" s="5" t="s">
        <v>6</v>
      </c>
      <c r="D3227" s="6" t="s">
        <v>6152</v>
      </c>
      <c r="E3227" s="6"/>
      <c r="F3227" s="6" t="b">
        <f t="shared" si="1"/>
        <v>0</v>
      </c>
    </row>
    <row r="3228" ht="15.75" customHeight="1">
      <c r="A3228" s="7" t="s">
        <v>6153</v>
      </c>
      <c r="B3228" s="4" t="s">
        <v>6154</v>
      </c>
      <c r="C3228" s="5" t="s">
        <v>6</v>
      </c>
      <c r="D3228" s="6" t="s">
        <v>6155</v>
      </c>
      <c r="E3228" s="6"/>
      <c r="F3228" s="6" t="b">
        <f t="shared" si="1"/>
        <v>0</v>
      </c>
    </row>
    <row r="3229" ht="15.75" customHeight="1">
      <c r="A3229" s="7" t="s">
        <v>6156</v>
      </c>
      <c r="B3229" s="4" t="s">
        <v>6157</v>
      </c>
      <c r="C3229" s="5" t="s">
        <v>6</v>
      </c>
      <c r="D3229" s="6" t="s">
        <v>6158</v>
      </c>
      <c r="E3229" s="6"/>
      <c r="F3229" s="6" t="b">
        <f t="shared" si="1"/>
        <v>0</v>
      </c>
    </row>
    <row r="3230" ht="15.75" customHeight="1">
      <c r="A3230" s="7" t="s">
        <v>6159</v>
      </c>
      <c r="B3230" s="4" t="s">
        <v>6160</v>
      </c>
      <c r="C3230" s="5" t="s">
        <v>6</v>
      </c>
      <c r="D3230" s="6" t="s">
        <v>3035</v>
      </c>
      <c r="E3230" s="6"/>
      <c r="F3230" s="6" t="b">
        <f t="shared" si="1"/>
        <v>0</v>
      </c>
    </row>
    <row r="3231" ht="15.75" customHeight="1">
      <c r="A3231" s="7" t="s">
        <v>6161</v>
      </c>
      <c r="B3231" s="4" t="s">
        <v>6162</v>
      </c>
      <c r="C3231" s="5" t="s">
        <v>6</v>
      </c>
      <c r="D3231" s="6" t="s">
        <v>6163</v>
      </c>
      <c r="E3231" s="6"/>
      <c r="F3231" s="6" t="b">
        <f t="shared" si="1"/>
        <v>0</v>
      </c>
    </row>
    <row r="3232" ht="15.75" customHeight="1">
      <c r="A3232" s="7" t="s">
        <v>6164</v>
      </c>
      <c r="B3232" s="4" t="s">
        <v>6165</v>
      </c>
      <c r="C3232" s="5" t="s">
        <v>6</v>
      </c>
      <c r="D3232" s="6" t="s">
        <v>6166</v>
      </c>
      <c r="E3232" s="6"/>
      <c r="F3232" s="6" t="b">
        <f t="shared" si="1"/>
        <v>0</v>
      </c>
    </row>
    <row r="3233" ht="15.75" customHeight="1">
      <c r="A3233" s="7" t="s">
        <v>6167</v>
      </c>
      <c r="B3233" s="4" t="s">
        <v>6168</v>
      </c>
      <c r="C3233" s="5" t="s">
        <v>229</v>
      </c>
      <c r="D3233" s="6" t="s">
        <v>2853</v>
      </c>
      <c r="E3233" s="6"/>
      <c r="F3233" s="6" t="b">
        <f t="shared" si="1"/>
        <v>0</v>
      </c>
    </row>
    <row r="3234" ht="15.75" customHeight="1">
      <c r="A3234" s="10" t="s">
        <v>6169</v>
      </c>
      <c r="B3234" s="11"/>
      <c r="C3234" s="5"/>
      <c r="D3234" s="8"/>
      <c r="E3234" s="6"/>
      <c r="F3234" s="6" t="b">
        <f t="shared" si="1"/>
        <v>0</v>
      </c>
    </row>
    <row r="3235" ht="15.75" customHeight="1">
      <c r="A3235" s="3" t="s">
        <v>6170</v>
      </c>
      <c r="B3235" s="4"/>
      <c r="C3235" s="5"/>
      <c r="D3235" s="5"/>
      <c r="E3235" s="6"/>
      <c r="F3235" s="6" t="b">
        <f t="shared" si="1"/>
        <v>0</v>
      </c>
    </row>
    <row r="3236" ht="15.75" customHeight="1">
      <c r="A3236" s="3" t="s">
        <v>6171</v>
      </c>
      <c r="B3236" s="4"/>
      <c r="C3236" s="5"/>
      <c r="D3236" s="5"/>
      <c r="E3236" s="6"/>
      <c r="F3236" s="6" t="b">
        <f t="shared" si="1"/>
        <v>0</v>
      </c>
    </row>
    <row r="3237" ht="15.75" customHeight="1">
      <c r="A3237" s="3" t="s">
        <v>6172</v>
      </c>
      <c r="B3237" s="4"/>
      <c r="C3237" s="5"/>
      <c r="D3237" s="5"/>
      <c r="E3237" s="6"/>
      <c r="F3237" s="6" t="b">
        <f t="shared" si="1"/>
        <v>0</v>
      </c>
    </row>
    <row r="3238" ht="15.75" customHeight="1">
      <c r="A3238" s="7" t="s">
        <v>6173</v>
      </c>
      <c r="B3238" s="4" t="s">
        <v>6174</v>
      </c>
      <c r="C3238" s="5" t="s">
        <v>229</v>
      </c>
      <c r="D3238" s="6" t="s">
        <v>6175</v>
      </c>
      <c r="E3238" s="6"/>
      <c r="F3238" s="6" t="b">
        <f t="shared" si="1"/>
        <v>0</v>
      </c>
    </row>
    <row r="3239" ht="15.75" customHeight="1">
      <c r="A3239" s="10" t="s">
        <v>6176</v>
      </c>
      <c r="B3239" s="11"/>
      <c r="C3239" s="5"/>
      <c r="D3239" s="8"/>
      <c r="E3239" s="6"/>
      <c r="F3239" s="6" t="b">
        <f t="shared" si="1"/>
        <v>0</v>
      </c>
    </row>
    <row r="3240" ht="15.75" customHeight="1">
      <c r="A3240" s="3" t="s">
        <v>6177</v>
      </c>
      <c r="B3240" s="4"/>
      <c r="C3240" s="5"/>
      <c r="D3240" s="5"/>
      <c r="E3240" s="6"/>
      <c r="F3240" s="6" t="b">
        <f t="shared" si="1"/>
        <v>0</v>
      </c>
    </row>
    <row r="3241" ht="15.75" customHeight="1">
      <c r="A3241" s="3" t="s">
        <v>6178</v>
      </c>
      <c r="B3241" s="4"/>
      <c r="C3241" s="5"/>
      <c r="D3241" s="5"/>
      <c r="E3241" s="6"/>
      <c r="F3241" s="6" t="b">
        <f t="shared" si="1"/>
        <v>0</v>
      </c>
    </row>
    <row r="3242" ht="15.75" customHeight="1">
      <c r="A3242" s="3" t="s">
        <v>6179</v>
      </c>
      <c r="B3242" s="4"/>
      <c r="C3242" s="5"/>
      <c r="D3242" s="5"/>
      <c r="E3242" s="6"/>
      <c r="F3242" s="6" t="b">
        <f t="shared" si="1"/>
        <v>0</v>
      </c>
    </row>
    <row r="3243" ht="15.75" customHeight="1">
      <c r="A3243" s="3" t="s">
        <v>6180</v>
      </c>
      <c r="B3243" s="4"/>
      <c r="C3243" s="5"/>
      <c r="D3243" s="5"/>
      <c r="E3243" s="6"/>
      <c r="F3243" s="6" t="b">
        <f t="shared" si="1"/>
        <v>0</v>
      </c>
    </row>
    <row r="3244" ht="15.75" customHeight="1">
      <c r="A3244" s="3" t="s">
        <v>6181</v>
      </c>
      <c r="B3244" s="4"/>
      <c r="C3244" s="5"/>
      <c r="D3244" s="5"/>
      <c r="E3244" s="6"/>
      <c r="F3244" s="6" t="b">
        <f t="shared" si="1"/>
        <v>0</v>
      </c>
    </row>
    <row r="3245" ht="15.75" customHeight="1">
      <c r="A3245" s="3" t="s">
        <v>6182</v>
      </c>
      <c r="B3245" s="4"/>
      <c r="C3245" s="5"/>
      <c r="D3245" s="5"/>
      <c r="E3245" s="6"/>
      <c r="F3245" s="6" t="b">
        <f t="shared" si="1"/>
        <v>0</v>
      </c>
    </row>
    <row r="3246" ht="15.75" customHeight="1">
      <c r="A3246" s="7" t="s">
        <v>6183</v>
      </c>
      <c r="B3246" s="4" t="s">
        <v>6184</v>
      </c>
      <c r="C3246" s="5" t="s">
        <v>16</v>
      </c>
      <c r="D3246" s="6" t="s">
        <v>6185</v>
      </c>
      <c r="E3246" s="6"/>
      <c r="F3246" s="6" t="b">
        <f t="shared" si="1"/>
        <v>0</v>
      </c>
    </row>
    <row r="3247" ht="15.75" customHeight="1">
      <c r="A3247" s="7" t="s">
        <v>6186</v>
      </c>
      <c r="B3247" s="4" t="s">
        <v>6187</v>
      </c>
      <c r="C3247" s="5" t="s">
        <v>229</v>
      </c>
      <c r="D3247" s="6" t="s">
        <v>230</v>
      </c>
      <c r="E3247" s="6"/>
      <c r="F3247" s="6" t="b">
        <f t="shared" si="1"/>
        <v>0</v>
      </c>
    </row>
    <row r="3248" ht="15.75" customHeight="1">
      <c r="A3248" s="3" t="s">
        <v>6188</v>
      </c>
      <c r="B3248" s="4"/>
      <c r="C3248" s="5"/>
      <c r="D3248" s="5"/>
      <c r="E3248" s="6"/>
      <c r="F3248" s="6" t="b">
        <f t="shared" si="1"/>
        <v>0</v>
      </c>
    </row>
    <row r="3249" ht="15.75" customHeight="1">
      <c r="A3249" s="10" t="s">
        <v>6189</v>
      </c>
      <c r="B3249" s="11"/>
      <c r="C3249" s="5"/>
      <c r="D3249" s="8"/>
      <c r="E3249" s="6"/>
      <c r="F3249" s="6" t="b">
        <f t="shared" si="1"/>
        <v>0</v>
      </c>
    </row>
    <row r="3250" ht="15.75" customHeight="1">
      <c r="A3250" s="10" t="s">
        <v>6190</v>
      </c>
      <c r="B3250" s="11"/>
      <c r="C3250" s="5"/>
      <c r="D3250" s="8"/>
      <c r="E3250" s="6"/>
      <c r="F3250" s="6" t="b">
        <f t="shared" si="1"/>
        <v>0</v>
      </c>
    </row>
    <row r="3251" ht="15.75" customHeight="1">
      <c r="A3251" s="10" t="s">
        <v>6191</v>
      </c>
      <c r="B3251" s="11"/>
      <c r="C3251" s="5"/>
      <c r="D3251" s="8"/>
      <c r="E3251" s="6"/>
      <c r="F3251" s="6" t="b">
        <f t="shared" si="1"/>
        <v>0</v>
      </c>
    </row>
    <row r="3252" ht="15.75" customHeight="1">
      <c r="A3252" s="10" t="s">
        <v>6192</v>
      </c>
      <c r="B3252" s="11"/>
      <c r="C3252" s="5"/>
      <c r="D3252" s="8"/>
      <c r="E3252" s="6"/>
      <c r="F3252" s="6" t="b">
        <f t="shared" si="1"/>
        <v>0</v>
      </c>
    </row>
    <row r="3253" ht="15.75" customHeight="1">
      <c r="A3253" s="10" t="s">
        <v>6193</v>
      </c>
      <c r="B3253" s="11"/>
      <c r="C3253" s="5"/>
      <c r="D3253" s="8"/>
      <c r="E3253" s="6"/>
      <c r="F3253" s="6" t="b">
        <f t="shared" si="1"/>
        <v>0</v>
      </c>
    </row>
    <row r="3254" ht="15.75" customHeight="1">
      <c r="A3254" s="3" t="s">
        <v>6194</v>
      </c>
      <c r="B3254" s="4"/>
      <c r="C3254" s="5"/>
      <c r="D3254" s="5"/>
      <c r="E3254" s="6"/>
      <c r="F3254" s="6" t="b">
        <f t="shared" si="1"/>
        <v>0</v>
      </c>
    </row>
    <row r="3255" ht="15.75" customHeight="1">
      <c r="A3255" s="3" t="s">
        <v>6195</v>
      </c>
      <c r="B3255" s="4"/>
      <c r="C3255" s="5"/>
      <c r="D3255" s="5"/>
      <c r="E3255" s="6"/>
      <c r="F3255" s="6" t="b">
        <f t="shared" si="1"/>
        <v>0</v>
      </c>
    </row>
    <row r="3256" ht="15.75" customHeight="1">
      <c r="A3256" s="10" t="s">
        <v>6196</v>
      </c>
      <c r="B3256" s="11" t="s">
        <v>6197</v>
      </c>
      <c r="C3256" s="5"/>
      <c r="D3256" s="8" t="s">
        <v>5535</v>
      </c>
      <c r="E3256" s="6"/>
      <c r="F3256" s="6" t="b">
        <f t="shared" si="1"/>
        <v>0</v>
      </c>
    </row>
    <row r="3257" ht="15.75" customHeight="1">
      <c r="A3257" s="3" t="s">
        <v>6198</v>
      </c>
      <c r="B3257" s="4"/>
      <c r="C3257" s="5"/>
      <c r="D3257" s="5"/>
      <c r="E3257" s="6"/>
      <c r="F3257" s="6" t="b">
        <f t="shared" si="1"/>
        <v>0</v>
      </c>
    </row>
    <row r="3258" ht="15.75" customHeight="1">
      <c r="A3258" s="3" t="s">
        <v>6199</v>
      </c>
      <c r="B3258" s="4"/>
      <c r="C3258" s="5"/>
      <c r="D3258" s="5"/>
      <c r="E3258" s="6"/>
      <c r="F3258" s="6" t="b">
        <f t="shared" si="1"/>
        <v>0</v>
      </c>
    </row>
    <row r="3259" ht="15.75" customHeight="1">
      <c r="A3259" s="3" t="s">
        <v>6200</v>
      </c>
      <c r="B3259" s="4"/>
      <c r="C3259" s="5"/>
      <c r="D3259" s="5"/>
      <c r="E3259" s="6"/>
      <c r="F3259" s="6" t="b">
        <f t="shared" si="1"/>
        <v>0</v>
      </c>
    </row>
    <row r="3260" ht="15.75" customHeight="1">
      <c r="A3260" s="3" t="s">
        <v>6201</v>
      </c>
      <c r="B3260" s="4"/>
      <c r="C3260" s="5"/>
      <c r="D3260" s="5"/>
      <c r="E3260" s="6"/>
      <c r="F3260" s="6" t="b">
        <f t="shared" si="1"/>
        <v>0</v>
      </c>
    </row>
    <row r="3261" ht="15.75" customHeight="1">
      <c r="A3261" s="10" t="s">
        <v>6202</v>
      </c>
      <c r="B3261" s="11" t="s">
        <v>6203</v>
      </c>
      <c r="C3261" s="5" t="s">
        <v>5385</v>
      </c>
      <c r="D3261" s="8"/>
      <c r="E3261" s="6"/>
      <c r="F3261" s="6" t="b">
        <f t="shared" si="1"/>
        <v>0</v>
      </c>
    </row>
    <row r="3262" ht="15.75" customHeight="1">
      <c r="A3262" s="7" t="s">
        <v>6204</v>
      </c>
      <c r="B3262" s="4" t="s">
        <v>6205</v>
      </c>
      <c r="C3262" s="5" t="s">
        <v>6</v>
      </c>
      <c r="D3262" s="6" t="s">
        <v>6206</v>
      </c>
      <c r="E3262" s="6"/>
      <c r="F3262" s="6" t="b">
        <f t="shared" si="1"/>
        <v>0</v>
      </c>
    </row>
    <row r="3263" ht="15.75" customHeight="1">
      <c r="A3263" s="3" t="s">
        <v>6207</v>
      </c>
      <c r="B3263" s="4"/>
      <c r="C3263" s="5"/>
      <c r="D3263" s="5"/>
      <c r="E3263" s="6"/>
      <c r="F3263" s="6" t="b">
        <f t="shared" si="1"/>
        <v>0</v>
      </c>
    </row>
    <row r="3264" ht="15.75" customHeight="1">
      <c r="A3264" s="7" t="s">
        <v>6208</v>
      </c>
      <c r="B3264" s="4" t="s">
        <v>6209</v>
      </c>
      <c r="C3264" s="5" t="s">
        <v>6</v>
      </c>
      <c r="D3264" s="6" t="s">
        <v>1413</v>
      </c>
      <c r="E3264" s="6"/>
      <c r="F3264" s="6" t="b">
        <f t="shared" si="1"/>
        <v>0</v>
      </c>
    </row>
    <row r="3265" ht="15.75" customHeight="1">
      <c r="A3265" s="7" t="s">
        <v>6210</v>
      </c>
      <c r="B3265" s="4" t="s">
        <v>6211</v>
      </c>
      <c r="C3265" s="5" t="s">
        <v>6</v>
      </c>
      <c r="D3265" s="6" t="s">
        <v>1156</v>
      </c>
      <c r="E3265" s="6"/>
      <c r="F3265" s="6" t="b">
        <f t="shared" si="1"/>
        <v>0</v>
      </c>
    </row>
    <row r="3266" ht="15.75" customHeight="1">
      <c r="A3266" s="7" t="s">
        <v>6212</v>
      </c>
      <c r="B3266" s="4" t="s">
        <v>6213</v>
      </c>
      <c r="C3266" s="5" t="s">
        <v>6</v>
      </c>
      <c r="D3266" s="6" t="s">
        <v>1156</v>
      </c>
      <c r="E3266" s="6"/>
      <c r="F3266" s="6" t="b">
        <f t="shared" si="1"/>
        <v>0</v>
      </c>
    </row>
    <row r="3267" ht="15.75" customHeight="1">
      <c r="A3267" s="7" t="s">
        <v>6214</v>
      </c>
      <c r="B3267" s="4" t="s">
        <v>6215</v>
      </c>
      <c r="C3267" s="5" t="s">
        <v>6</v>
      </c>
      <c r="D3267" s="6" t="s">
        <v>1156</v>
      </c>
      <c r="E3267" s="6"/>
      <c r="F3267" s="6" t="b">
        <f t="shared" si="1"/>
        <v>0</v>
      </c>
    </row>
    <row r="3268" ht="15.75" customHeight="1">
      <c r="A3268" s="12" t="s">
        <v>6216</v>
      </c>
      <c r="B3268" s="9"/>
      <c r="C3268" s="5"/>
      <c r="D3268" s="8"/>
      <c r="E3268" s="6"/>
      <c r="F3268" s="6" t="b">
        <f t="shared" si="1"/>
        <v>0</v>
      </c>
    </row>
    <row r="3269" ht="15.75" customHeight="1">
      <c r="A3269" s="10" t="s">
        <v>6217</v>
      </c>
      <c r="B3269" s="11"/>
      <c r="C3269" s="5"/>
      <c r="D3269" s="8"/>
      <c r="E3269" s="6"/>
      <c r="F3269" s="6" t="b">
        <f t="shared" si="1"/>
        <v>0</v>
      </c>
    </row>
    <row r="3270" ht="15.75" customHeight="1">
      <c r="A3270" s="7" t="s">
        <v>6218</v>
      </c>
      <c r="B3270" s="11"/>
      <c r="C3270" s="5"/>
      <c r="D3270" s="5"/>
      <c r="E3270" s="6"/>
      <c r="F3270" s="6" t="b">
        <f t="shared" si="1"/>
        <v>0</v>
      </c>
    </row>
    <row r="3271" ht="15.75" customHeight="1">
      <c r="A3271" s="3" t="s">
        <v>6219</v>
      </c>
      <c r="B3271" s="4"/>
      <c r="C3271" s="5"/>
      <c r="D3271" s="5"/>
      <c r="E3271" s="6"/>
      <c r="F3271" s="6" t="b">
        <f t="shared" si="1"/>
        <v>0</v>
      </c>
    </row>
    <row r="3272" ht="15.75" customHeight="1">
      <c r="A3272" s="7" t="s">
        <v>6220</v>
      </c>
      <c r="B3272" s="4" t="s">
        <v>6221</v>
      </c>
      <c r="C3272" s="5" t="s">
        <v>6</v>
      </c>
      <c r="D3272" s="6" t="s">
        <v>6222</v>
      </c>
      <c r="E3272" s="6"/>
      <c r="F3272" s="6" t="b">
        <f t="shared" si="1"/>
        <v>0</v>
      </c>
    </row>
    <row r="3273" ht="15.75" customHeight="1">
      <c r="A3273" s="7" t="s">
        <v>6223</v>
      </c>
      <c r="B3273" s="4" t="s">
        <v>6224</v>
      </c>
      <c r="C3273" s="5" t="s">
        <v>6</v>
      </c>
      <c r="D3273" s="6" t="s">
        <v>1040</v>
      </c>
      <c r="E3273" s="6"/>
      <c r="F3273" s="6" t="b">
        <f t="shared" si="1"/>
        <v>0</v>
      </c>
    </row>
    <row r="3274" ht="15.75" customHeight="1">
      <c r="A3274" s="7" t="s">
        <v>6225</v>
      </c>
      <c r="B3274" s="4" t="s">
        <v>6226</v>
      </c>
      <c r="C3274" s="5" t="s">
        <v>6</v>
      </c>
      <c r="D3274" s="6" t="s">
        <v>6227</v>
      </c>
      <c r="E3274" s="6"/>
      <c r="F3274" s="6" t="b">
        <f t="shared" si="1"/>
        <v>0</v>
      </c>
    </row>
    <row r="3275" ht="15.75" customHeight="1">
      <c r="A3275" s="3" t="s">
        <v>6228</v>
      </c>
      <c r="B3275" s="4"/>
      <c r="C3275" s="5"/>
      <c r="D3275" s="5"/>
      <c r="E3275" s="6"/>
      <c r="F3275" s="6" t="b">
        <f t="shared" si="1"/>
        <v>0</v>
      </c>
    </row>
    <row r="3276" ht="15.75" customHeight="1">
      <c r="A3276" s="7" t="s">
        <v>6229</v>
      </c>
      <c r="B3276" s="4" t="s">
        <v>6230</v>
      </c>
      <c r="C3276" s="5" t="s">
        <v>6</v>
      </c>
      <c r="D3276" s="6" t="s">
        <v>1067</v>
      </c>
      <c r="E3276" s="6"/>
      <c r="F3276" s="6" t="b">
        <f t="shared" si="1"/>
        <v>0</v>
      </c>
    </row>
    <row r="3277" ht="15.75" customHeight="1">
      <c r="A3277" s="7" t="s">
        <v>6231</v>
      </c>
      <c r="B3277" s="4" t="s">
        <v>6232</v>
      </c>
      <c r="C3277" s="5" t="s">
        <v>6</v>
      </c>
      <c r="D3277" s="6" t="s">
        <v>1756</v>
      </c>
      <c r="E3277" s="6"/>
      <c r="F3277" s="6" t="b">
        <f t="shared" si="1"/>
        <v>0</v>
      </c>
    </row>
    <row r="3278" ht="15.75" customHeight="1">
      <c r="A3278" s="7" t="s">
        <v>6233</v>
      </c>
      <c r="B3278" s="4" t="s">
        <v>6234</v>
      </c>
      <c r="C3278" s="5" t="s">
        <v>6</v>
      </c>
      <c r="D3278" s="6" t="s">
        <v>1756</v>
      </c>
      <c r="E3278" s="6"/>
      <c r="F3278" s="6" t="b">
        <f t="shared" si="1"/>
        <v>0</v>
      </c>
    </row>
    <row r="3279" ht="15.75" customHeight="1">
      <c r="A3279" s="7" t="s">
        <v>6235</v>
      </c>
      <c r="B3279" s="4" t="s">
        <v>6236</v>
      </c>
      <c r="C3279" s="5" t="s">
        <v>6</v>
      </c>
      <c r="D3279" s="6" t="s">
        <v>1756</v>
      </c>
      <c r="E3279" s="6"/>
      <c r="F3279" s="6" t="b">
        <f t="shared" si="1"/>
        <v>0</v>
      </c>
    </row>
    <row r="3280" ht="15.75" customHeight="1">
      <c r="A3280" s="7" t="s">
        <v>6237</v>
      </c>
      <c r="B3280" s="4" t="s">
        <v>6238</v>
      </c>
      <c r="C3280" s="5" t="s">
        <v>6</v>
      </c>
      <c r="D3280" s="6" t="s">
        <v>1756</v>
      </c>
      <c r="E3280" s="6"/>
      <c r="F3280" s="6" t="b">
        <f t="shared" si="1"/>
        <v>0</v>
      </c>
    </row>
    <row r="3281" ht="15.75" customHeight="1">
      <c r="A3281" s="7" t="s">
        <v>6239</v>
      </c>
      <c r="B3281" s="4" t="s">
        <v>6240</v>
      </c>
      <c r="C3281" s="5" t="s">
        <v>6</v>
      </c>
      <c r="D3281" s="6" t="s">
        <v>1756</v>
      </c>
      <c r="E3281" s="6"/>
      <c r="F3281" s="6" t="b">
        <f t="shared" si="1"/>
        <v>0</v>
      </c>
    </row>
    <row r="3282" ht="15.75" customHeight="1">
      <c r="A3282" s="3" t="s">
        <v>6241</v>
      </c>
      <c r="B3282" s="4"/>
      <c r="C3282" s="5"/>
      <c r="D3282" s="5"/>
      <c r="E3282" s="6"/>
      <c r="F3282" s="6" t="b">
        <f t="shared" si="1"/>
        <v>0</v>
      </c>
    </row>
    <row r="3283" ht="15.75" customHeight="1">
      <c r="A3283" s="7" t="s">
        <v>6242</v>
      </c>
      <c r="B3283" s="4" t="s">
        <v>6243</v>
      </c>
      <c r="C3283" s="5" t="s">
        <v>6</v>
      </c>
      <c r="D3283" s="6" t="s">
        <v>1756</v>
      </c>
      <c r="E3283" s="6"/>
      <c r="F3283" s="6" t="b">
        <f t="shared" si="1"/>
        <v>0</v>
      </c>
    </row>
    <row r="3284" ht="15.75" customHeight="1">
      <c r="A3284" s="7" t="s">
        <v>6244</v>
      </c>
      <c r="B3284" s="4" t="s">
        <v>6245</v>
      </c>
      <c r="C3284" s="5" t="s">
        <v>6</v>
      </c>
      <c r="D3284" s="6" t="s">
        <v>1756</v>
      </c>
      <c r="E3284" s="6"/>
      <c r="F3284" s="6" t="b">
        <f t="shared" si="1"/>
        <v>0</v>
      </c>
    </row>
    <row r="3285" ht="15.75" customHeight="1">
      <c r="A3285" s="7" t="s">
        <v>6246</v>
      </c>
      <c r="B3285" s="4" t="s">
        <v>6247</v>
      </c>
      <c r="C3285" s="5" t="s">
        <v>6</v>
      </c>
      <c r="D3285" s="6" t="s">
        <v>1756</v>
      </c>
      <c r="E3285" s="6"/>
      <c r="F3285" s="6" t="b">
        <f t="shared" si="1"/>
        <v>0</v>
      </c>
    </row>
    <row r="3286" ht="15.75" customHeight="1">
      <c r="A3286" s="7" t="s">
        <v>6248</v>
      </c>
      <c r="B3286" s="4" t="s">
        <v>6249</v>
      </c>
      <c r="C3286" s="5" t="s">
        <v>6</v>
      </c>
      <c r="D3286" s="6" t="s">
        <v>1756</v>
      </c>
      <c r="E3286" s="6"/>
      <c r="F3286" s="6" t="b">
        <f t="shared" si="1"/>
        <v>0</v>
      </c>
    </row>
    <row r="3287" ht="15.75" customHeight="1">
      <c r="A3287" s="7" t="s">
        <v>6250</v>
      </c>
      <c r="B3287" s="4" t="s">
        <v>6251</v>
      </c>
      <c r="C3287" s="5" t="s">
        <v>6</v>
      </c>
      <c r="D3287" s="6" t="s">
        <v>1756</v>
      </c>
      <c r="E3287" s="6"/>
      <c r="F3287" s="6" t="b">
        <f t="shared" si="1"/>
        <v>0</v>
      </c>
    </row>
    <row r="3288" ht="15.75" customHeight="1">
      <c r="A3288" s="7" t="s">
        <v>6252</v>
      </c>
      <c r="B3288" s="4" t="s">
        <v>6253</v>
      </c>
      <c r="C3288" s="5" t="s">
        <v>6</v>
      </c>
      <c r="D3288" s="6" t="s">
        <v>6254</v>
      </c>
      <c r="E3288" s="6"/>
      <c r="F3288" s="6" t="b">
        <f t="shared" si="1"/>
        <v>0</v>
      </c>
    </row>
    <row r="3289" ht="15.75" customHeight="1">
      <c r="A3289" s="3" t="s">
        <v>6255</v>
      </c>
      <c r="B3289" s="4"/>
      <c r="C3289" s="5"/>
      <c r="D3289" s="5"/>
      <c r="E3289" s="6"/>
      <c r="F3289" s="6" t="b">
        <f t="shared" si="1"/>
        <v>0</v>
      </c>
    </row>
    <row r="3290" ht="15.75" customHeight="1">
      <c r="A3290" s="7" t="s">
        <v>6256</v>
      </c>
      <c r="B3290" s="4" t="s">
        <v>6257</v>
      </c>
      <c r="C3290" s="5" t="s">
        <v>16</v>
      </c>
      <c r="D3290" s="6" t="s">
        <v>6258</v>
      </c>
      <c r="E3290" s="6"/>
      <c r="F3290" s="6" t="b">
        <f t="shared" si="1"/>
        <v>0</v>
      </c>
    </row>
    <row r="3291" ht="15.75" customHeight="1">
      <c r="A3291" s="7" t="s">
        <v>6259</v>
      </c>
      <c r="B3291" s="11"/>
      <c r="C3291" s="5"/>
      <c r="D3291" s="5"/>
      <c r="E3291" s="6"/>
      <c r="F3291" s="6" t="b">
        <f t="shared" si="1"/>
        <v>0</v>
      </c>
    </row>
    <row r="3292" ht="15.75" customHeight="1">
      <c r="A3292" s="7" t="s">
        <v>6260</v>
      </c>
      <c r="B3292" s="4" t="s">
        <v>6261</v>
      </c>
      <c r="C3292" s="5" t="s">
        <v>6</v>
      </c>
      <c r="D3292" s="6" t="s">
        <v>1741</v>
      </c>
      <c r="E3292" s="6"/>
      <c r="F3292" s="6" t="b">
        <f t="shared" si="1"/>
        <v>0</v>
      </c>
    </row>
    <row r="3293" ht="15.75" customHeight="1">
      <c r="A3293" s="7" t="s">
        <v>6262</v>
      </c>
      <c r="B3293" s="4" t="s">
        <v>6263</v>
      </c>
      <c r="C3293" s="5" t="s">
        <v>6</v>
      </c>
      <c r="D3293" s="6" t="s">
        <v>1741</v>
      </c>
      <c r="E3293" s="6"/>
      <c r="F3293" s="6" t="b">
        <f t="shared" si="1"/>
        <v>0</v>
      </c>
    </row>
    <row r="3294" ht="15.75" customHeight="1">
      <c r="A3294" s="7" t="s">
        <v>6264</v>
      </c>
      <c r="B3294" s="4" t="s">
        <v>6265</v>
      </c>
      <c r="C3294" s="5" t="s">
        <v>6</v>
      </c>
      <c r="D3294" s="6" t="s">
        <v>81</v>
      </c>
      <c r="E3294" s="6"/>
      <c r="F3294" s="6" t="b">
        <f t="shared" si="1"/>
        <v>0</v>
      </c>
    </row>
    <row r="3295" ht="15.75" customHeight="1">
      <c r="A3295" s="7" t="s">
        <v>6266</v>
      </c>
      <c r="B3295" s="4" t="s">
        <v>6267</v>
      </c>
      <c r="C3295" s="5" t="s">
        <v>6</v>
      </c>
      <c r="D3295" s="6" t="s">
        <v>81</v>
      </c>
      <c r="E3295" s="6"/>
      <c r="F3295" s="6" t="b">
        <f t="shared" si="1"/>
        <v>0</v>
      </c>
    </row>
    <row r="3296" ht="15.75" customHeight="1">
      <c r="A3296" s="7" t="s">
        <v>6268</v>
      </c>
      <c r="B3296" s="4" t="s">
        <v>6269</v>
      </c>
      <c r="C3296" s="5" t="s">
        <v>6</v>
      </c>
      <c r="D3296" s="6" t="s">
        <v>81</v>
      </c>
      <c r="E3296" s="6"/>
      <c r="F3296" s="6" t="b">
        <f t="shared" si="1"/>
        <v>0</v>
      </c>
    </row>
    <row r="3297" ht="15.75" customHeight="1">
      <c r="A3297" s="7" t="s">
        <v>6270</v>
      </c>
      <c r="B3297" s="4" t="s">
        <v>6271</v>
      </c>
      <c r="C3297" s="5" t="s">
        <v>6</v>
      </c>
      <c r="D3297" s="6" t="s">
        <v>81</v>
      </c>
      <c r="E3297" s="6"/>
      <c r="F3297" s="6" t="b">
        <f t="shared" si="1"/>
        <v>0</v>
      </c>
    </row>
    <row r="3298" ht="15.75" customHeight="1">
      <c r="A3298" s="7" t="s">
        <v>6272</v>
      </c>
      <c r="B3298" s="4" t="s">
        <v>6273</v>
      </c>
      <c r="C3298" s="5" t="s">
        <v>6</v>
      </c>
      <c r="D3298" s="6" t="s">
        <v>81</v>
      </c>
      <c r="E3298" s="6"/>
      <c r="F3298" s="6" t="b">
        <f t="shared" si="1"/>
        <v>0</v>
      </c>
    </row>
    <row r="3299" ht="15.75" customHeight="1">
      <c r="A3299" s="7" t="s">
        <v>6274</v>
      </c>
      <c r="B3299" s="4" t="s">
        <v>6275</v>
      </c>
      <c r="C3299" s="5" t="s">
        <v>6</v>
      </c>
      <c r="D3299" s="6" t="s">
        <v>81</v>
      </c>
      <c r="E3299" s="6"/>
      <c r="F3299" s="6" t="b">
        <f t="shared" si="1"/>
        <v>0</v>
      </c>
    </row>
    <row r="3300" ht="15.75" customHeight="1">
      <c r="A3300" s="7" t="s">
        <v>6276</v>
      </c>
      <c r="B3300" s="4" t="s">
        <v>6277</v>
      </c>
      <c r="C3300" s="5" t="s">
        <v>6</v>
      </c>
      <c r="D3300" s="6" t="s">
        <v>81</v>
      </c>
      <c r="E3300" s="6"/>
      <c r="F3300" s="6" t="b">
        <f t="shared" si="1"/>
        <v>0</v>
      </c>
    </row>
    <row r="3301" ht="15.75" customHeight="1">
      <c r="A3301" s="7" t="s">
        <v>6278</v>
      </c>
      <c r="B3301" s="4" t="s">
        <v>6279</v>
      </c>
      <c r="C3301" s="5" t="s">
        <v>6</v>
      </c>
      <c r="D3301" s="6" t="s">
        <v>81</v>
      </c>
      <c r="E3301" s="6"/>
      <c r="F3301" s="6" t="b">
        <f t="shared" si="1"/>
        <v>0</v>
      </c>
    </row>
    <row r="3302" ht="15.75" customHeight="1">
      <c r="A3302" s="7" t="s">
        <v>6280</v>
      </c>
      <c r="B3302" s="4" t="s">
        <v>6281</v>
      </c>
      <c r="C3302" s="5" t="s">
        <v>6</v>
      </c>
      <c r="D3302" s="6" t="s">
        <v>81</v>
      </c>
      <c r="E3302" s="6"/>
      <c r="F3302" s="6" t="b">
        <f t="shared" si="1"/>
        <v>0</v>
      </c>
    </row>
    <row r="3303" ht="15.75" customHeight="1">
      <c r="A3303" s="7" t="s">
        <v>6282</v>
      </c>
      <c r="B3303" s="4" t="s">
        <v>6283</v>
      </c>
      <c r="C3303" s="5" t="s">
        <v>6</v>
      </c>
      <c r="D3303" s="6" t="s">
        <v>81</v>
      </c>
      <c r="E3303" s="6"/>
      <c r="F3303" s="6" t="b">
        <f t="shared" si="1"/>
        <v>0</v>
      </c>
    </row>
    <row r="3304" ht="15.75" customHeight="1">
      <c r="A3304" s="7" t="s">
        <v>6284</v>
      </c>
      <c r="B3304" s="4" t="s">
        <v>6285</v>
      </c>
      <c r="C3304" s="5" t="s">
        <v>6</v>
      </c>
      <c r="D3304" s="6" t="s">
        <v>81</v>
      </c>
      <c r="E3304" s="6"/>
      <c r="F3304" s="6" t="b">
        <f t="shared" si="1"/>
        <v>0</v>
      </c>
    </row>
    <row r="3305" ht="15.75" customHeight="1">
      <c r="A3305" s="7" t="s">
        <v>6286</v>
      </c>
      <c r="B3305" s="4" t="s">
        <v>6287</v>
      </c>
      <c r="C3305" s="5" t="s">
        <v>6</v>
      </c>
      <c r="D3305" s="6" t="s">
        <v>81</v>
      </c>
      <c r="E3305" s="6"/>
      <c r="F3305" s="6" t="b">
        <f t="shared" si="1"/>
        <v>0</v>
      </c>
    </row>
    <row r="3306" ht="15.75" customHeight="1">
      <c r="A3306" s="7" t="s">
        <v>6288</v>
      </c>
      <c r="B3306" s="4" t="s">
        <v>6289</v>
      </c>
      <c r="C3306" s="5" t="s">
        <v>6</v>
      </c>
      <c r="D3306" s="6" t="s">
        <v>81</v>
      </c>
      <c r="E3306" s="6"/>
      <c r="F3306" s="6" t="b">
        <f t="shared" si="1"/>
        <v>0</v>
      </c>
    </row>
    <row r="3307" ht="15.75" customHeight="1">
      <c r="A3307" s="7" t="s">
        <v>6290</v>
      </c>
      <c r="B3307" s="4" t="s">
        <v>6291</v>
      </c>
      <c r="C3307" s="5" t="s">
        <v>6</v>
      </c>
      <c r="D3307" s="6" t="s">
        <v>81</v>
      </c>
      <c r="E3307" s="6"/>
      <c r="F3307" s="6" t="b">
        <f t="shared" si="1"/>
        <v>0</v>
      </c>
    </row>
    <row r="3308" ht="15.75" customHeight="1">
      <c r="A3308" s="7" t="s">
        <v>6292</v>
      </c>
      <c r="B3308" s="4" t="s">
        <v>6293</v>
      </c>
      <c r="C3308" s="5" t="s">
        <v>6</v>
      </c>
      <c r="D3308" s="6" t="s">
        <v>81</v>
      </c>
      <c r="E3308" s="6"/>
      <c r="F3308" s="6" t="b">
        <f t="shared" si="1"/>
        <v>0</v>
      </c>
    </row>
    <row r="3309" ht="15.75" customHeight="1">
      <c r="A3309" s="7" t="s">
        <v>6294</v>
      </c>
      <c r="B3309" s="4" t="s">
        <v>6295</v>
      </c>
      <c r="C3309" s="5" t="s">
        <v>6</v>
      </c>
      <c r="D3309" s="6" t="s">
        <v>81</v>
      </c>
      <c r="E3309" s="6"/>
      <c r="F3309" s="6" t="b">
        <f t="shared" si="1"/>
        <v>0</v>
      </c>
    </row>
    <row r="3310" ht="15.75" customHeight="1">
      <c r="A3310" s="7" t="s">
        <v>6296</v>
      </c>
      <c r="B3310" s="4" t="s">
        <v>6297</v>
      </c>
      <c r="C3310" s="5" t="s">
        <v>6</v>
      </c>
      <c r="D3310" s="6" t="s">
        <v>81</v>
      </c>
      <c r="E3310" s="6"/>
      <c r="F3310" s="6" t="b">
        <f t="shared" si="1"/>
        <v>0</v>
      </c>
    </row>
    <row r="3311" ht="15.75" customHeight="1">
      <c r="A3311" s="7" t="s">
        <v>6298</v>
      </c>
      <c r="B3311" s="4" t="s">
        <v>6299</v>
      </c>
      <c r="C3311" s="5" t="s">
        <v>6</v>
      </c>
      <c r="D3311" s="6" t="s">
        <v>1644</v>
      </c>
      <c r="E3311" s="6"/>
      <c r="F3311" s="6" t="b">
        <f t="shared" si="1"/>
        <v>0</v>
      </c>
    </row>
    <row r="3312" ht="15.75" customHeight="1">
      <c r="A3312" s="7" t="s">
        <v>6300</v>
      </c>
      <c r="B3312" s="4" t="s">
        <v>6301</v>
      </c>
      <c r="C3312" s="5" t="s">
        <v>6</v>
      </c>
      <c r="D3312" s="6" t="s">
        <v>1644</v>
      </c>
      <c r="E3312" s="6"/>
      <c r="F3312" s="6" t="b">
        <f t="shared" si="1"/>
        <v>0</v>
      </c>
    </row>
    <row r="3313" ht="15.75" customHeight="1">
      <c r="A3313" s="3" t="s">
        <v>6302</v>
      </c>
      <c r="B3313" s="4"/>
      <c r="C3313" s="5"/>
      <c r="D3313" s="5"/>
      <c r="E3313" s="6"/>
      <c r="F3313" s="6" t="b">
        <f t="shared" si="1"/>
        <v>0</v>
      </c>
    </row>
    <row r="3314" ht="15.75" customHeight="1">
      <c r="A3314" s="7" t="s">
        <v>6303</v>
      </c>
      <c r="B3314" s="4" t="s">
        <v>6304</v>
      </c>
      <c r="C3314" s="5" t="s">
        <v>6</v>
      </c>
      <c r="D3314" s="6" t="s">
        <v>99</v>
      </c>
      <c r="E3314" s="6"/>
      <c r="F3314" s="6" t="b">
        <f t="shared" si="1"/>
        <v>0</v>
      </c>
    </row>
    <row r="3315" ht="15.75" customHeight="1">
      <c r="A3315" s="7" t="s">
        <v>6305</v>
      </c>
      <c r="B3315" s="4" t="s">
        <v>6306</v>
      </c>
      <c r="C3315" s="5" t="s">
        <v>6</v>
      </c>
      <c r="D3315" s="6" t="s">
        <v>99</v>
      </c>
      <c r="E3315" s="6"/>
      <c r="F3315" s="6" t="b">
        <f t="shared" si="1"/>
        <v>0</v>
      </c>
    </row>
    <row r="3316" ht="15.75" customHeight="1">
      <c r="A3316" s="7" t="s">
        <v>6307</v>
      </c>
      <c r="B3316" s="4" t="s">
        <v>6308</v>
      </c>
      <c r="C3316" s="5" t="s">
        <v>6</v>
      </c>
      <c r="D3316" s="6" t="s">
        <v>99</v>
      </c>
      <c r="E3316" s="6"/>
      <c r="F3316" s="6" t="b">
        <f t="shared" si="1"/>
        <v>0</v>
      </c>
    </row>
    <row r="3317" ht="15.75" customHeight="1">
      <c r="A3317" s="3" t="s">
        <v>6309</v>
      </c>
      <c r="B3317" s="4"/>
      <c r="C3317" s="5"/>
      <c r="D3317" s="5"/>
      <c r="E3317" s="6"/>
      <c r="F3317" s="6" t="b">
        <f t="shared" si="1"/>
        <v>0</v>
      </c>
    </row>
    <row r="3318" ht="15.75" customHeight="1">
      <c r="A3318" s="3" t="s">
        <v>6310</v>
      </c>
      <c r="B3318" s="4"/>
      <c r="C3318" s="5"/>
      <c r="D3318" s="5"/>
      <c r="E3318" s="6"/>
      <c r="F3318" s="6" t="b">
        <f t="shared" si="1"/>
        <v>0</v>
      </c>
    </row>
    <row r="3319" ht="15.75" customHeight="1">
      <c r="A3319" s="7" t="s">
        <v>6311</v>
      </c>
      <c r="B3319" s="4" t="s">
        <v>6312</v>
      </c>
      <c r="C3319" s="5" t="s">
        <v>6</v>
      </c>
      <c r="D3319" s="6" t="s">
        <v>99</v>
      </c>
      <c r="E3319" s="6"/>
      <c r="F3319" s="6" t="b">
        <f t="shared" si="1"/>
        <v>0</v>
      </c>
    </row>
    <row r="3320" ht="15.75" customHeight="1">
      <c r="A3320" s="3" t="s">
        <v>6313</v>
      </c>
      <c r="B3320" s="4"/>
      <c r="C3320" s="5"/>
      <c r="D3320" s="5"/>
      <c r="E3320" s="6"/>
      <c r="F3320" s="6" t="b">
        <f t="shared" si="1"/>
        <v>0</v>
      </c>
    </row>
    <row r="3321" ht="15.75" customHeight="1">
      <c r="A3321" s="3" t="s">
        <v>6314</v>
      </c>
      <c r="B3321" s="4"/>
      <c r="C3321" s="5"/>
      <c r="D3321" s="5"/>
      <c r="E3321" s="6"/>
      <c r="F3321" s="6" t="b">
        <f t="shared" si="1"/>
        <v>0</v>
      </c>
    </row>
    <row r="3322" ht="15.75" customHeight="1">
      <c r="A3322" s="3" t="s">
        <v>6315</v>
      </c>
      <c r="B3322" s="4"/>
      <c r="C3322" s="5"/>
      <c r="D3322" s="5"/>
      <c r="E3322" s="6"/>
      <c r="F3322" s="6" t="b">
        <f t="shared" si="1"/>
        <v>0</v>
      </c>
    </row>
    <row r="3323" ht="15.75" customHeight="1">
      <c r="A3323" s="3" t="s">
        <v>6316</v>
      </c>
      <c r="B3323" s="4"/>
      <c r="C3323" s="5"/>
      <c r="D3323" s="5"/>
      <c r="E3323" s="6"/>
      <c r="F3323" s="6" t="b">
        <f t="shared" si="1"/>
        <v>0</v>
      </c>
    </row>
    <row r="3324" ht="15.75" customHeight="1">
      <c r="A3324" s="3" t="s">
        <v>6317</v>
      </c>
      <c r="B3324" s="4"/>
      <c r="C3324" s="5"/>
      <c r="D3324" s="5"/>
      <c r="E3324" s="6"/>
      <c r="F3324" s="6" t="b">
        <f t="shared" si="1"/>
        <v>0</v>
      </c>
    </row>
    <row r="3325" ht="15.75" customHeight="1">
      <c r="A3325" s="3" t="s">
        <v>6318</v>
      </c>
      <c r="B3325" s="4"/>
      <c r="C3325" s="5"/>
      <c r="D3325" s="5"/>
      <c r="E3325" s="6"/>
      <c r="F3325" s="6" t="b">
        <f t="shared" si="1"/>
        <v>0</v>
      </c>
    </row>
    <row r="3326" ht="15.75" customHeight="1">
      <c r="A3326" s="3" t="s">
        <v>6319</v>
      </c>
      <c r="B3326" s="4"/>
      <c r="C3326" s="5"/>
      <c r="D3326" s="5"/>
      <c r="E3326" s="6"/>
      <c r="F3326" s="6" t="b">
        <f t="shared" si="1"/>
        <v>0</v>
      </c>
    </row>
    <row r="3327" ht="15.75" customHeight="1">
      <c r="A3327" s="3" t="s">
        <v>6320</v>
      </c>
      <c r="B3327" s="4"/>
      <c r="C3327" s="5"/>
      <c r="D3327" s="5"/>
      <c r="E3327" s="6"/>
      <c r="F3327" s="6" t="b">
        <f t="shared" si="1"/>
        <v>0</v>
      </c>
    </row>
    <row r="3328" ht="15.75" customHeight="1">
      <c r="A3328" s="3" t="s">
        <v>6321</v>
      </c>
      <c r="B3328" s="4"/>
      <c r="C3328" s="5"/>
      <c r="D3328" s="5"/>
      <c r="E3328" s="6"/>
      <c r="F3328" s="6" t="b">
        <f t="shared" si="1"/>
        <v>0</v>
      </c>
    </row>
    <row r="3329" ht="15.75" customHeight="1">
      <c r="A3329" s="3" t="s">
        <v>6322</v>
      </c>
      <c r="B3329" s="4"/>
      <c r="C3329" s="5"/>
      <c r="D3329" s="5"/>
      <c r="E3329" s="6"/>
      <c r="F3329" s="6" t="b">
        <f t="shared" si="1"/>
        <v>0</v>
      </c>
    </row>
    <row r="3330" ht="15.75" customHeight="1">
      <c r="A3330" s="7" t="s">
        <v>6323</v>
      </c>
      <c r="B3330" s="4" t="s">
        <v>6324</v>
      </c>
      <c r="C3330" s="5" t="s">
        <v>6</v>
      </c>
      <c r="D3330" s="6" t="s">
        <v>6325</v>
      </c>
      <c r="E3330" s="6"/>
      <c r="F3330" s="6" t="b">
        <f t="shared" si="1"/>
        <v>0</v>
      </c>
    </row>
    <row r="3331" ht="15.75" customHeight="1">
      <c r="A3331" s="3" t="s">
        <v>6326</v>
      </c>
      <c r="B3331" s="4"/>
      <c r="C3331" s="5"/>
      <c r="D3331" s="5"/>
      <c r="E3331" s="6"/>
      <c r="F3331" s="6" t="b">
        <f t="shared" si="1"/>
        <v>0</v>
      </c>
    </row>
    <row r="3332" ht="15.75" customHeight="1">
      <c r="A3332" s="3" t="s">
        <v>6327</v>
      </c>
      <c r="B3332" s="4"/>
      <c r="C3332" s="5"/>
      <c r="D3332" s="5"/>
      <c r="E3332" s="6"/>
      <c r="F3332" s="6" t="b">
        <f t="shared" si="1"/>
        <v>0</v>
      </c>
    </row>
    <row r="3333" ht="15.75" customHeight="1">
      <c r="A3333" s="10" t="s">
        <v>6328</v>
      </c>
      <c r="B3333" s="11"/>
      <c r="C3333" s="5"/>
      <c r="D3333" s="8"/>
      <c r="E3333" s="6"/>
      <c r="F3333" s="6" t="b">
        <f t="shared" si="1"/>
        <v>0</v>
      </c>
    </row>
    <row r="3334" ht="15.75" customHeight="1">
      <c r="A3334" s="3" t="s">
        <v>6329</v>
      </c>
      <c r="B3334" s="4"/>
      <c r="C3334" s="5"/>
      <c r="D3334" s="5"/>
      <c r="E3334" s="6"/>
      <c r="F3334" s="6" t="b">
        <f t="shared" si="1"/>
        <v>0</v>
      </c>
    </row>
    <row r="3335" ht="15.75" customHeight="1">
      <c r="A3335" s="3" t="s">
        <v>6330</v>
      </c>
      <c r="B3335" s="4"/>
      <c r="C3335" s="5"/>
      <c r="D3335" s="5"/>
      <c r="E3335" s="6"/>
      <c r="F3335" s="6" t="b">
        <f t="shared" si="1"/>
        <v>0</v>
      </c>
    </row>
    <row r="3336" ht="15.75" customHeight="1">
      <c r="A3336" s="3" t="s">
        <v>6331</v>
      </c>
      <c r="B3336" s="4"/>
      <c r="C3336" s="5"/>
      <c r="D3336" s="5"/>
      <c r="E3336" s="6"/>
      <c r="F3336" s="6" t="b">
        <f t="shared" si="1"/>
        <v>0</v>
      </c>
    </row>
    <row r="3337" ht="15.75" customHeight="1">
      <c r="A3337" s="3" t="s">
        <v>6332</v>
      </c>
      <c r="B3337" s="4"/>
      <c r="C3337" s="5"/>
      <c r="D3337" s="5"/>
      <c r="E3337" s="6"/>
      <c r="F3337" s="6" t="b">
        <f t="shared" si="1"/>
        <v>0</v>
      </c>
    </row>
    <row r="3338" ht="15.75" customHeight="1">
      <c r="A3338" s="3" t="s">
        <v>6333</v>
      </c>
      <c r="B3338" s="4"/>
      <c r="C3338" s="5"/>
      <c r="D3338" s="5"/>
      <c r="E3338" s="6"/>
      <c r="F3338" s="6" t="b">
        <f t="shared" si="1"/>
        <v>0</v>
      </c>
    </row>
    <row r="3339" ht="15.75" customHeight="1">
      <c r="A3339" s="3" t="s">
        <v>6334</v>
      </c>
      <c r="B3339" s="4"/>
      <c r="C3339" s="5"/>
      <c r="D3339" s="5"/>
      <c r="E3339" s="6"/>
      <c r="F3339" s="6" t="b">
        <f t="shared" si="1"/>
        <v>0</v>
      </c>
    </row>
    <row r="3340" ht="15.75" customHeight="1">
      <c r="A3340" s="3" t="s">
        <v>6335</v>
      </c>
      <c r="B3340" s="4"/>
      <c r="C3340" s="5"/>
      <c r="D3340" s="5"/>
      <c r="E3340" s="6"/>
      <c r="F3340" s="6" t="b">
        <f t="shared" si="1"/>
        <v>0</v>
      </c>
    </row>
    <row r="3341" ht="15.75" customHeight="1">
      <c r="A3341" s="3" t="s">
        <v>6336</v>
      </c>
      <c r="B3341" s="4"/>
      <c r="C3341" s="5"/>
      <c r="D3341" s="5"/>
      <c r="E3341" s="6"/>
      <c r="F3341" s="6" t="b">
        <f t="shared" si="1"/>
        <v>0</v>
      </c>
    </row>
    <row r="3342" ht="15.75" customHeight="1">
      <c r="A3342" s="3" t="s">
        <v>6337</v>
      </c>
      <c r="B3342" s="4"/>
      <c r="C3342" s="5"/>
      <c r="D3342" s="5"/>
      <c r="E3342" s="6"/>
      <c r="F3342" s="6" t="b">
        <f t="shared" si="1"/>
        <v>0</v>
      </c>
    </row>
    <row r="3343" ht="15.75" customHeight="1">
      <c r="A3343" s="3" t="s">
        <v>6338</v>
      </c>
      <c r="B3343" s="4"/>
      <c r="C3343" s="5"/>
      <c r="D3343" s="5"/>
      <c r="E3343" s="6"/>
      <c r="F3343" s="6" t="b">
        <f t="shared" si="1"/>
        <v>0</v>
      </c>
    </row>
    <row r="3344" ht="15.75" customHeight="1">
      <c r="A3344" s="3" t="s">
        <v>6339</v>
      </c>
      <c r="B3344" s="4"/>
      <c r="C3344" s="5"/>
      <c r="D3344" s="5"/>
      <c r="E3344" s="6"/>
      <c r="F3344" s="6" t="b">
        <f t="shared" si="1"/>
        <v>0</v>
      </c>
    </row>
    <row r="3345" ht="15.75" customHeight="1">
      <c r="A3345" s="3" t="s">
        <v>6340</v>
      </c>
      <c r="B3345" s="4"/>
      <c r="C3345" s="5"/>
      <c r="D3345" s="5"/>
      <c r="E3345" s="6"/>
      <c r="F3345" s="6" t="b">
        <f t="shared" si="1"/>
        <v>0</v>
      </c>
    </row>
    <row r="3346" ht="15.75" customHeight="1">
      <c r="A3346" s="7" t="s">
        <v>6341</v>
      </c>
      <c r="B3346" s="4" t="s">
        <v>6342</v>
      </c>
      <c r="C3346" s="5" t="s">
        <v>6</v>
      </c>
      <c r="D3346" s="6" t="s">
        <v>10</v>
      </c>
      <c r="E3346" s="6"/>
      <c r="F3346" s="6" t="b">
        <f t="shared" si="1"/>
        <v>0</v>
      </c>
    </row>
    <row r="3347" ht="15.75" customHeight="1">
      <c r="A3347" s="3" t="s">
        <v>6343</v>
      </c>
      <c r="B3347" s="4"/>
      <c r="C3347" s="5"/>
      <c r="D3347" s="5"/>
      <c r="E3347" s="6"/>
      <c r="F3347" s="6" t="b">
        <f t="shared" si="1"/>
        <v>0</v>
      </c>
    </row>
    <row r="3348" ht="15.75" customHeight="1">
      <c r="A3348" s="7" t="s">
        <v>6344</v>
      </c>
      <c r="B3348" s="4" t="s">
        <v>6345</v>
      </c>
      <c r="C3348" s="5" t="s">
        <v>6</v>
      </c>
      <c r="D3348" s="6" t="s">
        <v>10</v>
      </c>
      <c r="E3348" s="6"/>
      <c r="F3348" s="6" t="b">
        <f t="shared" si="1"/>
        <v>0</v>
      </c>
    </row>
    <row r="3349" ht="15.75" customHeight="1">
      <c r="A3349" s="3" t="s">
        <v>6346</v>
      </c>
      <c r="B3349" s="4"/>
      <c r="C3349" s="5"/>
      <c r="D3349" s="5"/>
      <c r="E3349" s="6"/>
      <c r="F3349" s="6" t="b">
        <f t="shared" si="1"/>
        <v>0</v>
      </c>
    </row>
    <row r="3350" ht="15.75" customHeight="1">
      <c r="A3350" s="7" t="s">
        <v>6347</v>
      </c>
      <c r="B3350" s="4" t="s">
        <v>6348</v>
      </c>
      <c r="C3350" s="5" t="s">
        <v>6</v>
      </c>
      <c r="D3350" s="6" t="s">
        <v>10</v>
      </c>
      <c r="E3350" s="6"/>
      <c r="F3350" s="6" t="b">
        <f t="shared" si="1"/>
        <v>0</v>
      </c>
    </row>
    <row r="3351" ht="15.75" customHeight="1">
      <c r="A3351" s="3" t="s">
        <v>6349</v>
      </c>
      <c r="B3351" s="4"/>
      <c r="C3351" s="5"/>
      <c r="D3351" s="5"/>
      <c r="E3351" s="6"/>
      <c r="F3351" s="6" t="b">
        <f t="shared" si="1"/>
        <v>0</v>
      </c>
    </row>
    <row r="3352" ht="15.75" customHeight="1">
      <c r="A3352" s="3" t="s">
        <v>6350</v>
      </c>
      <c r="B3352" s="4"/>
      <c r="C3352" s="5"/>
      <c r="D3352" s="5"/>
      <c r="E3352" s="6"/>
      <c r="F3352" s="6" t="b">
        <f t="shared" si="1"/>
        <v>0</v>
      </c>
    </row>
    <row r="3353" ht="15.75" customHeight="1">
      <c r="A3353" s="3" t="s">
        <v>6351</v>
      </c>
      <c r="B3353" s="4"/>
      <c r="C3353" s="5"/>
      <c r="D3353" s="5"/>
      <c r="E3353" s="6"/>
      <c r="F3353" s="6" t="b">
        <f t="shared" si="1"/>
        <v>0</v>
      </c>
    </row>
    <row r="3354" ht="15.75" customHeight="1">
      <c r="A3354" s="7" t="s">
        <v>6352</v>
      </c>
      <c r="B3354" s="4" t="s">
        <v>6353</v>
      </c>
      <c r="C3354" s="5" t="s">
        <v>6</v>
      </c>
      <c r="D3354" s="6" t="s">
        <v>895</v>
      </c>
      <c r="E3354" s="6"/>
      <c r="F3354" s="6" t="b">
        <f t="shared" si="1"/>
        <v>0</v>
      </c>
    </row>
    <row r="3355" ht="15.75" customHeight="1">
      <c r="A3355" s="7" t="s">
        <v>6354</v>
      </c>
      <c r="B3355" s="4" t="s">
        <v>6355</v>
      </c>
      <c r="C3355" s="5" t="s">
        <v>6</v>
      </c>
      <c r="D3355" s="6" t="s">
        <v>895</v>
      </c>
      <c r="E3355" s="6"/>
      <c r="F3355" s="6" t="b">
        <f t="shared" si="1"/>
        <v>0</v>
      </c>
    </row>
    <row r="3356" ht="15.75" customHeight="1">
      <c r="A3356" s="7" t="s">
        <v>6356</v>
      </c>
      <c r="B3356" s="4" t="s">
        <v>6357</v>
      </c>
      <c r="C3356" s="5" t="s">
        <v>6</v>
      </c>
      <c r="D3356" s="6" t="s">
        <v>895</v>
      </c>
      <c r="E3356" s="6"/>
      <c r="F3356" s="6" t="b">
        <f t="shared" si="1"/>
        <v>0</v>
      </c>
    </row>
    <row r="3357" ht="15.75" customHeight="1">
      <c r="A3357" s="7" t="s">
        <v>6358</v>
      </c>
      <c r="B3357" s="4" t="s">
        <v>6359</v>
      </c>
      <c r="C3357" s="5" t="s">
        <v>6</v>
      </c>
      <c r="D3357" s="6" t="s">
        <v>895</v>
      </c>
      <c r="E3357" s="6"/>
      <c r="F3357" s="6" t="b">
        <f t="shared" si="1"/>
        <v>0</v>
      </c>
    </row>
    <row r="3358" ht="15.75" customHeight="1">
      <c r="A3358" s="7" t="s">
        <v>6360</v>
      </c>
      <c r="B3358" s="4" t="s">
        <v>6361</v>
      </c>
      <c r="C3358" s="5" t="s">
        <v>6</v>
      </c>
      <c r="D3358" s="6" t="s">
        <v>895</v>
      </c>
      <c r="E3358" s="6"/>
      <c r="F3358" s="6" t="b">
        <f t="shared" si="1"/>
        <v>0</v>
      </c>
    </row>
    <row r="3359" ht="15.75" customHeight="1">
      <c r="A3359" s="7" t="s">
        <v>6362</v>
      </c>
      <c r="B3359" s="4" t="s">
        <v>6363</v>
      </c>
      <c r="C3359" s="5" t="s">
        <v>6</v>
      </c>
      <c r="D3359" s="6" t="s">
        <v>895</v>
      </c>
      <c r="E3359" s="6"/>
      <c r="F3359" s="6" t="b">
        <f t="shared" si="1"/>
        <v>0</v>
      </c>
    </row>
    <row r="3360" ht="15.75" customHeight="1">
      <c r="A3360" s="7" t="s">
        <v>6364</v>
      </c>
      <c r="B3360" s="4" t="s">
        <v>6365</v>
      </c>
      <c r="C3360" s="5" t="s">
        <v>6</v>
      </c>
      <c r="D3360" s="6" t="s">
        <v>895</v>
      </c>
      <c r="E3360" s="6"/>
      <c r="F3360" s="6" t="b">
        <f t="shared" si="1"/>
        <v>0</v>
      </c>
    </row>
    <row r="3361" ht="15.75" customHeight="1">
      <c r="A3361" s="3" t="s">
        <v>6366</v>
      </c>
      <c r="B3361" s="4"/>
      <c r="C3361" s="5"/>
      <c r="D3361" s="5"/>
      <c r="E3361" s="6"/>
      <c r="F3361" s="6" t="b">
        <f t="shared" si="1"/>
        <v>0</v>
      </c>
    </row>
    <row r="3362" ht="15.75" customHeight="1">
      <c r="A3362" s="7" t="s">
        <v>6367</v>
      </c>
      <c r="B3362" s="4" t="s">
        <v>6368</v>
      </c>
      <c r="C3362" s="5" t="s">
        <v>6</v>
      </c>
      <c r="D3362" s="6" t="s">
        <v>895</v>
      </c>
      <c r="E3362" s="6"/>
      <c r="F3362" s="6" t="b">
        <f t="shared" si="1"/>
        <v>0</v>
      </c>
    </row>
    <row r="3363" ht="15.75" customHeight="1">
      <c r="A3363" s="7" t="s">
        <v>6369</v>
      </c>
      <c r="B3363" s="4" t="s">
        <v>6370</v>
      </c>
      <c r="C3363" s="5" t="s">
        <v>6</v>
      </c>
      <c r="D3363" s="6" t="s">
        <v>895</v>
      </c>
      <c r="E3363" s="6"/>
      <c r="F3363" s="6" t="b">
        <f t="shared" si="1"/>
        <v>0</v>
      </c>
    </row>
    <row r="3364" ht="15.75" customHeight="1">
      <c r="A3364" s="7" t="s">
        <v>6371</v>
      </c>
      <c r="B3364" s="4" t="s">
        <v>6372</v>
      </c>
      <c r="C3364" s="5" t="s">
        <v>6</v>
      </c>
      <c r="D3364" s="6" t="s">
        <v>895</v>
      </c>
      <c r="E3364" s="6"/>
      <c r="F3364" s="6" t="b">
        <f t="shared" si="1"/>
        <v>0</v>
      </c>
    </row>
    <row r="3365" ht="15.75" customHeight="1">
      <c r="A3365" s="7" t="s">
        <v>6373</v>
      </c>
      <c r="B3365" s="4" t="s">
        <v>6374</v>
      </c>
      <c r="C3365" s="5" t="s">
        <v>6</v>
      </c>
      <c r="D3365" s="6" t="s">
        <v>895</v>
      </c>
      <c r="E3365" s="6"/>
      <c r="F3365" s="6" t="b">
        <f t="shared" si="1"/>
        <v>0</v>
      </c>
    </row>
    <row r="3366" ht="15.75" customHeight="1">
      <c r="A3366" s="3" t="s">
        <v>6375</v>
      </c>
      <c r="B3366" s="4"/>
      <c r="C3366" s="5"/>
      <c r="D3366" s="5"/>
      <c r="E3366" s="6"/>
      <c r="F3366" s="6" t="b">
        <f t="shared" si="1"/>
        <v>0</v>
      </c>
    </row>
    <row r="3367" ht="15.75" customHeight="1">
      <c r="A3367" s="3" t="s">
        <v>6376</v>
      </c>
      <c r="B3367" s="4"/>
      <c r="C3367" s="5"/>
      <c r="D3367" s="5"/>
      <c r="E3367" s="6"/>
      <c r="F3367" s="6" t="b">
        <f t="shared" si="1"/>
        <v>0</v>
      </c>
    </row>
    <row r="3368" ht="15.75" customHeight="1">
      <c r="A3368" s="3" t="s">
        <v>6377</v>
      </c>
      <c r="B3368" s="4"/>
      <c r="C3368" s="5"/>
      <c r="D3368" s="5"/>
      <c r="E3368" s="6"/>
      <c r="F3368" s="6" t="b">
        <f t="shared" si="1"/>
        <v>0</v>
      </c>
    </row>
    <row r="3369" ht="15.75" customHeight="1">
      <c r="A3369" s="3" t="s">
        <v>6378</v>
      </c>
      <c r="B3369" s="4"/>
      <c r="C3369" s="5"/>
      <c r="D3369" s="5"/>
      <c r="E3369" s="6"/>
      <c r="F3369" s="6" t="b">
        <f t="shared" si="1"/>
        <v>0</v>
      </c>
    </row>
    <row r="3370" ht="15.75" customHeight="1">
      <c r="A3370" s="3" t="s">
        <v>6379</v>
      </c>
      <c r="B3370" s="4"/>
      <c r="C3370" s="5"/>
      <c r="D3370" s="5"/>
      <c r="E3370" s="6"/>
      <c r="F3370" s="6" t="b">
        <f t="shared" si="1"/>
        <v>0</v>
      </c>
    </row>
    <row r="3371" ht="15.75" customHeight="1">
      <c r="A3371" s="3" t="s">
        <v>6380</v>
      </c>
      <c r="B3371" s="4"/>
      <c r="C3371" s="5"/>
      <c r="D3371" s="5"/>
      <c r="E3371" s="6"/>
      <c r="F3371" s="6" t="b">
        <f t="shared" si="1"/>
        <v>0</v>
      </c>
    </row>
    <row r="3372" ht="15.75" customHeight="1">
      <c r="A3372" s="7" t="s">
        <v>6381</v>
      </c>
      <c r="B3372" s="4" t="s">
        <v>6382</v>
      </c>
      <c r="C3372" s="5" t="s">
        <v>6</v>
      </c>
      <c r="D3372" s="6" t="s">
        <v>547</v>
      </c>
      <c r="E3372" s="6"/>
      <c r="F3372" s="6" t="b">
        <f t="shared" si="1"/>
        <v>0</v>
      </c>
    </row>
    <row r="3373" ht="15.75" customHeight="1">
      <c r="A3373" s="7" t="s">
        <v>6383</v>
      </c>
      <c r="B3373" s="4" t="s">
        <v>6384</v>
      </c>
      <c r="C3373" s="5" t="s">
        <v>6</v>
      </c>
      <c r="D3373" s="6" t="s">
        <v>547</v>
      </c>
      <c r="E3373" s="6"/>
      <c r="F3373" s="6" t="b">
        <f t="shared" si="1"/>
        <v>0</v>
      </c>
    </row>
    <row r="3374" ht="15.75" customHeight="1">
      <c r="A3374" s="7" t="s">
        <v>6385</v>
      </c>
      <c r="B3374" s="4" t="s">
        <v>6386</v>
      </c>
      <c r="C3374" s="5" t="s">
        <v>6</v>
      </c>
      <c r="D3374" s="6" t="s">
        <v>547</v>
      </c>
      <c r="E3374" s="6"/>
      <c r="F3374" s="6" t="b">
        <f t="shared" si="1"/>
        <v>0</v>
      </c>
    </row>
    <row r="3375" ht="15.75" customHeight="1">
      <c r="A3375" s="7" t="s">
        <v>6387</v>
      </c>
      <c r="B3375" s="4" t="s">
        <v>6388</v>
      </c>
      <c r="C3375" s="5" t="s">
        <v>6</v>
      </c>
      <c r="D3375" s="6" t="s">
        <v>547</v>
      </c>
      <c r="E3375" s="6"/>
      <c r="F3375" s="6" t="b">
        <f t="shared" si="1"/>
        <v>0</v>
      </c>
    </row>
    <row r="3376" ht="15.75" customHeight="1">
      <c r="A3376" s="7" t="s">
        <v>6389</v>
      </c>
      <c r="B3376" s="4" t="s">
        <v>6390</v>
      </c>
      <c r="C3376" s="5" t="s">
        <v>6</v>
      </c>
      <c r="D3376" s="6" t="s">
        <v>547</v>
      </c>
      <c r="E3376" s="6"/>
      <c r="F3376" s="6" t="b">
        <f t="shared" si="1"/>
        <v>0</v>
      </c>
    </row>
    <row r="3377" ht="15.75" customHeight="1">
      <c r="A3377" s="3" t="s">
        <v>6391</v>
      </c>
      <c r="B3377" s="4"/>
      <c r="C3377" s="5"/>
      <c r="D3377" s="5"/>
      <c r="E3377" s="6"/>
      <c r="F3377" s="6" t="b">
        <f t="shared" si="1"/>
        <v>0</v>
      </c>
    </row>
    <row r="3378" ht="15.75" customHeight="1">
      <c r="A3378" s="3" t="s">
        <v>6392</v>
      </c>
      <c r="B3378" s="4"/>
      <c r="C3378" s="5"/>
      <c r="D3378" s="5"/>
      <c r="E3378" s="6"/>
      <c r="F3378" s="6" t="b">
        <f t="shared" si="1"/>
        <v>0</v>
      </c>
    </row>
    <row r="3379" ht="15.75" customHeight="1">
      <c r="A3379" s="7" t="s">
        <v>6393</v>
      </c>
      <c r="B3379" s="4" t="s">
        <v>6394</v>
      </c>
      <c r="C3379" s="5" t="s">
        <v>6</v>
      </c>
      <c r="D3379" s="6" t="s">
        <v>1741</v>
      </c>
      <c r="E3379" s="6"/>
      <c r="F3379" s="6" t="b">
        <f t="shared" si="1"/>
        <v>0</v>
      </c>
    </row>
    <row r="3380" ht="15.75" customHeight="1">
      <c r="A3380" s="7" t="s">
        <v>6395</v>
      </c>
      <c r="B3380" s="4" t="s">
        <v>6396</v>
      </c>
      <c r="C3380" s="5" t="s">
        <v>6</v>
      </c>
      <c r="D3380" s="6" t="s">
        <v>1741</v>
      </c>
      <c r="E3380" s="6"/>
      <c r="F3380" s="6" t="b">
        <f t="shared" si="1"/>
        <v>0</v>
      </c>
    </row>
    <row r="3381" ht="15.75" customHeight="1">
      <c r="A3381" s="7" t="s">
        <v>6397</v>
      </c>
      <c r="B3381" s="4" t="s">
        <v>6398</v>
      </c>
      <c r="C3381" s="5" t="s">
        <v>6</v>
      </c>
      <c r="D3381" s="6" t="s">
        <v>1741</v>
      </c>
      <c r="E3381" s="6"/>
      <c r="F3381" s="6" t="b">
        <f t="shared" si="1"/>
        <v>0</v>
      </c>
    </row>
    <row r="3382" ht="15.75" customHeight="1">
      <c r="A3382" s="7" t="s">
        <v>6399</v>
      </c>
      <c r="B3382" s="4" t="s">
        <v>6400</v>
      </c>
      <c r="C3382" s="5" t="s">
        <v>6</v>
      </c>
      <c r="D3382" s="6" t="s">
        <v>1741</v>
      </c>
      <c r="E3382" s="6"/>
      <c r="F3382" s="6" t="b">
        <f t="shared" si="1"/>
        <v>0</v>
      </c>
    </row>
    <row r="3383" ht="15.75" customHeight="1">
      <c r="A3383" s="7" t="s">
        <v>6401</v>
      </c>
      <c r="B3383" s="4" t="s">
        <v>6402</v>
      </c>
      <c r="C3383" s="5" t="s">
        <v>6</v>
      </c>
      <c r="D3383" s="6" t="s">
        <v>86</v>
      </c>
      <c r="E3383" s="6"/>
      <c r="F3383" s="6" t="b">
        <f t="shared" si="1"/>
        <v>0</v>
      </c>
    </row>
    <row r="3384" ht="15.75" customHeight="1">
      <c r="A3384" s="7" t="s">
        <v>6403</v>
      </c>
      <c r="B3384" s="4" t="s">
        <v>6404</v>
      </c>
      <c r="C3384" s="5" t="s">
        <v>6</v>
      </c>
      <c r="D3384" s="6" t="s">
        <v>86</v>
      </c>
      <c r="E3384" s="6"/>
      <c r="F3384" s="6" t="b">
        <f t="shared" si="1"/>
        <v>0</v>
      </c>
    </row>
    <row r="3385" ht="15.75" customHeight="1">
      <c r="A3385" s="7" t="s">
        <v>6405</v>
      </c>
      <c r="B3385" s="4" t="s">
        <v>6406</v>
      </c>
      <c r="C3385" s="5" t="s">
        <v>6</v>
      </c>
      <c r="D3385" s="6" t="s">
        <v>86</v>
      </c>
      <c r="E3385" s="6"/>
      <c r="F3385" s="6" t="b">
        <f t="shared" si="1"/>
        <v>0</v>
      </c>
    </row>
    <row r="3386" ht="15.75" customHeight="1">
      <c r="A3386" s="7" t="s">
        <v>6407</v>
      </c>
      <c r="B3386" s="4" t="s">
        <v>6408</v>
      </c>
      <c r="C3386" s="5" t="s">
        <v>6</v>
      </c>
      <c r="D3386" s="6" t="s">
        <v>86</v>
      </c>
      <c r="E3386" s="6"/>
      <c r="F3386" s="6" t="b">
        <f t="shared" si="1"/>
        <v>0</v>
      </c>
    </row>
    <row r="3387" ht="15.75" customHeight="1">
      <c r="A3387" s="7" t="s">
        <v>6409</v>
      </c>
      <c r="B3387" s="4" t="s">
        <v>6410</v>
      </c>
      <c r="C3387" s="5" t="s">
        <v>6</v>
      </c>
      <c r="D3387" s="6" t="s">
        <v>86</v>
      </c>
      <c r="E3387" s="6"/>
      <c r="F3387" s="6" t="b">
        <f t="shared" si="1"/>
        <v>0</v>
      </c>
    </row>
    <row r="3388" ht="15.75" customHeight="1">
      <c r="A3388" s="7" t="s">
        <v>6411</v>
      </c>
      <c r="B3388" s="4" t="s">
        <v>6412</v>
      </c>
      <c r="C3388" s="5" t="s">
        <v>6</v>
      </c>
      <c r="D3388" s="6" t="s">
        <v>86</v>
      </c>
      <c r="E3388" s="6"/>
      <c r="F3388" s="6" t="b">
        <f t="shared" si="1"/>
        <v>0</v>
      </c>
    </row>
    <row r="3389" ht="15.75" customHeight="1">
      <c r="A3389" s="7" t="s">
        <v>6413</v>
      </c>
      <c r="B3389" s="4" t="s">
        <v>6414</v>
      </c>
      <c r="C3389" s="5" t="s">
        <v>6</v>
      </c>
      <c r="D3389" s="6" t="s">
        <v>86</v>
      </c>
      <c r="E3389" s="6"/>
      <c r="F3389" s="6" t="b">
        <f t="shared" si="1"/>
        <v>0</v>
      </c>
    </row>
    <row r="3390" ht="15.75" customHeight="1">
      <c r="A3390" s="7" t="s">
        <v>6415</v>
      </c>
      <c r="B3390" s="4" t="s">
        <v>6416</v>
      </c>
      <c r="C3390" s="5" t="s">
        <v>6</v>
      </c>
      <c r="D3390" s="6" t="s">
        <v>86</v>
      </c>
      <c r="E3390" s="6"/>
      <c r="F3390" s="6" t="b">
        <f t="shared" si="1"/>
        <v>0</v>
      </c>
    </row>
    <row r="3391" ht="15.75" customHeight="1">
      <c r="A3391" s="7" t="s">
        <v>6417</v>
      </c>
      <c r="B3391" s="4" t="s">
        <v>6418</v>
      </c>
      <c r="C3391" s="5" t="s">
        <v>6</v>
      </c>
      <c r="D3391" s="6" t="s">
        <v>86</v>
      </c>
      <c r="E3391" s="6"/>
      <c r="F3391" s="6" t="b">
        <f t="shared" si="1"/>
        <v>0</v>
      </c>
    </row>
    <row r="3392" ht="15.75" customHeight="1">
      <c r="A3392" s="7" t="s">
        <v>6419</v>
      </c>
      <c r="B3392" s="4" t="s">
        <v>6420</v>
      </c>
      <c r="C3392" s="5" t="s">
        <v>6</v>
      </c>
      <c r="D3392" s="6" t="s">
        <v>86</v>
      </c>
      <c r="E3392" s="6"/>
      <c r="F3392" s="6" t="b">
        <f t="shared" si="1"/>
        <v>0</v>
      </c>
    </row>
    <row r="3393" ht="15.75" customHeight="1">
      <c r="A3393" s="7" t="s">
        <v>6421</v>
      </c>
      <c r="B3393" s="4" t="s">
        <v>6422</v>
      </c>
      <c r="C3393" s="5" t="s">
        <v>6</v>
      </c>
      <c r="D3393" s="6" t="s">
        <v>86</v>
      </c>
      <c r="E3393" s="6"/>
      <c r="F3393" s="6" t="b">
        <f t="shared" si="1"/>
        <v>0</v>
      </c>
    </row>
    <row r="3394" ht="15.75" customHeight="1">
      <c r="A3394" s="7" t="s">
        <v>6423</v>
      </c>
      <c r="B3394" s="4" t="s">
        <v>6424</v>
      </c>
      <c r="C3394" s="5" t="s">
        <v>6</v>
      </c>
      <c r="D3394" s="6" t="s">
        <v>86</v>
      </c>
      <c r="E3394" s="6"/>
      <c r="F3394" s="6" t="b">
        <f t="shared" si="1"/>
        <v>0</v>
      </c>
    </row>
    <row r="3395" ht="15.75" customHeight="1">
      <c r="A3395" s="3" t="s">
        <v>6425</v>
      </c>
      <c r="B3395" s="4"/>
      <c r="C3395" s="5"/>
      <c r="D3395" s="5"/>
      <c r="E3395" s="6"/>
      <c r="F3395" s="6" t="b">
        <f t="shared" si="1"/>
        <v>0</v>
      </c>
    </row>
    <row r="3396" ht="15.75" customHeight="1">
      <c r="A3396" s="3" t="s">
        <v>6426</v>
      </c>
      <c r="B3396" s="4"/>
      <c r="C3396" s="5"/>
      <c r="D3396" s="5"/>
      <c r="E3396" s="6"/>
      <c r="F3396" s="6" t="b">
        <f t="shared" si="1"/>
        <v>0</v>
      </c>
    </row>
    <row r="3397" ht="15.75" customHeight="1">
      <c r="A3397" s="3" t="s">
        <v>6427</v>
      </c>
      <c r="B3397" s="4"/>
      <c r="C3397" s="5"/>
      <c r="D3397" s="5"/>
      <c r="E3397" s="6"/>
      <c r="F3397" s="6" t="b">
        <f t="shared" si="1"/>
        <v>0</v>
      </c>
    </row>
    <row r="3398" ht="15.75" customHeight="1">
      <c r="A3398" s="3" t="s">
        <v>6428</v>
      </c>
      <c r="B3398" s="4"/>
      <c r="C3398" s="5"/>
      <c r="D3398" s="5"/>
      <c r="E3398" s="6"/>
      <c r="F3398" s="6" t="b">
        <f t="shared" si="1"/>
        <v>0</v>
      </c>
    </row>
    <row r="3399" ht="15.75" customHeight="1">
      <c r="A3399" s="7" t="s">
        <v>6429</v>
      </c>
      <c r="B3399" s="4" t="s">
        <v>6430</v>
      </c>
      <c r="C3399" s="5" t="s">
        <v>6</v>
      </c>
      <c r="D3399" s="6" t="s">
        <v>731</v>
      </c>
      <c r="E3399" s="6"/>
      <c r="F3399" s="6" t="b">
        <f t="shared" si="1"/>
        <v>0</v>
      </c>
    </row>
    <row r="3400" ht="15.75" customHeight="1">
      <c r="A3400" s="7" t="s">
        <v>6431</v>
      </c>
      <c r="B3400" s="4" t="s">
        <v>6432</v>
      </c>
      <c r="C3400" s="5" t="s">
        <v>6</v>
      </c>
      <c r="D3400" s="6" t="s">
        <v>731</v>
      </c>
      <c r="E3400" s="6"/>
      <c r="F3400" s="6" t="b">
        <f t="shared" si="1"/>
        <v>0</v>
      </c>
    </row>
    <row r="3401" ht="15.75" customHeight="1">
      <c r="A3401" s="7" t="s">
        <v>6433</v>
      </c>
      <c r="B3401" s="4" t="s">
        <v>6434</v>
      </c>
      <c r="C3401" s="5" t="s">
        <v>6</v>
      </c>
      <c r="D3401" s="6" t="s">
        <v>731</v>
      </c>
      <c r="E3401" s="6"/>
      <c r="F3401" s="6" t="b">
        <f t="shared" si="1"/>
        <v>0</v>
      </c>
    </row>
    <row r="3402" ht="15.75" customHeight="1">
      <c r="A3402" s="7" t="s">
        <v>6435</v>
      </c>
      <c r="B3402" s="4" t="s">
        <v>6436</v>
      </c>
      <c r="C3402" s="5" t="s">
        <v>6</v>
      </c>
      <c r="D3402" s="6" t="s">
        <v>731</v>
      </c>
      <c r="E3402" s="6"/>
      <c r="F3402" s="6" t="b">
        <f t="shared" si="1"/>
        <v>0</v>
      </c>
    </row>
    <row r="3403" ht="15.75" customHeight="1">
      <c r="A3403" s="7" t="s">
        <v>6437</v>
      </c>
      <c r="B3403" s="4" t="s">
        <v>6438</v>
      </c>
      <c r="C3403" s="5" t="s">
        <v>6</v>
      </c>
      <c r="D3403" s="6" t="s">
        <v>731</v>
      </c>
      <c r="E3403" s="6"/>
      <c r="F3403" s="6" t="b">
        <f t="shared" si="1"/>
        <v>0</v>
      </c>
    </row>
    <row r="3404" ht="15.75" customHeight="1">
      <c r="A3404" s="7" t="s">
        <v>6439</v>
      </c>
      <c r="B3404" s="4" t="s">
        <v>6440</v>
      </c>
      <c r="C3404" s="5" t="s">
        <v>6</v>
      </c>
      <c r="D3404" s="6" t="s">
        <v>731</v>
      </c>
      <c r="E3404" s="6"/>
      <c r="F3404" s="6" t="b">
        <f t="shared" si="1"/>
        <v>0</v>
      </c>
    </row>
    <row r="3405" ht="15.75" customHeight="1">
      <c r="A3405" s="7" t="s">
        <v>6441</v>
      </c>
      <c r="B3405" s="4" t="s">
        <v>6442</v>
      </c>
      <c r="C3405" s="5" t="s">
        <v>6</v>
      </c>
      <c r="D3405" s="6" t="s">
        <v>731</v>
      </c>
      <c r="E3405" s="6"/>
      <c r="F3405" s="6" t="b">
        <f t="shared" si="1"/>
        <v>0</v>
      </c>
    </row>
    <row r="3406" ht="15.75" customHeight="1">
      <c r="A3406" s="3" t="s">
        <v>6443</v>
      </c>
      <c r="B3406" s="4"/>
      <c r="C3406" s="5"/>
      <c r="D3406" s="5"/>
      <c r="E3406" s="6"/>
      <c r="F3406" s="6" t="b">
        <f t="shared" si="1"/>
        <v>0</v>
      </c>
    </row>
    <row r="3407" ht="15.75" customHeight="1">
      <c r="A3407" s="7" t="s">
        <v>6444</v>
      </c>
      <c r="B3407" s="4" t="s">
        <v>6445</v>
      </c>
      <c r="C3407" s="5" t="s">
        <v>6</v>
      </c>
      <c r="D3407" s="6" t="s">
        <v>731</v>
      </c>
      <c r="E3407" s="6"/>
      <c r="F3407" s="6" t="b">
        <f t="shared" si="1"/>
        <v>0</v>
      </c>
    </row>
    <row r="3408" ht="15.75" customHeight="1">
      <c r="A3408" s="7" t="s">
        <v>6446</v>
      </c>
      <c r="B3408" s="4" t="s">
        <v>6447</v>
      </c>
      <c r="C3408" s="5" t="s">
        <v>6</v>
      </c>
      <c r="D3408" s="6" t="s">
        <v>731</v>
      </c>
      <c r="E3408" s="6"/>
      <c r="F3408" s="6" t="b">
        <f t="shared" si="1"/>
        <v>0</v>
      </c>
    </row>
    <row r="3409" ht="15.75" customHeight="1">
      <c r="A3409" s="7" t="s">
        <v>6448</v>
      </c>
      <c r="B3409" s="4" t="s">
        <v>6449</v>
      </c>
      <c r="C3409" s="5" t="s">
        <v>6</v>
      </c>
      <c r="D3409" s="6" t="s">
        <v>731</v>
      </c>
      <c r="E3409" s="6"/>
      <c r="F3409" s="6" t="b">
        <f t="shared" si="1"/>
        <v>0</v>
      </c>
    </row>
    <row r="3410" ht="15.75" customHeight="1">
      <c r="A3410" s="7" t="s">
        <v>6450</v>
      </c>
      <c r="B3410" s="4" t="s">
        <v>6451</v>
      </c>
      <c r="C3410" s="5" t="s">
        <v>6</v>
      </c>
      <c r="D3410" s="6" t="s">
        <v>731</v>
      </c>
      <c r="E3410" s="6"/>
      <c r="F3410" s="6" t="b">
        <f t="shared" si="1"/>
        <v>0</v>
      </c>
    </row>
    <row r="3411" ht="15.75" customHeight="1">
      <c r="A3411" s="7" t="s">
        <v>6452</v>
      </c>
      <c r="B3411" s="4" t="s">
        <v>6453</v>
      </c>
      <c r="C3411" s="5" t="s">
        <v>6</v>
      </c>
      <c r="D3411" s="6" t="s">
        <v>731</v>
      </c>
      <c r="E3411" s="6"/>
      <c r="F3411" s="6" t="b">
        <f t="shared" si="1"/>
        <v>0</v>
      </c>
    </row>
    <row r="3412" ht="15.75" customHeight="1">
      <c r="A3412" s="7" t="s">
        <v>6454</v>
      </c>
      <c r="B3412" s="4" t="s">
        <v>6455</v>
      </c>
      <c r="C3412" s="5" t="s">
        <v>6</v>
      </c>
      <c r="D3412" s="6" t="s">
        <v>731</v>
      </c>
      <c r="E3412" s="6"/>
      <c r="F3412" s="6" t="b">
        <f t="shared" si="1"/>
        <v>0</v>
      </c>
    </row>
    <row r="3413" ht="15.75" customHeight="1">
      <c r="A3413" s="7" t="s">
        <v>6456</v>
      </c>
      <c r="B3413" s="4" t="s">
        <v>6457</v>
      </c>
      <c r="C3413" s="5" t="s">
        <v>6</v>
      </c>
      <c r="D3413" s="6" t="s">
        <v>731</v>
      </c>
      <c r="E3413" s="6"/>
      <c r="F3413" s="6" t="b">
        <f t="shared" si="1"/>
        <v>0</v>
      </c>
    </row>
    <row r="3414" ht="15.75" customHeight="1">
      <c r="A3414" s="7" t="s">
        <v>6458</v>
      </c>
      <c r="B3414" s="4" t="s">
        <v>6459</v>
      </c>
      <c r="C3414" s="5" t="s">
        <v>6</v>
      </c>
      <c r="D3414" s="6" t="s">
        <v>731</v>
      </c>
      <c r="E3414" s="6"/>
      <c r="F3414" s="6" t="b">
        <f t="shared" si="1"/>
        <v>0</v>
      </c>
    </row>
    <row r="3415" ht="15.75" customHeight="1">
      <c r="A3415" s="3" t="s">
        <v>6460</v>
      </c>
      <c r="B3415" s="4"/>
      <c r="C3415" s="5"/>
      <c r="D3415" s="5"/>
      <c r="E3415" s="6"/>
      <c r="F3415" s="6" t="b">
        <f t="shared" si="1"/>
        <v>0</v>
      </c>
    </row>
    <row r="3416" ht="15.75" customHeight="1">
      <c r="A3416" s="3" t="s">
        <v>6461</v>
      </c>
      <c r="B3416" s="4"/>
      <c r="C3416" s="5"/>
      <c r="D3416" s="5"/>
      <c r="E3416" s="6"/>
      <c r="F3416" s="6" t="b">
        <f t="shared" si="1"/>
        <v>0</v>
      </c>
    </row>
    <row r="3417" ht="15.75" customHeight="1">
      <c r="A3417" s="3" t="s">
        <v>6462</v>
      </c>
      <c r="B3417" s="4"/>
      <c r="C3417" s="5"/>
      <c r="D3417" s="5"/>
      <c r="E3417" s="6"/>
      <c r="F3417" s="6" t="b">
        <f t="shared" si="1"/>
        <v>0</v>
      </c>
    </row>
    <row r="3418" ht="15.75" customHeight="1">
      <c r="A3418" s="3" t="s">
        <v>6463</v>
      </c>
      <c r="B3418" s="4"/>
      <c r="C3418" s="5"/>
      <c r="D3418" s="5"/>
      <c r="E3418" s="6"/>
      <c r="F3418" s="6" t="b">
        <f t="shared" si="1"/>
        <v>0</v>
      </c>
    </row>
    <row r="3419" ht="15.75" customHeight="1">
      <c r="A3419" s="3" t="s">
        <v>6464</v>
      </c>
      <c r="B3419" s="4"/>
      <c r="C3419" s="5"/>
      <c r="D3419" s="5"/>
      <c r="E3419" s="6"/>
      <c r="F3419" s="6" t="b">
        <f t="shared" si="1"/>
        <v>0</v>
      </c>
    </row>
    <row r="3420" ht="15.75" customHeight="1">
      <c r="A3420" s="3" t="s">
        <v>6465</v>
      </c>
      <c r="B3420" s="4"/>
      <c r="C3420" s="5"/>
      <c r="D3420" s="5"/>
      <c r="E3420" s="6"/>
      <c r="F3420" s="6" t="b">
        <f t="shared" si="1"/>
        <v>0</v>
      </c>
    </row>
    <row r="3421" ht="15.75" customHeight="1">
      <c r="A3421" s="3" t="s">
        <v>6466</v>
      </c>
      <c r="B3421" s="4"/>
      <c r="C3421" s="5"/>
      <c r="D3421" s="5"/>
      <c r="E3421" s="6"/>
      <c r="F3421" s="6" t="b">
        <f t="shared" si="1"/>
        <v>0</v>
      </c>
    </row>
    <row r="3422" ht="15.75" customHeight="1">
      <c r="A3422" s="7" t="s">
        <v>6467</v>
      </c>
      <c r="B3422" s="4" t="s">
        <v>6468</v>
      </c>
      <c r="C3422" s="5" t="s">
        <v>6</v>
      </c>
      <c r="D3422" s="6" t="s">
        <v>6469</v>
      </c>
      <c r="E3422" s="6"/>
      <c r="F3422" s="6" t="b">
        <f t="shared" si="1"/>
        <v>0</v>
      </c>
    </row>
    <row r="3423" ht="15.75" customHeight="1">
      <c r="A3423" s="7" t="s">
        <v>6470</v>
      </c>
      <c r="B3423" s="4" t="s">
        <v>6471</v>
      </c>
      <c r="C3423" s="5" t="s">
        <v>6</v>
      </c>
      <c r="D3423" s="6" t="s">
        <v>1040</v>
      </c>
      <c r="E3423" s="6"/>
      <c r="F3423" s="6" t="b">
        <f t="shared" si="1"/>
        <v>0</v>
      </c>
    </row>
    <row r="3424" ht="15.75" customHeight="1">
      <c r="A3424" s="7" t="s">
        <v>6472</v>
      </c>
      <c r="B3424" s="4" t="s">
        <v>1064</v>
      </c>
      <c r="C3424" s="5" t="s">
        <v>6</v>
      </c>
      <c r="D3424" s="6" t="s">
        <v>1040</v>
      </c>
      <c r="E3424" s="6"/>
      <c r="F3424" s="6" t="b">
        <f t="shared" si="1"/>
        <v>0</v>
      </c>
    </row>
    <row r="3425" ht="15.75" customHeight="1">
      <c r="A3425" s="7" t="s">
        <v>6473</v>
      </c>
      <c r="B3425" s="4" t="s">
        <v>6474</v>
      </c>
      <c r="C3425" s="5" t="s">
        <v>6</v>
      </c>
      <c r="D3425" s="6" t="s">
        <v>1040</v>
      </c>
      <c r="E3425" s="6"/>
      <c r="F3425" s="6" t="b">
        <f t="shared" si="1"/>
        <v>0</v>
      </c>
    </row>
    <row r="3426" ht="15.75" customHeight="1">
      <c r="A3426" s="7" t="s">
        <v>6475</v>
      </c>
      <c r="B3426" s="4" t="s">
        <v>6476</v>
      </c>
      <c r="C3426" s="5" t="s">
        <v>6</v>
      </c>
      <c r="D3426" s="6" t="s">
        <v>1040</v>
      </c>
      <c r="E3426" s="6"/>
      <c r="F3426" s="6" t="b">
        <f t="shared" si="1"/>
        <v>0</v>
      </c>
    </row>
    <row r="3427" ht="15.75" customHeight="1">
      <c r="A3427" s="7" t="s">
        <v>6477</v>
      </c>
      <c r="B3427" s="4" t="s">
        <v>6478</v>
      </c>
      <c r="C3427" s="5" t="s">
        <v>6</v>
      </c>
      <c r="D3427" s="6" t="s">
        <v>1040</v>
      </c>
      <c r="E3427" s="6"/>
      <c r="F3427" s="6" t="b">
        <f t="shared" si="1"/>
        <v>0</v>
      </c>
    </row>
    <row r="3428" ht="15.75" customHeight="1">
      <c r="A3428" s="7" t="s">
        <v>6479</v>
      </c>
      <c r="B3428" s="4" t="s">
        <v>6480</v>
      </c>
      <c r="C3428" s="5" t="s">
        <v>6</v>
      </c>
      <c r="D3428" s="6" t="s">
        <v>1040</v>
      </c>
      <c r="E3428" s="6"/>
      <c r="F3428" s="6" t="b">
        <f t="shared" si="1"/>
        <v>0</v>
      </c>
    </row>
    <row r="3429" ht="15.75" customHeight="1">
      <c r="A3429" s="7" t="s">
        <v>6481</v>
      </c>
      <c r="B3429" s="4" t="s">
        <v>6482</v>
      </c>
      <c r="C3429" s="5" t="s">
        <v>6</v>
      </c>
      <c r="D3429" s="6" t="s">
        <v>1040</v>
      </c>
      <c r="E3429" s="6"/>
      <c r="F3429" s="6" t="b">
        <f t="shared" si="1"/>
        <v>0</v>
      </c>
    </row>
    <row r="3430" ht="15.75" customHeight="1">
      <c r="A3430" s="7" t="s">
        <v>6483</v>
      </c>
      <c r="B3430" s="4" t="s">
        <v>6484</v>
      </c>
      <c r="C3430" s="5" t="s">
        <v>6</v>
      </c>
      <c r="D3430" s="6" t="s">
        <v>1040</v>
      </c>
      <c r="E3430" s="6"/>
      <c r="F3430" s="6" t="b">
        <f t="shared" si="1"/>
        <v>0</v>
      </c>
    </row>
    <row r="3431" ht="15.75" customHeight="1">
      <c r="A3431" s="7" t="s">
        <v>6485</v>
      </c>
      <c r="B3431" s="4" t="s">
        <v>6486</v>
      </c>
      <c r="C3431" s="5" t="s">
        <v>6</v>
      </c>
      <c r="D3431" s="6" t="s">
        <v>1040</v>
      </c>
      <c r="E3431" s="6"/>
      <c r="F3431" s="6" t="b">
        <f t="shared" si="1"/>
        <v>0</v>
      </c>
    </row>
    <row r="3432" ht="15.75" customHeight="1">
      <c r="A3432" s="7" t="s">
        <v>6487</v>
      </c>
      <c r="B3432" s="4" t="s">
        <v>6488</v>
      </c>
      <c r="C3432" s="5" t="s">
        <v>6</v>
      </c>
      <c r="D3432" s="6" t="s">
        <v>1040</v>
      </c>
      <c r="E3432" s="6"/>
      <c r="F3432" s="6" t="b">
        <f t="shared" si="1"/>
        <v>0</v>
      </c>
    </row>
    <row r="3433" ht="15.75" customHeight="1">
      <c r="A3433" s="7" t="s">
        <v>6489</v>
      </c>
      <c r="B3433" s="4" t="s">
        <v>6490</v>
      </c>
      <c r="C3433" s="5" t="s">
        <v>6</v>
      </c>
      <c r="D3433" s="6" t="s">
        <v>1040</v>
      </c>
      <c r="E3433" s="6"/>
      <c r="F3433" s="6" t="b">
        <f t="shared" si="1"/>
        <v>0</v>
      </c>
    </row>
    <row r="3434" ht="15.75" customHeight="1">
      <c r="A3434" s="7" t="s">
        <v>6491</v>
      </c>
      <c r="B3434" s="4" t="s">
        <v>6492</v>
      </c>
      <c r="C3434" s="5" t="s">
        <v>6</v>
      </c>
      <c r="D3434" s="6" t="s">
        <v>1040</v>
      </c>
      <c r="E3434" s="6"/>
      <c r="F3434" s="6" t="b">
        <f t="shared" si="1"/>
        <v>0</v>
      </c>
    </row>
    <row r="3435" ht="15.75" customHeight="1">
      <c r="A3435" s="7" t="s">
        <v>6493</v>
      </c>
      <c r="B3435" s="4" t="s">
        <v>6494</v>
      </c>
      <c r="C3435" s="5" t="s">
        <v>6</v>
      </c>
      <c r="D3435" s="6" t="s">
        <v>1040</v>
      </c>
      <c r="E3435" s="6"/>
      <c r="F3435" s="6" t="b">
        <f t="shared" si="1"/>
        <v>0</v>
      </c>
    </row>
    <row r="3436" ht="15.75" customHeight="1">
      <c r="A3436" s="7" t="s">
        <v>6495</v>
      </c>
      <c r="B3436" s="4" t="s">
        <v>6496</v>
      </c>
      <c r="C3436" s="5" t="s">
        <v>6</v>
      </c>
      <c r="D3436" s="6" t="s">
        <v>1040</v>
      </c>
      <c r="E3436" s="6"/>
      <c r="F3436" s="6" t="b">
        <f t="shared" si="1"/>
        <v>0</v>
      </c>
    </row>
    <row r="3437" ht="15.75" customHeight="1">
      <c r="A3437" s="7" t="s">
        <v>6497</v>
      </c>
      <c r="B3437" s="4" t="s">
        <v>6498</v>
      </c>
      <c r="C3437" s="5" t="s">
        <v>6</v>
      </c>
      <c r="D3437" s="6" t="s">
        <v>1040</v>
      </c>
      <c r="E3437" s="6"/>
      <c r="F3437" s="6" t="b">
        <f t="shared" si="1"/>
        <v>0</v>
      </c>
    </row>
    <row r="3438" ht="15.75" customHeight="1">
      <c r="A3438" s="3" t="s">
        <v>6499</v>
      </c>
      <c r="B3438" s="4"/>
      <c r="C3438" s="5"/>
      <c r="D3438" s="5"/>
      <c r="E3438" s="6"/>
      <c r="F3438" s="6" t="b">
        <f t="shared" si="1"/>
        <v>0</v>
      </c>
    </row>
    <row r="3439" ht="15.75" customHeight="1">
      <c r="A3439" s="3" t="s">
        <v>6500</v>
      </c>
      <c r="B3439" s="4"/>
      <c r="C3439" s="5"/>
      <c r="D3439" s="5"/>
      <c r="E3439" s="6"/>
      <c r="F3439" s="6" t="b">
        <f t="shared" si="1"/>
        <v>0</v>
      </c>
    </row>
    <row r="3440" ht="15.75" customHeight="1">
      <c r="A3440" s="3" t="s">
        <v>6501</v>
      </c>
      <c r="B3440" s="4"/>
      <c r="C3440" s="5"/>
      <c r="D3440" s="5"/>
      <c r="E3440" s="6"/>
      <c r="F3440" s="6" t="b">
        <f t="shared" si="1"/>
        <v>0</v>
      </c>
    </row>
    <row r="3441" ht="15.75" customHeight="1">
      <c r="A3441" s="3" t="s">
        <v>6502</v>
      </c>
      <c r="B3441" s="4"/>
      <c r="C3441" s="5"/>
      <c r="D3441" s="5"/>
      <c r="E3441" s="6"/>
      <c r="F3441" s="6" t="b">
        <f t="shared" si="1"/>
        <v>0</v>
      </c>
    </row>
    <row r="3442" ht="15.75" customHeight="1">
      <c r="A3442" s="7" t="s">
        <v>6503</v>
      </c>
      <c r="B3442" s="4" t="s">
        <v>6504</v>
      </c>
      <c r="C3442" s="5" t="s">
        <v>6</v>
      </c>
      <c r="D3442" s="6" t="s">
        <v>1998</v>
      </c>
      <c r="E3442" s="6"/>
      <c r="F3442" s="6" t="b">
        <f t="shared" si="1"/>
        <v>0</v>
      </c>
    </row>
    <row r="3443" ht="15.75" customHeight="1">
      <c r="A3443" s="7" t="s">
        <v>6505</v>
      </c>
      <c r="B3443" s="4" t="s">
        <v>6506</v>
      </c>
      <c r="C3443" s="5" t="s">
        <v>6</v>
      </c>
      <c r="D3443" s="6" t="s">
        <v>1998</v>
      </c>
      <c r="E3443" s="6"/>
      <c r="F3443" s="6" t="b">
        <f t="shared" si="1"/>
        <v>0</v>
      </c>
    </row>
    <row r="3444" ht="15.75" customHeight="1">
      <c r="A3444" s="7" t="s">
        <v>6507</v>
      </c>
      <c r="B3444" s="4" t="s">
        <v>6508</v>
      </c>
      <c r="C3444" s="5" t="s">
        <v>6</v>
      </c>
      <c r="D3444" s="6" t="s">
        <v>1998</v>
      </c>
      <c r="E3444" s="6"/>
      <c r="F3444" s="6" t="b">
        <f t="shared" si="1"/>
        <v>0</v>
      </c>
    </row>
    <row r="3445" ht="15.75" customHeight="1">
      <c r="A3445" s="3" t="s">
        <v>6509</v>
      </c>
      <c r="B3445" s="4"/>
      <c r="C3445" s="5"/>
      <c r="D3445" s="5"/>
      <c r="E3445" s="6"/>
      <c r="F3445" s="6" t="b">
        <f t="shared" si="1"/>
        <v>0</v>
      </c>
    </row>
    <row r="3446" ht="15.75" customHeight="1">
      <c r="A3446" s="7" t="s">
        <v>6510</v>
      </c>
      <c r="B3446" s="4" t="s">
        <v>6511</v>
      </c>
      <c r="C3446" s="5" t="s">
        <v>6</v>
      </c>
      <c r="D3446" s="6" t="s">
        <v>1998</v>
      </c>
      <c r="E3446" s="6"/>
      <c r="F3446" s="6" t="b">
        <f t="shared" si="1"/>
        <v>0</v>
      </c>
    </row>
    <row r="3447" ht="15.75" customHeight="1">
      <c r="A3447" s="7" t="s">
        <v>6512</v>
      </c>
      <c r="B3447" s="4" t="s">
        <v>6513</v>
      </c>
      <c r="C3447" s="5" t="s">
        <v>6</v>
      </c>
      <c r="D3447" s="6" t="s">
        <v>1998</v>
      </c>
      <c r="E3447" s="6"/>
      <c r="F3447" s="6" t="b">
        <f t="shared" si="1"/>
        <v>0</v>
      </c>
    </row>
    <row r="3448" ht="15.75" customHeight="1">
      <c r="A3448" s="7" t="s">
        <v>6514</v>
      </c>
      <c r="B3448" s="4" t="s">
        <v>6515</v>
      </c>
      <c r="C3448" s="5" t="s">
        <v>6</v>
      </c>
      <c r="D3448" s="6" t="s">
        <v>6516</v>
      </c>
      <c r="E3448" s="6"/>
      <c r="F3448" s="6" t="b">
        <f t="shared" si="1"/>
        <v>0</v>
      </c>
    </row>
    <row r="3449" ht="15.75" customHeight="1">
      <c r="A3449" s="7" t="s">
        <v>6517</v>
      </c>
      <c r="B3449" s="4" t="s">
        <v>6518</v>
      </c>
      <c r="C3449" s="5" t="s">
        <v>6</v>
      </c>
      <c r="D3449" s="6" t="s">
        <v>6516</v>
      </c>
      <c r="E3449" s="6"/>
      <c r="F3449" s="6" t="b">
        <f t="shared" si="1"/>
        <v>0</v>
      </c>
    </row>
    <row r="3450" ht="15.75" customHeight="1">
      <c r="A3450" s="3" t="s">
        <v>6519</v>
      </c>
      <c r="B3450" s="4"/>
      <c r="C3450" s="5"/>
      <c r="D3450" s="5"/>
      <c r="E3450" s="6"/>
      <c r="F3450" s="6" t="b">
        <f t="shared" si="1"/>
        <v>0</v>
      </c>
    </row>
    <row r="3451" ht="15.75" customHeight="1">
      <c r="A3451" s="7" t="s">
        <v>6520</v>
      </c>
      <c r="B3451" s="4" t="s">
        <v>6521</v>
      </c>
      <c r="C3451" s="5" t="s">
        <v>6</v>
      </c>
      <c r="D3451" s="6" t="s">
        <v>969</v>
      </c>
      <c r="E3451" s="6"/>
      <c r="F3451" s="6" t="b">
        <f t="shared" si="1"/>
        <v>0</v>
      </c>
    </row>
    <row r="3452" ht="15.75" customHeight="1">
      <c r="A3452" s="3" t="s">
        <v>6522</v>
      </c>
      <c r="B3452" s="4"/>
      <c r="C3452" s="5"/>
      <c r="D3452" s="5"/>
      <c r="E3452" s="6"/>
      <c r="F3452" s="6" t="b">
        <f t="shared" si="1"/>
        <v>0</v>
      </c>
    </row>
    <row r="3453" ht="15.75" customHeight="1">
      <c r="A3453" s="7" t="s">
        <v>6523</v>
      </c>
      <c r="B3453" s="4" t="s">
        <v>6524</v>
      </c>
      <c r="C3453" s="5" t="s">
        <v>6</v>
      </c>
      <c r="D3453" s="6" t="s">
        <v>969</v>
      </c>
      <c r="E3453" s="6"/>
      <c r="F3453" s="6" t="b">
        <f t="shared" si="1"/>
        <v>0</v>
      </c>
    </row>
    <row r="3454" ht="15.75" customHeight="1">
      <c r="A3454" s="3" t="s">
        <v>6525</v>
      </c>
      <c r="B3454" s="4"/>
      <c r="C3454" s="5"/>
      <c r="D3454" s="5"/>
      <c r="E3454" s="6"/>
      <c r="F3454" s="6" t="b">
        <f t="shared" si="1"/>
        <v>0</v>
      </c>
    </row>
    <row r="3455" ht="15.75" customHeight="1">
      <c r="A3455" s="3" t="s">
        <v>6526</v>
      </c>
      <c r="B3455" s="4"/>
      <c r="C3455" s="5"/>
      <c r="D3455" s="5"/>
      <c r="E3455" s="6"/>
      <c r="F3455" s="6" t="b">
        <f t="shared" si="1"/>
        <v>0</v>
      </c>
    </row>
    <row r="3456" ht="15.75" customHeight="1">
      <c r="A3456" s="7" t="s">
        <v>6527</v>
      </c>
      <c r="B3456" s="4" t="s">
        <v>6528</v>
      </c>
      <c r="C3456" s="5" t="s">
        <v>6</v>
      </c>
      <c r="D3456" s="6" t="s">
        <v>5582</v>
      </c>
      <c r="E3456" s="6"/>
      <c r="F3456" s="6" t="b">
        <f t="shared" si="1"/>
        <v>0</v>
      </c>
    </row>
    <row r="3457" ht="15.75" customHeight="1">
      <c r="A3457" s="7" t="s">
        <v>6529</v>
      </c>
      <c r="B3457" s="4" t="s">
        <v>6530</v>
      </c>
      <c r="C3457" s="5" t="s">
        <v>6</v>
      </c>
      <c r="D3457" s="6" t="s">
        <v>5582</v>
      </c>
      <c r="E3457" s="6"/>
      <c r="F3457" s="6" t="b">
        <f t="shared" si="1"/>
        <v>0</v>
      </c>
    </row>
    <row r="3458" ht="15.75" customHeight="1">
      <c r="A3458" s="7" t="s">
        <v>6531</v>
      </c>
      <c r="B3458" s="4" t="s">
        <v>6532</v>
      </c>
      <c r="C3458" s="5" t="s">
        <v>6</v>
      </c>
      <c r="D3458" s="6" t="s">
        <v>969</v>
      </c>
      <c r="E3458" s="6"/>
      <c r="F3458" s="6" t="b">
        <f t="shared" si="1"/>
        <v>0</v>
      </c>
    </row>
    <row r="3459" ht="15.75" customHeight="1">
      <c r="A3459" s="7" t="s">
        <v>6533</v>
      </c>
      <c r="B3459" s="11"/>
      <c r="C3459" s="5"/>
      <c r="D3459" s="5"/>
      <c r="E3459" s="6"/>
      <c r="F3459" s="6" t="b">
        <f t="shared" si="1"/>
        <v>0</v>
      </c>
    </row>
    <row r="3460" ht="15.75" customHeight="1">
      <c r="A3460" s="7" t="s">
        <v>6534</v>
      </c>
      <c r="B3460" s="11"/>
      <c r="C3460" s="5"/>
      <c r="D3460" s="5"/>
      <c r="E3460" s="6"/>
      <c r="F3460" s="6" t="b">
        <f t="shared" si="1"/>
        <v>0</v>
      </c>
    </row>
    <row r="3461" ht="15.75" customHeight="1">
      <c r="A3461" s="7" t="s">
        <v>6535</v>
      </c>
      <c r="B3461" s="11"/>
      <c r="C3461" s="5"/>
      <c r="D3461" s="5"/>
      <c r="E3461" s="6"/>
      <c r="F3461" s="6" t="b">
        <f t="shared" si="1"/>
        <v>0</v>
      </c>
    </row>
    <row r="3462" ht="15.75" customHeight="1">
      <c r="A3462" s="10" t="s">
        <v>6536</v>
      </c>
      <c r="B3462" s="11"/>
      <c r="C3462" s="5"/>
      <c r="D3462" s="8"/>
      <c r="E3462" s="6"/>
      <c r="F3462" s="6" t="b">
        <f t="shared" si="1"/>
        <v>0</v>
      </c>
    </row>
    <row r="3463" ht="15.75" customHeight="1">
      <c r="A3463" s="10" t="s">
        <v>6537</v>
      </c>
      <c r="B3463" s="11"/>
      <c r="C3463" s="5"/>
      <c r="D3463" s="8"/>
      <c r="E3463" s="6"/>
      <c r="F3463" s="6" t="b">
        <f t="shared" si="1"/>
        <v>0</v>
      </c>
    </row>
    <row r="3464" ht="15.75" customHeight="1">
      <c r="A3464" s="7" t="s">
        <v>6538</v>
      </c>
      <c r="B3464" s="11"/>
      <c r="C3464" s="5"/>
      <c r="D3464" s="5"/>
      <c r="E3464" s="6"/>
      <c r="F3464" s="6" t="b">
        <f t="shared" si="1"/>
        <v>0</v>
      </c>
    </row>
    <row r="3465" ht="15.75" customHeight="1">
      <c r="A3465" s="3" t="s">
        <v>6539</v>
      </c>
      <c r="B3465" s="4"/>
      <c r="C3465" s="5"/>
      <c r="D3465" s="5"/>
      <c r="E3465" s="6"/>
      <c r="F3465" s="6" t="b">
        <f t="shared" si="1"/>
        <v>0</v>
      </c>
    </row>
    <row r="3466" ht="15.75" customHeight="1">
      <c r="A3466" s="10" t="s">
        <v>6540</v>
      </c>
      <c r="B3466" s="11"/>
      <c r="C3466" s="5"/>
      <c r="D3466" s="8"/>
      <c r="E3466" s="6"/>
      <c r="F3466" s="6" t="b">
        <f t="shared" si="1"/>
        <v>0</v>
      </c>
    </row>
    <row r="3467" ht="15.75" customHeight="1">
      <c r="A3467" s="7" t="s">
        <v>6541</v>
      </c>
      <c r="B3467" s="4" t="s">
        <v>6542</v>
      </c>
      <c r="C3467" s="5" t="s">
        <v>6</v>
      </c>
      <c r="D3467" s="6" t="s">
        <v>2662</v>
      </c>
      <c r="E3467" s="6"/>
      <c r="F3467" s="6" t="b">
        <f t="shared" si="1"/>
        <v>0</v>
      </c>
    </row>
    <row r="3468" ht="15.75" customHeight="1">
      <c r="A3468" s="7" t="s">
        <v>6543</v>
      </c>
      <c r="B3468" s="4" t="s">
        <v>6544</v>
      </c>
      <c r="C3468" s="5" t="s">
        <v>16</v>
      </c>
      <c r="D3468" s="6" t="s">
        <v>6545</v>
      </c>
      <c r="E3468" s="6"/>
      <c r="F3468" s="6" t="b">
        <f t="shared" si="1"/>
        <v>0</v>
      </c>
    </row>
    <row r="3469" ht="15.75" customHeight="1">
      <c r="A3469" s="7" t="s">
        <v>6546</v>
      </c>
      <c r="B3469" s="4" t="s">
        <v>6547</v>
      </c>
      <c r="C3469" s="5" t="s">
        <v>6</v>
      </c>
      <c r="D3469" s="6" t="s">
        <v>6548</v>
      </c>
      <c r="E3469" s="6"/>
      <c r="F3469" s="6" t="b">
        <f t="shared" si="1"/>
        <v>0</v>
      </c>
    </row>
    <row r="3470" ht="15.75" customHeight="1">
      <c r="A3470" s="7" t="s">
        <v>6549</v>
      </c>
      <c r="B3470" s="4" t="s">
        <v>6550</v>
      </c>
      <c r="C3470" s="5" t="s">
        <v>6</v>
      </c>
      <c r="D3470" s="6" t="s">
        <v>2141</v>
      </c>
      <c r="E3470" s="6"/>
      <c r="F3470" s="6" t="b">
        <f t="shared" si="1"/>
        <v>0</v>
      </c>
    </row>
    <row r="3471" ht="15.75" customHeight="1">
      <c r="A3471" s="7" t="s">
        <v>6551</v>
      </c>
      <c r="B3471" s="4" t="s">
        <v>6552</v>
      </c>
      <c r="C3471" s="8"/>
      <c r="D3471" s="6" t="s">
        <v>36</v>
      </c>
      <c r="E3471" s="6"/>
      <c r="F3471" s="6" t="b">
        <f t="shared" si="1"/>
        <v>0</v>
      </c>
    </row>
    <row r="3472" ht="15.75" customHeight="1">
      <c r="A3472" s="7" t="s">
        <v>6553</v>
      </c>
      <c r="B3472" s="4" t="s">
        <v>6554</v>
      </c>
      <c r="C3472" s="5" t="s">
        <v>6</v>
      </c>
      <c r="D3472" s="6" t="s">
        <v>6548</v>
      </c>
      <c r="E3472" s="6"/>
      <c r="F3472" s="6" t="b">
        <f t="shared" si="1"/>
        <v>0</v>
      </c>
    </row>
    <row r="3473" ht="15.75" customHeight="1">
      <c r="A3473" s="7" t="s">
        <v>6555</v>
      </c>
      <c r="B3473" s="4" t="s">
        <v>6556</v>
      </c>
      <c r="C3473" s="5" t="s">
        <v>6</v>
      </c>
      <c r="D3473" s="6" t="s">
        <v>2141</v>
      </c>
      <c r="E3473" s="6"/>
      <c r="F3473" s="6" t="b">
        <f t="shared" si="1"/>
        <v>0</v>
      </c>
    </row>
    <row r="3474" ht="15.75" customHeight="1">
      <c r="A3474" s="7" t="s">
        <v>6557</v>
      </c>
      <c r="B3474" s="4" t="s">
        <v>6558</v>
      </c>
      <c r="C3474" s="5" t="s">
        <v>6</v>
      </c>
      <c r="D3474" s="6" t="s">
        <v>2141</v>
      </c>
      <c r="E3474" s="6"/>
      <c r="F3474" s="6" t="b">
        <f t="shared" si="1"/>
        <v>0</v>
      </c>
    </row>
    <row r="3475" ht="15.75" customHeight="1">
      <c r="A3475" s="7" t="s">
        <v>6559</v>
      </c>
      <c r="B3475" s="4" t="s">
        <v>6560</v>
      </c>
      <c r="C3475" s="5" t="s">
        <v>6</v>
      </c>
      <c r="D3475" s="6" t="s">
        <v>2141</v>
      </c>
      <c r="E3475" s="6"/>
      <c r="F3475" s="6" t="b">
        <f t="shared" si="1"/>
        <v>0</v>
      </c>
    </row>
    <row r="3476" ht="15.75" customHeight="1">
      <c r="A3476" s="7" t="s">
        <v>6561</v>
      </c>
      <c r="B3476" s="4" t="s">
        <v>6562</v>
      </c>
      <c r="C3476" s="8"/>
      <c r="D3476" s="6" t="s">
        <v>36</v>
      </c>
      <c r="E3476" s="6"/>
      <c r="F3476" s="6" t="b">
        <f t="shared" si="1"/>
        <v>0</v>
      </c>
    </row>
    <row r="3477" ht="15.75" customHeight="1">
      <c r="A3477" s="7" t="s">
        <v>6563</v>
      </c>
      <c r="B3477" s="4" t="s">
        <v>6564</v>
      </c>
      <c r="C3477" s="8"/>
      <c r="D3477" s="6" t="s">
        <v>36</v>
      </c>
      <c r="E3477" s="6"/>
      <c r="F3477" s="6" t="b">
        <f t="shared" si="1"/>
        <v>0</v>
      </c>
    </row>
    <row r="3478" ht="15.75" customHeight="1">
      <c r="A3478" s="3" t="s">
        <v>6565</v>
      </c>
      <c r="B3478" s="4"/>
      <c r="C3478" s="5"/>
      <c r="D3478" s="5"/>
      <c r="E3478" s="6"/>
      <c r="F3478" s="6" t="b">
        <f t="shared" si="1"/>
        <v>0</v>
      </c>
    </row>
    <row r="3479" ht="15.75" customHeight="1">
      <c r="A3479" s="7" t="s">
        <v>6566</v>
      </c>
      <c r="B3479" s="4" t="s">
        <v>6567</v>
      </c>
      <c r="C3479" s="5" t="s">
        <v>6</v>
      </c>
      <c r="D3479" s="6" t="s">
        <v>1939</v>
      </c>
      <c r="E3479" s="6"/>
      <c r="F3479" s="6" t="b">
        <f t="shared" si="1"/>
        <v>0</v>
      </c>
    </row>
    <row r="3480" ht="15.75" customHeight="1">
      <c r="A3480" s="7" t="s">
        <v>6568</v>
      </c>
      <c r="B3480" s="4" t="s">
        <v>6569</v>
      </c>
      <c r="C3480" s="8"/>
      <c r="D3480" s="6" t="s">
        <v>36</v>
      </c>
      <c r="E3480" s="6"/>
      <c r="F3480" s="6" t="b">
        <f t="shared" si="1"/>
        <v>0</v>
      </c>
    </row>
    <row r="3481" ht="15.75" customHeight="1">
      <c r="A3481" s="7" t="s">
        <v>6570</v>
      </c>
      <c r="B3481" s="4" t="s">
        <v>6571</v>
      </c>
      <c r="C3481" s="5" t="s">
        <v>6</v>
      </c>
      <c r="D3481" s="6" t="s">
        <v>2325</v>
      </c>
      <c r="E3481" s="6"/>
      <c r="F3481" s="6" t="b">
        <f t="shared" si="1"/>
        <v>0</v>
      </c>
    </row>
    <row r="3482" ht="15.75" customHeight="1">
      <c r="A3482" s="3" t="s">
        <v>6572</v>
      </c>
      <c r="B3482" s="4"/>
      <c r="C3482" s="5"/>
      <c r="D3482" s="5"/>
      <c r="E3482" s="6"/>
      <c r="F3482" s="6" t="b">
        <f t="shared" si="1"/>
        <v>0</v>
      </c>
    </row>
    <row r="3483" ht="15.75" customHeight="1">
      <c r="A3483" s="7" t="s">
        <v>6573</v>
      </c>
      <c r="B3483" s="4" t="s">
        <v>6574</v>
      </c>
      <c r="C3483" s="5" t="s">
        <v>6</v>
      </c>
      <c r="D3483" s="6" t="s">
        <v>881</v>
      </c>
      <c r="E3483" s="6"/>
      <c r="F3483" s="6" t="b">
        <f t="shared" si="1"/>
        <v>0</v>
      </c>
    </row>
    <row r="3484" ht="15.75" customHeight="1">
      <c r="A3484" s="3" t="s">
        <v>6575</v>
      </c>
      <c r="B3484" s="4"/>
      <c r="C3484" s="5"/>
      <c r="D3484" s="5"/>
      <c r="E3484" s="6"/>
      <c r="F3484" s="6" t="b">
        <f t="shared" si="1"/>
        <v>0</v>
      </c>
    </row>
    <row r="3485" ht="15.75" customHeight="1">
      <c r="A3485" s="7" t="s">
        <v>6576</v>
      </c>
      <c r="B3485" s="4" t="s">
        <v>6577</v>
      </c>
      <c r="C3485" s="6"/>
      <c r="D3485" s="6" t="s">
        <v>70</v>
      </c>
      <c r="E3485" s="6"/>
      <c r="F3485" s="6" t="b">
        <f t="shared" si="1"/>
        <v>0</v>
      </c>
    </row>
    <row r="3486" ht="15.75" customHeight="1">
      <c r="A3486" s="7" t="s">
        <v>6578</v>
      </c>
      <c r="B3486" s="4" t="s">
        <v>6579</v>
      </c>
      <c r="C3486" s="5" t="s">
        <v>6</v>
      </c>
      <c r="D3486" s="6" t="s">
        <v>2662</v>
      </c>
      <c r="E3486" s="6"/>
      <c r="F3486" s="6" t="b">
        <f t="shared" si="1"/>
        <v>0</v>
      </c>
    </row>
    <row r="3487" ht="15.75" customHeight="1">
      <c r="A3487" s="3" t="s">
        <v>6580</v>
      </c>
      <c r="B3487" s="4"/>
      <c r="C3487" s="5"/>
      <c r="D3487" s="5"/>
      <c r="E3487" s="6"/>
      <c r="F3487" s="6" t="b">
        <f t="shared" si="1"/>
        <v>0</v>
      </c>
    </row>
    <row r="3488" ht="15.75" customHeight="1">
      <c r="A3488" s="3" t="s">
        <v>6581</v>
      </c>
      <c r="B3488" s="4"/>
      <c r="C3488" s="5"/>
      <c r="D3488" s="5"/>
      <c r="E3488" s="6"/>
      <c r="F3488" s="6" t="b">
        <f t="shared" si="1"/>
        <v>0</v>
      </c>
    </row>
    <row r="3489" ht="15.75" customHeight="1">
      <c r="A3489" s="7" t="s">
        <v>6582</v>
      </c>
      <c r="B3489" s="4" t="s">
        <v>6583</v>
      </c>
      <c r="C3489" s="5" t="s">
        <v>6</v>
      </c>
      <c r="D3489" s="6" t="s">
        <v>1939</v>
      </c>
      <c r="E3489" s="6"/>
      <c r="F3489" s="6" t="b">
        <f t="shared" si="1"/>
        <v>0</v>
      </c>
    </row>
    <row r="3490" ht="15.75" customHeight="1">
      <c r="A3490" s="7" t="s">
        <v>6584</v>
      </c>
      <c r="B3490" s="4" t="s">
        <v>6585</v>
      </c>
      <c r="C3490" s="5" t="s">
        <v>6</v>
      </c>
      <c r="D3490" s="6" t="s">
        <v>2662</v>
      </c>
      <c r="E3490" s="6"/>
      <c r="F3490" s="6" t="b">
        <f t="shared" si="1"/>
        <v>0</v>
      </c>
    </row>
    <row r="3491" ht="15.75" customHeight="1">
      <c r="A3491" s="7" t="s">
        <v>6586</v>
      </c>
      <c r="B3491" s="4" t="s">
        <v>6587</v>
      </c>
      <c r="C3491" s="5" t="s">
        <v>6</v>
      </c>
      <c r="D3491" s="6" t="s">
        <v>2662</v>
      </c>
      <c r="E3491" s="6"/>
      <c r="F3491" s="6" t="b">
        <f t="shared" si="1"/>
        <v>0</v>
      </c>
    </row>
    <row r="3492" ht="15.75" customHeight="1">
      <c r="A3492" s="7" t="s">
        <v>6588</v>
      </c>
      <c r="B3492" s="4" t="s">
        <v>6589</v>
      </c>
      <c r="C3492" s="5" t="s">
        <v>6</v>
      </c>
      <c r="D3492" s="6" t="s">
        <v>1939</v>
      </c>
      <c r="E3492" s="6"/>
      <c r="F3492" s="6" t="b">
        <f t="shared" si="1"/>
        <v>0</v>
      </c>
    </row>
    <row r="3493" ht="15.75" customHeight="1">
      <c r="A3493" s="7" t="s">
        <v>6590</v>
      </c>
      <c r="B3493" s="4" t="s">
        <v>6591</v>
      </c>
      <c r="C3493" s="5" t="s">
        <v>6</v>
      </c>
      <c r="D3493" s="6" t="s">
        <v>1939</v>
      </c>
      <c r="E3493" s="6"/>
      <c r="F3493" s="6" t="b">
        <f t="shared" si="1"/>
        <v>0</v>
      </c>
    </row>
    <row r="3494" ht="15.75" customHeight="1">
      <c r="A3494" s="7" t="s">
        <v>6592</v>
      </c>
      <c r="B3494" s="4" t="s">
        <v>6593</v>
      </c>
      <c r="C3494" s="5" t="s">
        <v>6</v>
      </c>
      <c r="D3494" s="6" t="s">
        <v>1939</v>
      </c>
      <c r="E3494" s="6"/>
      <c r="F3494" s="6" t="b">
        <f t="shared" si="1"/>
        <v>0</v>
      </c>
    </row>
    <row r="3495" ht="15.75" customHeight="1">
      <c r="A3495" s="7" t="s">
        <v>6594</v>
      </c>
      <c r="B3495" s="4" t="s">
        <v>6595</v>
      </c>
      <c r="C3495" s="5" t="s">
        <v>6</v>
      </c>
      <c r="D3495" s="6" t="s">
        <v>1939</v>
      </c>
      <c r="E3495" s="6"/>
      <c r="F3495" s="6" t="b">
        <f t="shared" si="1"/>
        <v>0</v>
      </c>
    </row>
    <row r="3496" ht="15.75" customHeight="1">
      <c r="A3496" s="7" t="s">
        <v>6596</v>
      </c>
      <c r="B3496" s="4" t="s">
        <v>6597</v>
      </c>
      <c r="C3496" s="5" t="s">
        <v>6</v>
      </c>
      <c r="D3496" s="6" t="s">
        <v>2662</v>
      </c>
      <c r="E3496" s="6"/>
      <c r="F3496" s="6" t="b">
        <f t="shared" si="1"/>
        <v>0</v>
      </c>
    </row>
    <row r="3497" ht="15.75" customHeight="1">
      <c r="A3497" s="7" t="s">
        <v>6598</v>
      </c>
      <c r="B3497" s="4" t="s">
        <v>6599</v>
      </c>
      <c r="C3497" s="5" t="s">
        <v>6</v>
      </c>
      <c r="D3497" s="6" t="s">
        <v>1939</v>
      </c>
      <c r="E3497" s="6"/>
      <c r="F3497" s="6" t="b">
        <f t="shared" si="1"/>
        <v>0</v>
      </c>
    </row>
    <row r="3498" ht="15.75" customHeight="1">
      <c r="A3498" s="7" t="s">
        <v>6600</v>
      </c>
      <c r="B3498" s="4" t="s">
        <v>6601</v>
      </c>
      <c r="C3498" s="5" t="s">
        <v>6</v>
      </c>
      <c r="D3498" s="6" t="s">
        <v>1939</v>
      </c>
      <c r="E3498" s="6"/>
      <c r="F3498" s="6" t="b">
        <f t="shared" si="1"/>
        <v>0</v>
      </c>
    </row>
    <row r="3499" ht="15.75" customHeight="1">
      <c r="A3499" s="7" t="s">
        <v>6602</v>
      </c>
      <c r="B3499" s="4" t="s">
        <v>6603</v>
      </c>
      <c r="C3499" s="5" t="s">
        <v>6</v>
      </c>
      <c r="D3499" s="6" t="s">
        <v>1939</v>
      </c>
      <c r="E3499" s="6"/>
      <c r="F3499" s="6" t="b">
        <f t="shared" si="1"/>
        <v>0</v>
      </c>
    </row>
    <row r="3500" ht="15.75" customHeight="1">
      <c r="A3500" s="7" t="s">
        <v>6604</v>
      </c>
      <c r="B3500" s="4" t="s">
        <v>6605</v>
      </c>
      <c r="C3500" s="5" t="s">
        <v>6</v>
      </c>
      <c r="D3500" s="6" t="s">
        <v>1939</v>
      </c>
      <c r="E3500" s="6"/>
      <c r="F3500" s="6" t="b">
        <f t="shared" si="1"/>
        <v>0</v>
      </c>
    </row>
    <row r="3501" ht="15.75" customHeight="1">
      <c r="A3501" s="7" t="s">
        <v>6606</v>
      </c>
      <c r="B3501" s="4" t="s">
        <v>6607</v>
      </c>
      <c r="C3501" s="5" t="s">
        <v>6</v>
      </c>
      <c r="D3501" s="6" t="s">
        <v>1939</v>
      </c>
      <c r="E3501" s="6"/>
      <c r="F3501" s="6" t="b">
        <f t="shared" si="1"/>
        <v>0</v>
      </c>
    </row>
    <row r="3502" ht="15.75" customHeight="1">
      <c r="A3502" s="7" t="s">
        <v>6608</v>
      </c>
      <c r="B3502" s="4" t="s">
        <v>6609</v>
      </c>
      <c r="C3502" s="5" t="s">
        <v>6</v>
      </c>
      <c r="D3502" s="6" t="s">
        <v>1939</v>
      </c>
      <c r="E3502" s="6"/>
      <c r="F3502" s="6" t="b">
        <f t="shared" si="1"/>
        <v>0</v>
      </c>
    </row>
    <row r="3503" ht="15.75" customHeight="1">
      <c r="A3503" s="7" t="s">
        <v>6610</v>
      </c>
      <c r="B3503" s="4" t="s">
        <v>6611</v>
      </c>
      <c r="C3503" s="5" t="s">
        <v>6</v>
      </c>
      <c r="D3503" s="6" t="s">
        <v>6612</v>
      </c>
      <c r="E3503" s="6"/>
      <c r="F3503" s="6" t="b">
        <f t="shared" si="1"/>
        <v>0</v>
      </c>
    </row>
    <row r="3504" ht="15.75" customHeight="1">
      <c r="A3504" s="7" t="s">
        <v>6613</v>
      </c>
      <c r="B3504" s="4" t="s">
        <v>6614</v>
      </c>
      <c r="C3504" s="5" t="s">
        <v>16</v>
      </c>
      <c r="D3504" s="6" t="s">
        <v>6615</v>
      </c>
      <c r="E3504" s="6"/>
      <c r="F3504" s="6" t="b">
        <f t="shared" si="1"/>
        <v>0</v>
      </c>
    </row>
    <row r="3505" ht="15.75" customHeight="1">
      <c r="A3505" s="7" t="s">
        <v>6616</v>
      </c>
      <c r="B3505" s="4" t="s">
        <v>6617</v>
      </c>
      <c r="C3505" s="5" t="s">
        <v>16</v>
      </c>
      <c r="D3505" s="6" t="s">
        <v>6618</v>
      </c>
      <c r="E3505" s="6"/>
      <c r="F3505" s="6" t="b">
        <f t="shared" si="1"/>
        <v>0</v>
      </c>
    </row>
    <row r="3506" ht="15.75" customHeight="1">
      <c r="A3506" s="7" t="s">
        <v>6619</v>
      </c>
      <c r="B3506" s="4" t="s">
        <v>6620</v>
      </c>
      <c r="C3506" s="5" t="s">
        <v>6</v>
      </c>
      <c r="D3506" s="6" t="s">
        <v>6621</v>
      </c>
      <c r="E3506" s="6"/>
      <c r="F3506" s="6" t="b">
        <f t="shared" si="1"/>
        <v>0</v>
      </c>
    </row>
    <row r="3507" ht="15.75" customHeight="1">
      <c r="A3507" s="7" t="s">
        <v>6622</v>
      </c>
      <c r="B3507" s="4" t="s">
        <v>6623</v>
      </c>
      <c r="C3507" s="5" t="s">
        <v>16</v>
      </c>
      <c r="D3507" s="6" t="s">
        <v>6624</v>
      </c>
      <c r="E3507" s="6"/>
      <c r="F3507" s="6" t="b">
        <f t="shared" si="1"/>
        <v>0</v>
      </c>
    </row>
    <row r="3508" ht="15.75" customHeight="1">
      <c r="A3508" s="7" t="s">
        <v>6625</v>
      </c>
      <c r="B3508" s="4" t="s">
        <v>6626</v>
      </c>
      <c r="C3508" s="5" t="s">
        <v>16</v>
      </c>
      <c r="D3508" s="6" t="s">
        <v>4980</v>
      </c>
      <c r="E3508" s="6"/>
      <c r="F3508" s="6" t="b">
        <f t="shared" si="1"/>
        <v>0</v>
      </c>
    </row>
    <row r="3509" ht="15.75" customHeight="1">
      <c r="A3509" s="7" t="s">
        <v>6627</v>
      </c>
      <c r="B3509" s="4" t="s">
        <v>6628</v>
      </c>
      <c r="C3509" s="5" t="s">
        <v>16</v>
      </c>
      <c r="D3509" s="6" t="s">
        <v>6629</v>
      </c>
      <c r="E3509" s="6"/>
      <c r="F3509" s="6" t="b">
        <f t="shared" si="1"/>
        <v>0</v>
      </c>
    </row>
    <row r="3510" ht="15.75" customHeight="1">
      <c r="A3510" s="7" t="s">
        <v>6630</v>
      </c>
      <c r="B3510" s="4" t="s">
        <v>6631</v>
      </c>
      <c r="C3510" s="5" t="s">
        <v>16</v>
      </c>
      <c r="D3510" s="6" t="s">
        <v>6632</v>
      </c>
      <c r="E3510" s="6"/>
      <c r="F3510" s="6" t="b">
        <f t="shared" si="1"/>
        <v>0</v>
      </c>
    </row>
    <row r="3511" ht="15.75" customHeight="1">
      <c r="A3511" s="7" t="s">
        <v>6633</v>
      </c>
      <c r="B3511" s="4" t="s">
        <v>4999</v>
      </c>
      <c r="C3511" s="5" t="s">
        <v>16</v>
      </c>
      <c r="D3511" s="6" t="s">
        <v>1367</v>
      </c>
      <c r="E3511" s="6"/>
      <c r="F3511" s="6" t="b">
        <f t="shared" si="1"/>
        <v>0</v>
      </c>
    </row>
    <row r="3512" ht="15.75" customHeight="1">
      <c r="A3512" s="7" t="s">
        <v>6634</v>
      </c>
      <c r="B3512" s="4" t="s">
        <v>6635</v>
      </c>
      <c r="C3512" s="5" t="s">
        <v>16</v>
      </c>
      <c r="D3512" s="6" t="s">
        <v>1367</v>
      </c>
      <c r="E3512" s="6"/>
      <c r="F3512" s="6" t="b">
        <f t="shared" si="1"/>
        <v>0</v>
      </c>
    </row>
    <row r="3513" ht="15.75" customHeight="1">
      <c r="A3513" s="7" t="s">
        <v>6636</v>
      </c>
      <c r="B3513" s="4" t="s">
        <v>6637</v>
      </c>
      <c r="C3513" s="5" t="s">
        <v>16</v>
      </c>
      <c r="D3513" s="6" t="s">
        <v>6638</v>
      </c>
      <c r="E3513" s="6"/>
      <c r="F3513" s="6" t="b">
        <f t="shared" si="1"/>
        <v>0</v>
      </c>
    </row>
    <row r="3514" ht="15.75" customHeight="1">
      <c r="A3514" s="10" t="s">
        <v>6639</v>
      </c>
      <c r="B3514" s="11"/>
      <c r="C3514" s="5"/>
      <c r="D3514" s="8"/>
      <c r="E3514" s="6"/>
      <c r="F3514" s="6" t="b">
        <f t="shared" si="1"/>
        <v>0</v>
      </c>
    </row>
    <row r="3515" ht="15.75" customHeight="1">
      <c r="A3515" s="3" t="s">
        <v>6640</v>
      </c>
      <c r="B3515" s="4"/>
      <c r="C3515" s="5"/>
      <c r="D3515" s="5"/>
      <c r="E3515" s="6"/>
      <c r="F3515" s="6" t="b">
        <f t="shared" si="1"/>
        <v>0</v>
      </c>
    </row>
    <row r="3516" ht="15.75" customHeight="1">
      <c r="A3516" s="7" t="s">
        <v>6641</v>
      </c>
      <c r="B3516" s="11"/>
      <c r="C3516" s="5"/>
      <c r="D3516" s="5"/>
      <c r="E3516" s="6"/>
      <c r="F3516" s="6" t="b">
        <f t="shared" si="1"/>
        <v>0</v>
      </c>
    </row>
    <row r="3517" ht="15.75" customHeight="1">
      <c r="A3517" s="7" t="s">
        <v>6642</v>
      </c>
      <c r="B3517" s="11"/>
      <c r="C3517" s="5"/>
      <c r="D3517" s="5"/>
      <c r="E3517" s="6"/>
      <c r="F3517" s="6" t="b">
        <f t="shared" si="1"/>
        <v>0</v>
      </c>
    </row>
    <row r="3518" ht="15.75" customHeight="1">
      <c r="A3518" s="7" t="s">
        <v>6643</v>
      </c>
      <c r="B3518" s="11"/>
      <c r="C3518" s="5"/>
      <c r="D3518" s="5"/>
      <c r="E3518" s="6"/>
      <c r="F3518" s="6" t="b">
        <f t="shared" si="1"/>
        <v>0</v>
      </c>
    </row>
    <row r="3519" ht="15.75" customHeight="1">
      <c r="A3519" s="7" t="s">
        <v>6644</v>
      </c>
      <c r="B3519" s="4" t="s">
        <v>715</v>
      </c>
      <c r="C3519" s="5" t="s">
        <v>6</v>
      </c>
      <c r="D3519" s="6" t="s">
        <v>6645</v>
      </c>
      <c r="E3519" s="6"/>
      <c r="F3519" s="6" t="b">
        <f t="shared" si="1"/>
        <v>0</v>
      </c>
    </row>
    <row r="3520" ht="15.75" customHeight="1">
      <c r="A3520" s="7" t="s">
        <v>6646</v>
      </c>
      <c r="B3520" s="4" t="s">
        <v>6647</v>
      </c>
      <c r="C3520" s="6"/>
      <c r="D3520" s="6" t="s">
        <v>55</v>
      </c>
      <c r="E3520" s="6"/>
      <c r="F3520" s="6" t="b">
        <f t="shared" si="1"/>
        <v>0</v>
      </c>
    </row>
    <row r="3521" ht="15.75" customHeight="1">
      <c r="A3521" s="7" t="s">
        <v>6648</v>
      </c>
      <c r="B3521" s="4" t="s">
        <v>6649</v>
      </c>
      <c r="C3521" s="6"/>
      <c r="D3521" s="6" t="s">
        <v>150</v>
      </c>
      <c r="E3521" s="6"/>
      <c r="F3521" s="6" t="b">
        <f t="shared" si="1"/>
        <v>0</v>
      </c>
    </row>
    <row r="3522" ht="15.75" customHeight="1">
      <c r="A3522" s="10" t="s">
        <v>6650</v>
      </c>
      <c r="B3522" s="11"/>
      <c r="C3522" s="5"/>
      <c r="D3522" s="8"/>
      <c r="E3522" s="6"/>
      <c r="F3522" s="6" t="b">
        <f t="shared" si="1"/>
        <v>0</v>
      </c>
    </row>
    <row r="3523" ht="15.75" customHeight="1">
      <c r="A3523" s="3" t="s">
        <v>6651</v>
      </c>
      <c r="B3523" s="4"/>
      <c r="C3523" s="5"/>
      <c r="D3523" s="5"/>
      <c r="E3523" s="6"/>
      <c r="F3523" s="6" t="b">
        <f t="shared" si="1"/>
        <v>0</v>
      </c>
    </row>
    <row r="3524" ht="15.75" customHeight="1">
      <c r="A3524" s="3" t="s">
        <v>6652</v>
      </c>
      <c r="B3524" s="4"/>
      <c r="C3524" s="5"/>
      <c r="D3524" s="5"/>
      <c r="E3524" s="6"/>
      <c r="F3524" s="6" t="b">
        <f t="shared" si="1"/>
        <v>0</v>
      </c>
    </row>
    <row r="3525" ht="15.75" customHeight="1">
      <c r="A3525" s="3" t="s">
        <v>6653</v>
      </c>
      <c r="B3525" s="4"/>
      <c r="C3525" s="5"/>
      <c r="D3525" s="5"/>
      <c r="E3525" s="6"/>
      <c r="F3525" s="6" t="b">
        <f t="shared" si="1"/>
        <v>0</v>
      </c>
    </row>
    <row r="3526" ht="15.75" customHeight="1">
      <c r="A3526" s="10" t="s">
        <v>6654</v>
      </c>
      <c r="B3526" s="11"/>
      <c r="C3526" s="5"/>
      <c r="D3526" s="8"/>
      <c r="E3526" s="6"/>
      <c r="F3526" s="6" t="b">
        <f t="shared" si="1"/>
        <v>0</v>
      </c>
    </row>
    <row r="3527" ht="15.75" customHeight="1">
      <c r="A3527" s="3" t="s">
        <v>6655</v>
      </c>
      <c r="B3527" s="4"/>
      <c r="C3527" s="5"/>
      <c r="D3527" s="5"/>
      <c r="E3527" s="6"/>
      <c r="F3527" s="6" t="b">
        <f t="shared" si="1"/>
        <v>0</v>
      </c>
    </row>
    <row r="3528" ht="15.75" customHeight="1">
      <c r="A3528" s="10" t="s">
        <v>6656</v>
      </c>
      <c r="B3528" s="11"/>
      <c r="C3528" s="5"/>
      <c r="D3528" s="8"/>
      <c r="E3528" s="6"/>
      <c r="F3528" s="6" t="b">
        <f t="shared" si="1"/>
        <v>0</v>
      </c>
    </row>
    <row r="3529" ht="15.75" customHeight="1">
      <c r="A3529" s="3" t="s">
        <v>6657</v>
      </c>
      <c r="B3529" s="4"/>
      <c r="C3529" s="5"/>
      <c r="D3529" s="5"/>
      <c r="E3529" s="6"/>
      <c r="F3529" s="6" t="b">
        <f t="shared" si="1"/>
        <v>0</v>
      </c>
    </row>
    <row r="3530" ht="15.75" customHeight="1">
      <c r="A3530" s="3" t="s">
        <v>6658</v>
      </c>
      <c r="B3530" s="4"/>
      <c r="C3530" s="5"/>
      <c r="D3530" s="5"/>
      <c r="E3530" s="6"/>
      <c r="F3530" s="6" t="b">
        <f t="shared" si="1"/>
        <v>0</v>
      </c>
    </row>
    <row r="3531" ht="15.75" customHeight="1">
      <c r="A3531" s="7" t="s">
        <v>6659</v>
      </c>
      <c r="B3531" s="4" t="s">
        <v>6660</v>
      </c>
      <c r="C3531" s="5" t="s">
        <v>6</v>
      </c>
      <c r="D3531" s="6" t="s">
        <v>10</v>
      </c>
      <c r="E3531" s="6"/>
      <c r="F3531" s="6" t="b">
        <f t="shared" si="1"/>
        <v>0</v>
      </c>
    </row>
    <row r="3532" ht="15.75" customHeight="1">
      <c r="A3532" s="3" t="s">
        <v>6661</v>
      </c>
      <c r="B3532" s="4"/>
      <c r="C3532" s="5"/>
      <c r="D3532" s="5"/>
      <c r="E3532" s="6"/>
      <c r="F3532" s="6" t="b">
        <f t="shared" si="1"/>
        <v>0</v>
      </c>
    </row>
    <row r="3533" ht="15.75" customHeight="1">
      <c r="A3533" s="3" t="s">
        <v>6662</v>
      </c>
      <c r="B3533" s="4"/>
      <c r="C3533" s="5"/>
      <c r="D3533" s="5"/>
      <c r="E3533" s="6"/>
      <c r="F3533" s="6" t="b">
        <f t="shared" si="1"/>
        <v>0</v>
      </c>
    </row>
    <row r="3534" ht="15.75" customHeight="1">
      <c r="A3534" s="3" t="s">
        <v>6663</v>
      </c>
      <c r="B3534" s="4"/>
      <c r="C3534" s="5"/>
      <c r="D3534" s="5"/>
      <c r="E3534" s="6"/>
      <c r="F3534" s="6" t="b">
        <f t="shared" si="1"/>
        <v>0</v>
      </c>
    </row>
    <row r="3535" ht="15.75" customHeight="1">
      <c r="A3535" s="3" t="s">
        <v>6664</v>
      </c>
      <c r="B3535" s="4"/>
      <c r="C3535" s="5"/>
      <c r="D3535" s="5"/>
      <c r="E3535" s="6"/>
      <c r="F3535" s="6" t="b">
        <f t="shared" si="1"/>
        <v>0</v>
      </c>
    </row>
    <row r="3536" ht="15.75" customHeight="1">
      <c r="A3536" s="3" t="s">
        <v>6665</v>
      </c>
      <c r="B3536" s="4"/>
      <c r="C3536" s="5"/>
      <c r="D3536" s="5"/>
      <c r="E3536" s="6"/>
      <c r="F3536" s="6" t="b">
        <f t="shared" si="1"/>
        <v>0</v>
      </c>
    </row>
    <row r="3537" ht="15.75" customHeight="1">
      <c r="A3537" s="10" t="s">
        <v>6666</v>
      </c>
      <c r="B3537" s="11"/>
      <c r="C3537" s="5"/>
      <c r="D3537" s="8"/>
      <c r="E3537" s="6"/>
      <c r="F3537" s="6" t="b">
        <f t="shared" si="1"/>
        <v>0</v>
      </c>
    </row>
    <row r="3538" ht="15.75" customHeight="1">
      <c r="A3538" s="7" t="s">
        <v>6667</v>
      </c>
      <c r="B3538" s="4" t="s">
        <v>6668</v>
      </c>
      <c r="C3538" s="5" t="s">
        <v>16</v>
      </c>
      <c r="D3538" s="6" t="s">
        <v>1400</v>
      </c>
      <c r="E3538" s="6"/>
      <c r="F3538" s="6" t="b">
        <f t="shared" si="1"/>
        <v>0</v>
      </c>
    </row>
    <row r="3539" ht="15.75" customHeight="1">
      <c r="A3539" s="7" t="s">
        <v>6669</v>
      </c>
      <c r="B3539" s="4" t="s">
        <v>6670</v>
      </c>
      <c r="C3539" s="5" t="s">
        <v>6</v>
      </c>
      <c r="D3539" s="6" t="s">
        <v>2451</v>
      </c>
      <c r="E3539" s="6"/>
      <c r="F3539" s="6" t="b">
        <f t="shared" si="1"/>
        <v>0</v>
      </c>
    </row>
    <row r="3540" ht="15.75" customHeight="1">
      <c r="A3540" s="7" t="s">
        <v>6671</v>
      </c>
      <c r="B3540" s="4" t="s">
        <v>6672</v>
      </c>
      <c r="C3540" s="5" t="s">
        <v>6</v>
      </c>
      <c r="D3540" s="6" t="s">
        <v>5631</v>
      </c>
      <c r="E3540" s="6"/>
      <c r="F3540" s="6" t="b">
        <f t="shared" si="1"/>
        <v>0</v>
      </c>
    </row>
    <row r="3541" ht="15.75" customHeight="1">
      <c r="A3541" s="7" t="s">
        <v>6673</v>
      </c>
      <c r="B3541" s="4" t="s">
        <v>6674</v>
      </c>
      <c r="C3541" s="5" t="s">
        <v>6</v>
      </c>
      <c r="D3541" s="6" t="s">
        <v>5631</v>
      </c>
      <c r="E3541" s="6"/>
      <c r="F3541" s="6" t="b">
        <f t="shared" si="1"/>
        <v>0</v>
      </c>
    </row>
    <row r="3542" ht="15.75" customHeight="1">
      <c r="A3542" s="7" t="s">
        <v>6675</v>
      </c>
      <c r="B3542" s="4" t="s">
        <v>6676</v>
      </c>
      <c r="C3542" s="5" t="s">
        <v>6</v>
      </c>
      <c r="D3542" s="6" t="s">
        <v>5631</v>
      </c>
      <c r="E3542" s="6"/>
      <c r="F3542" s="6" t="b">
        <f t="shared" si="1"/>
        <v>0</v>
      </c>
    </row>
    <row r="3543" ht="15.75" customHeight="1">
      <c r="A3543" s="7" t="s">
        <v>6677</v>
      </c>
      <c r="B3543" s="4" t="s">
        <v>6678</v>
      </c>
      <c r="C3543" s="5" t="s">
        <v>6</v>
      </c>
      <c r="D3543" s="6" t="s">
        <v>5631</v>
      </c>
      <c r="E3543" s="6"/>
      <c r="F3543" s="6" t="b">
        <f t="shared" si="1"/>
        <v>0</v>
      </c>
    </row>
    <row r="3544" ht="15.75" customHeight="1">
      <c r="A3544" s="7" t="s">
        <v>6679</v>
      </c>
      <c r="B3544" s="4" t="s">
        <v>6680</v>
      </c>
      <c r="C3544" s="5" t="s">
        <v>16</v>
      </c>
      <c r="D3544" s="6" t="s">
        <v>4223</v>
      </c>
      <c r="E3544" s="6"/>
      <c r="F3544" s="6" t="b">
        <f t="shared" si="1"/>
        <v>0</v>
      </c>
    </row>
    <row r="3545" ht="15.75" customHeight="1">
      <c r="A3545" s="7" t="s">
        <v>6681</v>
      </c>
      <c r="B3545" s="4" t="s">
        <v>6682</v>
      </c>
      <c r="C3545" s="5" t="s">
        <v>16</v>
      </c>
      <c r="D3545" s="6" t="s">
        <v>4223</v>
      </c>
      <c r="E3545" s="6"/>
      <c r="F3545" s="6" t="b">
        <f t="shared" si="1"/>
        <v>0</v>
      </c>
    </row>
    <row r="3546" ht="15.75" customHeight="1">
      <c r="A3546" s="3" t="s">
        <v>6683</v>
      </c>
      <c r="B3546" s="4"/>
      <c r="C3546" s="5"/>
      <c r="D3546" s="5"/>
      <c r="E3546" s="6"/>
      <c r="F3546" s="6" t="b">
        <f t="shared" si="1"/>
        <v>0</v>
      </c>
    </row>
    <row r="3547" ht="15.75" customHeight="1">
      <c r="A3547" s="7" t="s">
        <v>6684</v>
      </c>
      <c r="B3547" s="4" t="s">
        <v>6685</v>
      </c>
      <c r="C3547" s="5" t="s">
        <v>229</v>
      </c>
      <c r="D3547" s="6" t="s">
        <v>6175</v>
      </c>
      <c r="E3547" s="6"/>
      <c r="F3547" s="6" t="b">
        <f t="shared" si="1"/>
        <v>0</v>
      </c>
    </row>
    <row r="3548" ht="15.75" customHeight="1">
      <c r="A3548" s="7" t="s">
        <v>6686</v>
      </c>
      <c r="B3548" s="4" t="s">
        <v>6687</v>
      </c>
      <c r="C3548" s="5" t="s">
        <v>229</v>
      </c>
      <c r="D3548" s="6" t="s">
        <v>6688</v>
      </c>
      <c r="E3548" s="6"/>
      <c r="F3548" s="6" t="b">
        <f t="shared" si="1"/>
        <v>0</v>
      </c>
    </row>
    <row r="3549" ht="15.75" customHeight="1">
      <c r="A3549" s="7" t="s">
        <v>6689</v>
      </c>
      <c r="B3549" s="4" t="s">
        <v>6690</v>
      </c>
      <c r="C3549" s="5" t="s">
        <v>229</v>
      </c>
      <c r="D3549" s="6" t="s">
        <v>6691</v>
      </c>
      <c r="E3549" s="6"/>
      <c r="F3549" s="6" t="b">
        <f t="shared" si="1"/>
        <v>0</v>
      </c>
    </row>
    <row r="3550" ht="15.75" customHeight="1">
      <c r="A3550" s="3" t="s">
        <v>6692</v>
      </c>
      <c r="B3550" s="4"/>
      <c r="C3550" s="5"/>
      <c r="D3550" s="5"/>
      <c r="E3550" s="6"/>
      <c r="F3550" s="6" t="b">
        <f t="shared" si="1"/>
        <v>0</v>
      </c>
    </row>
    <row r="3551" ht="15.75" customHeight="1">
      <c r="A3551" s="7" t="s">
        <v>6693</v>
      </c>
      <c r="B3551" s="4" t="s">
        <v>6694</v>
      </c>
      <c r="C3551" s="5" t="s">
        <v>229</v>
      </c>
      <c r="D3551" s="6" t="s">
        <v>6695</v>
      </c>
      <c r="E3551" s="6"/>
      <c r="F3551" s="6" t="b">
        <f t="shared" si="1"/>
        <v>0</v>
      </c>
    </row>
    <row r="3552" ht="15.75" customHeight="1">
      <c r="A3552" s="7" t="s">
        <v>6696</v>
      </c>
      <c r="B3552" s="4" t="s">
        <v>6697</v>
      </c>
      <c r="C3552" s="5" t="s">
        <v>229</v>
      </c>
      <c r="D3552" s="6" t="s">
        <v>6698</v>
      </c>
      <c r="E3552" s="6"/>
      <c r="F3552" s="6" t="b">
        <f t="shared" si="1"/>
        <v>0</v>
      </c>
    </row>
    <row r="3553" ht="15.75" customHeight="1">
      <c r="A3553" s="7" t="s">
        <v>6699</v>
      </c>
      <c r="B3553" s="4" t="s">
        <v>6700</v>
      </c>
      <c r="C3553" s="5" t="s">
        <v>229</v>
      </c>
      <c r="D3553" s="6" t="s">
        <v>6698</v>
      </c>
      <c r="E3553" s="6"/>
      <c r="F3553" s="6" t="b">
        <f t="shared" si="1"/>
        <v>0</v>
      </c>
    </row>
    <row r="3554" ht="15.75" customHeight="1">
      <c r="A3554" s="3" t="s">
        <v>6701</v>
      </c>
      <c r="B3554" s="4"/>
      <c r="C3554" s="5"/>
      <c r="D3554" s="5"/>
      <c r="E3554" s="6"/>
      <c r="F3554" s="6" t="b">
        <f t="shared" si="1"/>
        <v>0</v>
      </c>
    </row>
    <row r="3555" ht="15.75" customHeight="1">
      <c r="A3555" s="3" t="s">
        <v>6702</v>
      </c>
      <c r="B3555" s="4"/>
      <c r="C3555" s="5"/>
      <c r="D3555" s="5"/>
      <c r="E3555" s="6"/>
      <c r="F3555" s="6" t="b">
        <f t="shared" si="1"/>
        <v>0</v>
      </c>
    </row>
    <row r="3556" ht="15.75" customHeight="1">
      <c r="A3556" s="10" t="s">
        <v>6703</v>
      </c>
      <c r="B3556" s="11"/>
      <c r="C3556" s="5"/>
      <c r="D3556" s="8"/>
      <c r="E3556" s="6"/>
      <c r="F3556" s="6" t="b">
        <f t="shared" si="1"/>
        <v>0</v>
      </c>
    </row>
    <row r="3557" ht="15.75" customHeight="1">
      <c r="A3557" s="3" t="s">
        <v>6704</v>
      </c>
      <c r="B3557" s="4"/>
      <c r="C3557" s="5"/>
      <c r="D3557" s="5"/>
      <c r="E3557" s="6"/>
      <c r="F3557" s="6" t="b">
        <f t="shared" si="1"/>
        <v>0</v>
      </c>
    </row>
    <row r="3558" ht="15.75" customHeight="1">
      <c r="A3558" s="10" t="s">
        <v>6705</v>
      </c>
      <c r="B3558" s="11"/>
      <c r="C3558" s="5"/>
      <c r="D3558" s="8"/>
      <c r="E3558" s="6"/>
      <c r="F3558" s="6" t="b">
        <f t="shared" si="1"/>
        <v>0</v>
      </c>
    </row>
    <row r="3559" ht="15.75" customHeight="1">
      <c r="A3559" s="3" t="s">
        <v>6706</v>
      </c>
      <c r="B3559" s="4"/>
      <c r="C3559" s="5"/>
      <c r="D3559" s="5"/>
      <c r="E3559" s="6"/>
      <c r="F3559" s="6" t="b">
        <f t="shared" si="1"/>
        <v>0</v>
      </c>
    </row>
    <row r="3560" ht="15.75" customHeight="1">
      <c r="A3560" s="7" t="s">
        <v>6707</v>
      </c>
      <c r="B3560" s="4" t="s">
        <v>6708</v>
      </c>
      <c r="C3560" s="5" t="s">
        <v>6</v>
      </c>
      <c r="D3560" s="6" t="s">
        <v>705</v>
      </c>
      <c r="E3560" s="6"/>
      <c r="F3560" s="6" t="b">
        <f t="shared" si="1"/>
        <v>0</v>
      </c>
    </row>
    <row r="3561" ht="15.75" customHeight="1">
      <c r="A3561" s="10" t="s">
        <v>6709</v>
      </c>
      <c r="B3561" s="11"/>
      <c r="C3561" s="5"/>
      <c r="D3561" s="8"/>
      <c r="E3561" s="6"/>
      <c r="F3561" s="6" t="b">
        <f t="shared" si="1"/>
        <v>0</v>
      </c>
    </row>
    <row r="3562" ht="15.75" customHeight="1">
      <c r="A3562" s="10" t="s">
        <v>6710</v>
      </c>
      <c r="B3562" s="11"/>
      <c r="C3562" s="5"/>
      <c r="D3562" s="8"/>
      <c r="E3562" s="6"/>
      <c r="F3562" s="6" t="b">
        <f t="shared" si="1"/>
        <v>0</v>
      </c>
    </row>
    <row r="3563" ht="15.75" customHeight="1">
      <c r="A3563" s="10" t="s">
        <v>6711</v>
      </c>
      <c r="B3563" s="11"/>
      <c r="C3563" s="5"/>
      <c r="D3563" s="8"/>
      <c r="E3563" s="6"/>
      <c r="F3563" s="6" t="b">
        <f t="shared" si="1"/>
        <v>0</v>
      </c>
    </row>
    <row r="3564" ht="15.75" customHeight="1">
      <c r="A3564" s="10" t="s">
        <v>6712</v>
      </c>
      <c r="B3564" s="11"/>
      <c r="C3564" s="5"/>
      <c r="D3564" s="8"/>
      <c r="E3564" s="6"/>
      <c r="F3564" s="6" t="b">
        <f t="shared" si="1"/>
        <v>0</v>
      </c>
    </row>
    <row r="3565" ht="15.75" customHeight="1">
      <c r="A3565" s="3" t="s">
        <v>6713</v>
      </c>
      <c r="B3565" s="4"/>
      <c r="C3565" s="5"/>
      <c r="D3565" s="5"/>
      <c r="E3565" s="6"/>
      <c r="F3565" s="6" t="b">
        <f t="shared" si="1"/>
        <v>0</v>
      </c>
    </row>
    <row r="3566" ht="15.75" customHeight="1">
      <c r="A3566" s="7" t="s">
        <v>6714</v>
      </c>
      <c r="B3566" s="4" t="s">
        <v>6715</v>
      </c>
      <c r="C3566" s="5" t="s">
        <v>6</v>
      </c>
      <c r="D3566" s="6" t="s">
        <v>895</v>
      </c>
      <c r="E3566" s="6"/>
      <c r="F3566" s="6" t="b">
        <f t="shared" si="1"/>
        <v>0</v>
      </c>
    </row>
    <row r="3567" ht="15.75" customHeight="1">
      <c r="A3567" s="7" t="s">
        <v>6716</v>
      </c>
      <c r="B3567" s="4" t="s">
        <v>6717</v>
      </c>
      <c r="C3567" s="8"/>
      <c r="D3567" s="6" t="s">
        <v>36</v>
      </c>
      <c r="E3567" s="6"/>
      <c r="F3567" s="6" t="b">
        <f t="shared" si="1"/>
        <v>0</v>
      </c>
    </row>
    <row r="3568" ht="15.75" customHeight="1">
      <c r="A3568" s="3" t="s">
        <v>6718</v>
      </c>
      <c r="B3568" s="4"/>
      <c r="C3568" s="5"/>
      <c r="D3568" s="5"/>
      <c r="E3568" s="6"/>
      <c r="F3568" s="6" t="b">
        <f t="shared" si="1"/>
        <v>0</v>
      </c>
    </row>
    <row r="3569" ht="15.75" customHeight="1">
      <c r="A3569" s="3" t="s">
        <v>6719</v>
      </c>
      <c r="B3569" s="4"/>
      <c r="C3569" s="5"/>
      <c r="D3569" s="5"/>
      <c r="E3569" s="6"/>
      <c r="F3569" s="6" t="b">
        <f t="shared" si="1"/>
        <v>0</v>
      </c>
    </row>
    <row r="3570" ht="15.75" customHeight="1">
      <c r="A3570" s="3" t="s">
        <v>6720</v>
      </c>
      <c r="B3570" s="4"/>
      <c r="C3570" s="5"/>
      <c r="D3570" s="5"/>
      <c r="E3570" s="6"/>
      <c r="F3570" s="6" t="b">
        <f t="shared" si="1"/>
        <v>0</v>
      </c>
    </row>
    <row r="3571" ht="15.75" customHeight="1">
      <c r="A3571" s="3" t="s">
        <v>6721</v>
      </c>
      <c r="B3571" s="4"/>
      <c r="C3571" s="5"/>
      <c r="D3571" s="5"/>
      <c r="E3571" s="6"/>
      <c r="F3571" s="6" t="b">
        <f t="shared" si="1"/>
        <v>0</v>
      </c>
    </row>
    <row r="3572" ht="15.75" customHeight="1">
      <c r="A3572" s="3" t="s">
        <v>6722</v>
      </c>
      <c r="B3572" s="4"/>
      <c r="C3572" s="5"/>
      <c r="D3572" s="5"/>
      <c r="E3572" s="6"/>
      <c r="F3572" s="6" t="b">
        <f t="shared" si="1"/>
        <v>0</v>
      </c>
    </row>
    <row r="3573" ht="15.75" customHeight="1">
      <c r="A3573" s="3" t="s">
        <v>6723</v>
      </c>
      <c r="B3573" s="4"/>
      <c r="C3573" s="5"/>
      <c r="D3573" s="5"/>
      <c r="E3573" s="6"/>
      <c r="F3573" s="6" t="b">
        <f t="shared" si="1"/>
        <v>0</v>
      </c>
    </row>
    <row r="3574" ht="15.75" customHeight="1">
      <c r="A3574" s="3" t="s">
        <v>6724</v>
      </c>
      <c r="B3574" s="4"/>
      <c r="C3574" s="5"/>
      <c r="D3574" s="5"/>
      <c r="E3574" s="6"/>
      <c r="F3574" s="6" t="b">
        <f t="shared" si="1"/>
        <v>0</v>
      </c>
    </row>
    <row r="3575" ht="15.75" customHeight="1">
      <c r="A3575" s="7" t="s">
        <v>6725</v>
      </c>
      <c r="B3575" s="4" t="s">
        <v>6726</v>
      </c>
      <c r="C3575" s="5" t="s">
        <v>6</v>
      </c>
      <c r="D3575" s="6" t="s">
        <v>547</v>
      </c>
      <c r="E3575" s="6"/>
      <c r="F3575" s="6" t="b">
        <f t="shared" si="1"/>
        <v>0</v>
      </c>
    </row>
    <row r="3576" ht="15.75" customHeight="1">
      <c r="A3576" s="3" t="s">
        <v>6727</v>
      </c>
      <c r="B3576" s="4"/>
      <c r="C3576" s="5"/>
      <c r="D3576" s="5"/>
      <c r="E3576" s="6"/>
      <c r="F3576" s="6" t="b">
        <f t="shared" si="1"/>
        <v>0</v>
      </c>
    </row>
    <row r="3577" ht="15.75" customHeight="1">
      <c r="A3577" s="3" t="s">
        <v>6728</v>
      </c>
      <c r="B3577" s="4"/>
      <c r="C3577" s="5"/>
      <c r="D3577" s="5"/>
      <c r="E3577" s="6"/>
      <c r="F3577" s="6" t="b">
        <f t="shared" si="1"/>
        <v>0</v>
      </c>
    </row>
    <row r="3578" ht="15.75" customHeight="1">
      <c r="A3578" s="10" t="s">
        <v>6729</v>
      </c>
      <c r="B3578" s="11"/>
      <c r="C3578" s="5"/>
      <c r="D3578" s="8"/>
      <c r="E3578" s="6"/>
      <c r="F3578" s="6" t="b">
        <f t="shared" si="1"/>
        <v>0</v>
      </c>
    </row>
    <row r="3579" ht="15.75" customHeight="1">
      <c r="A3579" s="3" t="s">
        <v>6730</v>
      </c>
      <c r="B3579" s="4"/>
      <c r="C3579" s="5"/>
      <c r="D3579" s="5"/>
      <c r="E3579" s="6"/>
      <c r="F3579" s="6" t="b">
        <f t="shared" si="1"/>
        <v>0</v>
      </c>
    </row>
    <row r="3580" ht="15.75" customHeight="1">
      <c r="A3580" s="10" t="s">
        <v>6731</v>
      </c>
      <c r="B3580" s="11"/>
      <c r="C3580" s="5"/>
      <c r="D3580" s="8"/>
      <c r="E3580" s="6"/>
      <c r="F3580" s="6" t="b">
        <f t="shared" si="1"/>
        <v>0</v>
      </c>
    </row>
    <row r="3581" ht="15.75" customHeight="1">
      <c r="A3581" s="3" t="s">
        <v>6732</v>
      </c>
      <c r="B3581" s="4"/>
      <c r="C3581" s="5"/>
      <c r="D3581" s="5"/>
      <c r="E3581" s="6"/>
      <c r="F3581" s="6" t="b">
        <f t="shared" si="1"/>
        <v>0</v>
      </c>
    </row>
    <row r="3582" ht="15.75" customHeight="1">
      <c r="A3582" s="7" t="s">
        <v>6733</v>
      </c>
      <c r="B3582" s="4" t="s">
        <v>6734</v>
      </c>
      <c r="C3582" s="5" t="s">
        <v>6</v>
      </c>
      <c r="D3582" s="6" t="s">
        <v>1118</v>
      </c>
      <c r="E3582" s="6"/>
      <c r="F3582" s="6" t="b">
        <f t="shared" si="1"/>
        <v>0</v>
      </c>
    </row>
    <row r="3583" ht="15.75" customHeight="1">
      <c r="A3583" s="10" t="s">
        <v>6735</v>
      </c>
      <c r="B3583" s="11"/>
      <c r="C3583" s="5"/>
      <c r="D3583" s="8"/>
      <c r="E3583" s="6"/>
      <c r="F3583" s="6" t="b">
        <f t="shared" si="1"/>
        <v>0</v>
      </c>
    </row>
    <row r="3584" ht="15.75" customHeight="1">
      <c r="A3584" s="10" t="s">
        <v>6736</v>
      </c>
      <c r="B3584" s="11"/>
      <c r="C3584" s="5"/>
      <c r="D3584" s="8"/>
      <c r="E3584" s="6"/>
      <c r="F3584" s="6" t="b">
        <f t="shared" si="1"/>
        <v>0</v>
      </c>
    </row>
    <row r="3585" ht="15.75" customHeight="1">
      <c r="A3585" s="3" t="s">
        <v>6737</v>
      </c>
      <c r="B3585" s="4"/>
      <c r="C3585" s="5"/>
      <c r="D3585" s="5"/>
      <c r="E3585" s="6"/>
      <c r="F3585" s="6" t="b">
        <f t="shared" si="1"/>
        <v>0</v>
      </c>
    </row>
    <row r="3586" ht="15.75" customHeight="1">
      <c r="A3586" s="10" t="s">
        <v>6738</v>
      </c>
      <c r="B3586" s="11"/>
      <c r="C3586" s="5"/>
      <c r="D3586" s="8"/>
      <c r="E3586" s="6"/>
      <c r="F3586" s="6" t="b">
        <f t="shared" si="1"/>
        <v>0</v>
      </c>
    </row>
    <row r="3587" ht="15.75" customHeight="1">
      <c r="A3587" s="3" t="s">
        <v>6739</v>
      </c>
      <c r="B3587" s="4"/>
      <c r="C3587" s="5"/>
      <c r="D3587" s="5"/>
      <c r="E3587" s="6"/>
      <c r="F3587" s="6" t="b">
        <f t="shared" si="1"/>
        <v>0</v>
      </c>
    </row>
    <row r="3588" ht="15.75" customHeight="1">
      <c r="A3588" s="10" t="s">
        <v>6740</v>
      </c>
      <c r="B3588" s="11"/>
      <c r="C3588" s="5"/>
      <c r="D3588" s="8"/>
      <c r="E3588" s="6"/>
      <c r="F3588" s="6" t="b">
        <f t="shared" si="1"/>
        <v>0</v>
      </c>
    </row>
    <row r="3589" ht="15.75" customHeight="1">
      <c r="A3589" s="10" t="s">
        <v>6741</v>
      </c>
      <c r="B3589" s="11"/>
      <c r="C3589" s="5"/>
      <c r="D3589" s="8"/>
      <c r="E3589" s="6"/>
      <c r="F3589" s="6" t="b">
        <f t="shared" si="1"/>
        <v>0</v>
      </c>
    </row>
    <row r="3590" ht="15.75" customHeight="1">
      <c r="A3590" s="7" t="s">
        <v>6742</v>
      </c>
      <c r="B3590" s="4" t="s">
        <v>6743</v>
      </c>
      <c r="C3590" s="5" t="s">
        <v>229</v>
      </c>
      <c r="D3590" s="6" t="s">
        <v>6698</v>
      </c>
      <c r="E3590" s="6"/>
      <c r="F3590" s="6" t="b">
        <f t="shared" si="1"/>
        <v>0</v>
      </c>
    </row>
    <row r="3591" ht="15.75" customHeight="1">
      <c r="A3591" s="3" t="s">
        <v>6744</v>
      </c>
      <c r="B3591" s="4"/>
      <c r="C3591" s="5"/>
      <c r="D3591" s="5"/>
      <c r="E3591" s="6"/>
      <c r="F3591" s="6" t="b">
        <f t="shared" si="1"/>
        <v>0</v>
      </c>
    </row>
    <row r="3592" ht="15.75" customHeight="1">
      <c r="A3592" s="7" t="s">
        <v>6745</v>
      </c>
      <c r="B3592" s="4" t="s">
        <v>6746</v>
      </c>
      <c r="C3592" s="5" t="s">
        <v>229</v>
      </c>
      <c r="D3592" s="6" t="s">
        <v>6691</v>
      </c>
      <c r="E3592" s="6"/>
      <c r="F3592" s="6" t="b">
        <f t="shared" si="1"/>
        <v>0</v>
      </c>
    </row>
    <row r="3593" ht="15.75" customHeight="1">
      <c r="A3593" s="3" t="s">
        <v>6747</v>
      </c>
      <c r="B3593" s="4"/>
      <c r="C3593" s="5"/>
      <c r="D3593" s="5"/>
      <c r="E3593" s="6"/>
      <c r="F3593" s="6" t="b">
        <f t="shared" si="1"/>
        <v>0</v>
      </c>
    </row>
    <row r="3594" ht="15.75" customHeight="1">
      <c r="A3594" s="3" t="s">
        <v>6748</v>
      </c>
      <c r="B3594" s="4"/>
      <c r="C3594" s="5"/>
      <c r="D3594" s="5"/>
      <c r="E3594" s="6"/>
      <c r="F3594" s="6" t="b">
        <f t="shared" si="1"/>
        <v>0</v>
      </c>
    </row>
    <row r="3595" ht="15.75" customHeight="1">
      <c r="A3595" s="3" t="s">
        <v>6749</v>
      </c>
      <c r="B3595" s="4"/>
      <c r="C3595" s="5"/>
      <c r="D3595" s="5"/>
      <c r="E3595" s="6"/>
      <c r="F3595" s="6" t="b">
        <f t="shared" si="1"/>
        <v>0</v>
      </c>
    </row>
    <row r="3596" ht="15.75" customHeight="1">
      <c r="A3596" s="7" t="s">
        <v>6750</v>
      </c>
      <c r="B3596" s="4" t="s">
        <v>6751</v>
      </c>
      <c r="C3596" s="5" t="s">
        <v>6</v>
      </c>
      <c r="D3596" s="6" t="s">
        <v>6752</v>
      </c>
      <c r="E3596" s="6"/>
      <c r="F3596" s="6" t="b">
        <f t="shared" si="1"/>
        <v>0</v>
      </c>
    </row>
    <row r="3597" ht="15.75" customHeight="1">
      <c r="A3597" s="7" t="s">
        <v>6753</v>
      </c>
      <c r="B3597" s="4" t="s">
        <v>6754</v>
      </c>
      <c r="C3597" s="5" t="s">
        <v>16</v>
      </c>
      <c r="D3597" s="6" t="s">
        <v>6755</v>
      </c>
      <c r="E3597" s="6"/>
      <c r="F3597" s="6" t="b">
        <f t="shared" si="1"/>
        <v>0</v>
      </c>
    </row>
    <row r="3598" ht="15.75" customHeight="1">
      <c r="A3598" s="7" t="s">
        <v>6756</v>
      </c>
      <c r="B3598" s="4" t="s">
        <v>6757</v>
      </c>
      <c r="C3598" s="6"/>
      <c r="D3598" s="6" t="s">
        <v>70</v>
      </c>
      <c r="E3598" s="6"/>
      <c r="F3598" s="6" t="b">
        <f t="shared" si="1"/>
        <v>0</v>
      </c>
    </row>
    <row r="3599" ht="15.75" customHeight="1">
      <c r="A3599" s="7" t="s">
        <v>6758</v>
      </c>
      <c r="B3599" s="4" t="s">
        <v>6759</v>
      </c>
      <c r="C3599" s="5" t="s">
        <v>6</v>
      </c>
      <c r="D3599" s="6" t="s">
        <v>6760</v>
      </c>
      <c r="E3599" s="6"/>
      <c r="F3599" s="6" t="b">
        <f t="shared" si="1"/>
        <v>0</v>
      </c>
    </row>
    <row r="3600" ht="15.75" customHeight="1">
      <c r="A3600" s="7" t="s">
        <v>6761</v>
      </c>
      <c r="B3600" s="4" t="s">
        <v>6762</v>
      </c>
      <c r="C3600" s="5" t="s">
        <v>16</v>
      </c>
      <c r="D3600" s="6" t="s">
        <v>1199</v>
      </c>
      <c r="E3600" s="6"/>
      <c r="F3600" s="6" t="b">
        <f t="shared" si="1"/>
        <v>0</v>
      </c>
    </row>
    <row r="3601" ht="15.75" customHeight="1">
      <c r="A3601" s="7" t="s">
        <v>6763</v>
      </c>
      <c r="B3601" s="4" t="s">
        <v>6764</v>
      </c>
      <c r="C3601" s="6"/>
      <c r="D3601" s="6" t="s">
        <v>150</v>
      </c>
      <c r="E3601" s="6"/>
      <c r="F3601" s="6" t="b">
        <f t="shared" si="1"/>
        <v>0</v>
      </c>
    </row>
    <row r="3602" ht="15.75" customHeight="1">
      <c r="A3602" s="7" t="s">
        <v>6765</v>
      </c>
      <c r="B3602" s="4" t="s">
        <v>6766</v>
      </c>
      <c r="C3602" s="5" t="s">
        <v>6</v>
      </c>
      <c r="D3602" s="6" t="s">
        <v>2579</v>
      </c>
      <c r="E3602" s="6"/>
      <c r="F3602" s="6" t="b">
        <f t="shared" si="1"/>
        <v>0</v>
      </c>
    </row>
    <row r="3603" ht="15.75" customHeight="1">
      <c r="A3603" s="7" t="s">
        <v>6767</v>
      </c>
      <c r="B3603" s="4" t="s">
        <v>6768</v>
      </c>
      <c r="C3603" s="6"/>
      <c r="D3603" s="6" t="s">
        <v>150</v>
      </c>
      <c r="E3603" s="6"/>
      <c r="F3603" s="6" t="b">
        <f t="shared" si="1"/>
        <v>0</v>
      </c>
    </row>
    <row r="3604" ht="15.75" customHeight="1">
      <c r="A3604" s="7" t="s">
        <v>6769</v>
      </c>
      <c r="B3604" s="4" t="s">
        <v>6770</v>
      </c>
      <c r="C3604" s="5" t="s">
        <v>16</v>
      </c>
      <c r="D3604" s="6" t="s">
        <v>6771</v>
      </c>
      <c r="E3604" s="6"/>
      <c r="F3604" s="6" t="b">
        <f t="shared" si="1"/>
        <v>0</v>
      </c>
    </row>
    <row r="3605" ht="15.75" customHeight="1">
      <c r="A3605" s="7" t="s">
        <v>6772</v>
      </c>
      <c r="B3605" s="4" t="s">
        <v>6773</v>
      </c>
      <c r="C3605" s="5" t="s">
        <v>16</v>
      </c>
      <c r="D3605" s="6" t="s">
        <v>6774</v>
      </c>
      <c r="E3605" s="6"/>
      <c r="F3605" s="6" t="b">
        <f t="shared" si="1"/>
        <v>0</v>
      </c>
    </row>
    <row r="3606" ht="15.75" customHeight="1">
      <c r="A3606" s="7" t="s">
        <v>6775</v>
      </c>
      <c r="B3606" s="4" t="s">
        <v>6776</v>
      </c>
      <c r="C3606" s="5" t="s">
        <v>229</v>
      </c>
      <c r="D3606" s="6" t="s">
        <v>230</v>
      </c>
      <c r="E3606" s="6"/>
      <c r="F3606" s="6" t="b">
        <f t="shared" si="1"/>
        <v>0</v>
      </c>
    </row>
    <row r="3607" ht="15.75" customHeight="1">
      <c r="A3607" s="7" t="s">
        <v>6777</v>
      </c>
      <c r="B3607" s="4" t="s">
        <v>6778</v>
      </c>
      <c r="C3607" s="5" t="s">
        <v>229</v>
      </c>
      <c r="D3607" s="6" t="s">
        <v>230</v>
      </c>
      <c r="E3607" s="6"/>
      <c r="F3607" s="6" t="b">
        <f t="shared" si="1"/>
        <v>0</v>
      </c>
    </row>
    <row r="3608" ht="15.75" customHeight="1">
      <c r="A3608" s="7" t="s">
        <v>6779</v>
      </c>
      <c r="B3608" s="4" t="s">
        <v>6780</v>
      </c>
      <c r="C3608" s="5" t="s">
        <v>229</v>
      </c>
      <c r="D3608" s="6" t="s">
        <v>230</v>
      </c>
      <c r="E3608" s="6"/>
      <c r="F3608" s="6" t="b">
        <f t="shared" si="1"/>
        <v>0</v>
      </c>
    </row>
    <row r="3609" ht="15.75" customHeight="1">
      <c r="A3609" s="7" t="s">
        <v>6781</v>
      </c>
      <c r="B3609" s="4" t="s">
        <v>6782</v>
      </c>
      <c r="C3609" s="5" t="s">
        <v>229</v>
      </c>
      <c r="D3609" s="5" t="s">
        <v>6783</v>
      </c>
      <c r="E3609" s="6"/>
      <c r="F3609" s="6" t="b">
        <f t="shared" si="1"/>
        <v>0</v>
      </c>
    </row>
    <row r="3610" ht="15.75" customHeight="1">
      <c r="A3610" s="7" t="s">
        <v>6784</v>
      </c>
      <c r="B3610" s="4" t="s">
        <v>6785</v>
      </c>
      <c r="C3610" s="6"/>
      <c r="D3610" s="6" t="s">
        <v>55</v>
      </c>
      <c r="E3610" s="6"/>
      <c r="F3610" s="6" t="b">
        <f t="shared" si="1"/>
        <v>0</v>
      </c>
    </row>
    <row r="3611" ht="15.75" customHeight="1">
      <c r="A3611" s="7" t="s">
        <v>6786</v>
      </c>
      <c r="B3611" s="4" t="s">
        <v>6787</v>
      </c>
      <c r="C3611" s="5" t="s">
        <v>6</v>
      </c>
      <c r="D3611" s="6" t="s">
        <v>6752</v>
      </c>
      <c r="E3611" s="6"/>
      <c r="F3611" s="6" t="b">
        <f t="shared" si="1"/>
        <v>0</v>
      </c>
    </row>
    <row r="3612" ht="15.75" customHeight="1">
      <c r="A3612" s="7" t="s">
        <v>6788</v>
      </c>
      <c r="B3612" s="4" t="s">
        <v>6789</v>
      </c>
      <c r="C3612" s="6" t="s">
        <v>6790</v>
      </c>
      <c r="D3612" s="6"/>
      <c r="E3612" s="6"/>
      <c r="F3612" s="6" t="b">
        <f t="shared" si="1"/>
        <v>0</v>
      </c>
    </row>
    <row r="3613" ht="15.75" customHeight="1">
      <c r="A3613" s="7" t="s">
        <v>6791</v>
      </c>
      <c r="B3613" s="4" t="s">
        <v>6792</v>
      </c>
      <c r="C3613" s="5" t="s">
        <v>2997</v>
      </c>
      <c r="D3613" s="13" t="s">
        <v>6793</v>
      </c>
      <c r="E3613" s="6"/>
      <c r="F3613" s="6" t="b">
        <f t="shared" si="1"/>
        <v>0</v>
      </c>
    </row>
    <row r="3614" ht="15.75" customHeight="1">
      <c r="A3614" s="7" t="s">
        <v>6794</v>
      </c>
      <c r="B3614" s="4" t="s">
        <v>6795</v>
      </c>
      <c r="C3614" s="5" t="s">
        <v>16</v>
      </c>
      <c r="D3614" s="6" t="s">
        <v>5575</v>
      </c>
      <c r="E3614" s="6"/>
      <c r="F3614" s="6" t="b">
        <f t="shared" si="1"/>
        <v>0</v>
      </c>
    </row>
    <row r="3615" ht="15.75" customHeight="1">
      <c r="A3615" s="7" t="s">
        <v>6796</v>
      </c>
      <c r="B3615" s="4" t="s">
        <v>6797</v>
      </c>
      <c r="C3615" s="6"/>
      <c r="D3615" s="6" t="s">
        <v>55</v>
      </c>
      <c r="E3615" s="6"/>
      <c r="F3615" s="6" t="b">
        <f t="shared" si="1"/>
        <v>0</v>
      </c>
    </row>
    <row r="3616" ht="15.75" customHeight="1">
      <c r="A3616" s="7" t="s">
        <v>6798</v>
      </c>
      <c r="B3616" s="4" t="s">
        <v>6799</v>
      </c>
      <c r="C3616" s="6"/>
      <c r="D3616" s="6" t="s">
        <v>55</v>
      </c>
      <c r="E3616" s="6"/>
      <c r="F3616" s="6" t="b">
        <f t="shared" si="1"/>
        <v>0</v>
      </c>
    </row>
    <row r="3617" ht="15.75" customHeight="1">
      <c r="A3617" s="7" t="s">
        <v>6800</v>
      </c>
      <c r="B3617" s="4" t="s">
        <v>6801</v>
      </c>
      <c r="C3617" s="8"/>
      <c r="D3617" s="6" t="s">
        <v>55</v>
      </c>
      <c r="E3617" s="6"/>
      <c r="F3617" s="6" t="b">
        <f t="shared" si="1"/>
        <v>0</v>
      </c>
    </row>
    <row r="3618" ht="15.75" customHeight="1">
      <c r="A3618" s="7" t="s">
        <v>6802</v>
      </c>
      <c r="B3618" s="4" t="s">
        <v>6803</v>
      </c>
      <c r="C3618" s="5" t="s">
        <v>6</v>
      </c>
      <c r="D3618" s="6" t="s">
        <v>3778</v>
      </c>
      <c r="E3618" s="6"/>
      <c r="F3618" s="6" t="b">
        <f t="shared" si="1"/>
        <v>0</v>
      </c>
    </row>
    <row r="3619" ht="15.75" customHeight="1">
      <c r="A3619" s="7" t="s">
        <v>6804</v>
      </c>
      <c r="B3619" s="4" t="s">
        <v>6805</v>
      </c>
      <c r="C3619" s="6"/>
      <c r="D3619" s="6" t="s">
        <v>55</v>
      </c>
      <c r="E3619" s="6"/>
      <c r="F3619" s="6" t="b">
        <f t="shared" si="1"/>
        <v>0</v>
      </c>
    </row>
    <row r="3620" ht="15.75" customHeight="1">
      <c r="A3620" s="7" t="s">
        <v>6806</v>
      </c>
      <c r="B3620" s="4" t="s">
        <v>6807</v>
      </c>
      <c r="C3620" s="5" t="s">
        <v>6</v>
      </c>
      <c r="D3620" s="6" t="s">
        <v>1422</v>
      </c>
      <c r="E3620" s="6"/>
      <c r="F3620" s="6" t="b">
        <f t="shared" si="1"/>
        <v>0</v>
      </c>
    </row>
    <row r="3621" ht="15.75" customHeight="1">
      <c r="A3621" s="7" t="s">
        <v>6808</v>
      </c>
      <c r="B3621" s="4" t="s">
        <v>6809</v>
      </c>
      <c r="C3621" s="6"/>
      <c r="D3621" s="6" t="s">
        <v>55</v>
      </c>
      <c r="E3621" s="6"/>
      <c r="F3621" s="6" t="b">
        <f t="shared" si="1"/>
        <v>0</v>
      </c>
    </row>
    <row r="3622" ht="15.75" customHeight="1">
      <c r="A3622" s="7" t="s">
        <v>6810</v>
      </c>
      <c r="B3622" s="4" t="s">
        <v>6811</v>
      </c>
      <c r="C3622" s="6"/>
      <c r="D3622" s="6" t="s">
        <v>55</v>
      </c>
      <c r="E3622" s="6"/>
      <c r="F3622" s="6" t="b">
        <f t="shared" si="1"/>
        <v>0</v>
      </c>
    </row>
    <row r="3623" ht="15.75" customHeight="1">
      <c r="A3623" s="7" t="s">
        <v>6812</v>
      </c>
      <c r="B3623" s="4" t="s">
        <v>6813</v>
      </c>
      <c r="C3623" s="6"/>
      <c r="D3623" s="6" t="s">
        <v>55</v>
      </c>
      <c r="E3623" s="6"/>
      <c r="F3623" s="6" t="b">
        <f t="shared" si="1"/>
        <v>0</v>
      </c>
    </row>
    <row r="3624" ht="15.75" customHeight="1">
      <c r="A3624" s="7" t="s">
        <v>6814</v>
      </c>
      <c r="B3624" s="4" t="s">
        <v>6815</v>
      </c>
      <c r="C3624" s="6"/>
      <c r="D3624" s="6" t="s">
        <v>55</v>
      </c>
      <c r="E3624" s="6"/>
      <c r="F3624" s="6" t="b">
        <f t="shared" si="1"/>
        <v>0</v>
      </c>
    </row>
    <row r="3625" ht="15.75" customHeight="1">
      <c r="A3625" s="7" t="s">
        <v>6816</v>
      </c>
      <c r="B3625" s="4" t="s">
        <v>6817</v>
      </c>
      <c r="C3625" s="5" t="s">
        <v>16</v>
      </c>
      <c r="D3625" s="6" t="s">
        <v>6818</v>
      </c>
      <c r="E3625" s="6"/>
      <c r="F3625" s="6" t="b">
        <f t="shared" si="1"/>
        <v>0</v>
      </c>
    </row>
    <row r="3626" ht="15.75" customHeight="1">
      <c r="A3626" s="7" t="s">
        <v>6819</v>
      </c>
      <c r="B3626" s="4" t="s">
        <v>6820</v>
      </c>
      <c r="C3626" s="6"/>
      <c r="D3626" s="6" t="s">
        <v>55</v>
      </c>
      <c r="E3626" s="6"/>
      <c r="F3626" s="6" t="b">
        <f t="shared" si="1"/>
        <v>0</v>
      </c>
    </row>
    <row r="3627" ht="15.75" customHeight="1">
      <c r="A3627" s="7" t="s">
        <v>6821</v>
      </c>
      <c r="B3627" s="4" t="s">
        <v>6822</v>
      </c>
      <c r="C3627" s="6"/>
      <c r="D3627" s="6" t="s">
        <v>55</v>
      </c>
      <c r="E3627" s="6"/>
      <c r="F3627" s="6" t="b">
        <f t="shared" si="1"/>
        <v>0</v>
      </c>
    </row>
    <row r="3628" ht="15.75" customHeight="1">
      <c r="A3628" s="7" t="s">
        <v>6823</v>
      </c>
      <c r="B3628" s="4" t="s">
        <v>6824</v>
      </c>
      <c r="C3628" s="5" t="s">
        <v>6</v>
      </c>
      <c r="D3628" s="6" t="s">
        <v>1279</v>
      </c>
      <c r="E3628" s="6"/>
      <c r="F3628" s="6" t="b">
        <f t="shared" si="1"/>
        <v>0</v>
      </c>
    </row>
    <row r="3629" ht="15.75" customHeight="1">
      <c r="A3629" s="7" t="s">
        <v>6825</v>
      </c>
      <c r="B3629" s="4" t="s">
        <v>6826</v>
      </c>
      <c r="C3629" s="6"/>
      <c r="D3629" s="6" t="s">
        <v>150</v>
      </c>
      <c r="E3629" s="6"/>
      <c r="F3629" s="6" t="b">
        <f t="shared" si="1"/>
        <v>0</v>
      </c>
    </row>
    <row r="3630" ht="15.75" customHeight="1">
      <c r="A3630" s="7" t="s">
        <v>6827</v>
      </c>
      <c r="B3630" s="4" t="s">
        <v>6828</v>
      </c>
      <c r="C3630" s="6"/>
      <c r="D3630" s="6" t="s">
        <v>150</v>
      </c>
      <c r="E3630" s="6"/>
      <c r="F3630" s="6" t="b">
        <f t="shared" si="1"/>
        <v>0</v>
      </c>
    </row>
    <row r="3631" ht="15.75" customHeight="1">
      <c r="A3631" s="7" t="s">
        <v>6829</v>
      </c>
      <c r="B3631" s="4" t="s">
        <v>6830</v>
      </c>
      <c r="C3631" s="6"/>
      <c r="D3631" s="6" t="s">
        <v>150</v>
      </c>
      <c r="E3631" s="6"/>
      <c r="F3631" s="6" t="b">
        <f t="shared" si="1"/>
        <v>0</v>
      </c>
    </row>
    <row r="3632" ht="15.75" customHeight="1">
      <c r="A3632" s="7" t="s">
        <v>6831</v>
      </c>
      <c r="B3632" s="4" t="s">
        <v>6832</v>
      </c>
      <c r="C3632" s="6"/>
      <c r="D3632" s="6" t="s">
        <v>150</v>
      </c>
      <c r="E3632" s="6"/>
      <c r="F3632" s="6" t="b">
        <f t="shared" si="1"/>
        <v>0</v>
      </c>
    </row>
    <row r="3633" ht="15.75" customHeight="1">
      <c r="A3633" s="7" t="s">
        <v>6833</v>
      </c>
      <c r="B3633" s="4" t="s">
        <v>6834</v>
      </c>
      <c r="C3633" s="6"/>
      <c r="D3633" s="6" t="s">
        <v>150</v>
      </c>
      <c r="E3633" s="6"/>
      <c r="F3633" s="6" t="b">
        <f t="shared" si="1"/>
        <v>0</v>
      </c>
    </row>
    <row r="3634" ht="15.75" customHeight="1">
      <c r="A3634" s="7" t="s">
        <v>6835</v>
      </c>
      <c r="B3634" s="4" t="s">
        <v>6836</v>
      </c>
      <c r="C3634" s="6"/>
      <c r="D3634" s="6" t="s">
        <v>150</v>
      </c>
      <c r="E3634" s="6"/>
      <c r="F3634" s="6" t="b">
        <f t="shared" si="1"/>
        <v>0</v>
      </c>
    </row>
    <row r="3635" ht="15.75" customHeight="1">
      <c r="A3635" s="7" t="s">
        <v>6837</v>
      </c>
      <c r="B3635" s="4" t="s">
        <v>6838</v>
      </c>
      <c r="C3635" s="6"/>
      <c r="D3635" s="6" t="s">
        <v>150</v>
      </c>
      <c r="E3635" s="6"/>
      <c r="F3635" s="6" t="b">
        <f t="shared" si="1"/>
        <v>0</v>
      </c>
    </row>
    <row r="3636" ht="15.75" customHeight="1">
      <c r="A3636" s="7" t="s">
        <v>6839</v>
      </c>
      <c r="B3636" s="4" t="s">
        <v>6840</v>
      </c>
      <c r="C3636" s="6"/>
      <c r="D3636" s="6" t="s">
        <v>150</v>
      </c>
      <c r="E3636" s="6"/>
      <c r="F3636" s="6" t="b">
        <f t="shared" si="1"/>
        <v>0</v>
      </c>
    </row>
    <row r="3637" ht="15.75" customHeight="1">
      <c r="A3637" s="7" t="s">
        <v>6841</v>
      </c>
      <c r="B3637" s="4" t="s">
        <v>6842</v>
      </c>
      <c r="C3637" s="6"/>
      <c r="D3637" s="6" t="s">
        <v>70</v>
      </c>
      <c r="E3637" s="6"/>
      <c r="F3637" s="6" t="b">
        <f t="shared" si="1"/>
        <v>0</v>
      </c>
    </row>
    <row r="3638" ht="15.75" customHeight="1">
      <c r="A3638" s="7" t="s">
        <v>6843</v>
      </c>
      <c r="B3638" s="4" t="s">
        <v>6844</v>
      </c>
      <c r="C3638" s="6"/>
      <c r="D3638" s="6" t="s">
        <v>70</v>
      </c>
      <c r="E3638" s="6"/>
      <c r="F3638" s="6" t="b">
        <f t="shared" si="1"/>
        <v>0</v>
      </c>
    </row>
    <row r="3639" ht="15.75" customHeight="1">
      <c r="A3639" s="7" t="s">
        <v>6845</v>
      </c>
      <c r="B3639" s="4" t="s">
        <v>6846</v>
      </c>
      <c r="C3639" s="6" t="s">
        <v>6847</v>
      </c>
      <c r="D3639" s="6"/>
      <c r="E3639" s="6"/>
      <c r="F3639" s="6" t="b">
        <f t="shared" si="1"/>
        <v>0</v>
      </c>
    </row>
    <row r="3640" ht="15.75" customHeight="1">
      <c r="A3640" s="7" t="s">
        <v>6848</v>
      </c>
      <c r="B3640" s="4" t="s">
        <v>6849</v>
      </c>
      <c r="C3640" s="5" t="s">
        <v>2997</v>
      </c>
      <c r="D3640" s="6" t="s">
        <v>6850</v>
      </c>
      <c r="E3640" s="6"/>
      <c r="F3640" s="6" t="b">
        <f t="shared" si="1"/>
        <v>0</v>
      </c>
    </row>
    <row r="3641" ht="15.75" customHeight="1">
      <c r="A3641" s="7" t="s">
        <v>6851</v>
      </c>
      <c r="B3641" s="4" t="s">
        <v>6852</v>
      </c>
      <c r="C3641" s="5" t="s">
        <v>6</v>
      </c>
      <c r="D3641" s="6" t="s">
        <v>6853</v>
      </c>
      <c r="E3641" s="6"/>
      <c r="F3641" s="6" t="b">
        <f t="shared" si="1"/>
        <v>0</v>
      </c>
    </row>
    <row r="3642" ht="15.75" customHeight="1">
      <c r="A3642" s="7" t="s">
        <v>6854</v>
      </c>
      <c r="B3642" s="4" t="s">
        <v>6855</v>
      </c>
      <c r="C3642" s="5" t="s">
        <v>6</v>
      </c>
      <c r="D3642" s="6" t="s">
        <v>6856</v>
      </c>
      <c r="E3642" s="6"/>
      <c r="F3642" s="6" t="b">
        <f t="shared" si="1"/>
        <v>0</v>
      </c>
    </row>
    <row r="3643" ht="15.75" customHeight="1">
      <c r="A3643" s="7" t="s">
        <v>6857</v>
      </c>
      <c r="B3643" s="4" t="s">
        <v>6858</v>
      </c>
      <c r="C3643" s="5" t="s">
        <v>6</v>
      </c>
      <c r="D3643" s="6" t="s">
        <v>6859</v>
      </c>
      <c r="E3643" s="6"/>
      <c r="F3643" s="6" t="b">
        <f t="shared" si="1"/>
        <v>0</v>
      </c>
    </row>
    <row r="3644" ht="15.75" customHeight="1">
      <c r="A3644" s="7" t="s">
        <v>6860</v>
      </c>
      <c r="B3644" s="4" t="s">
        <v>6861</v>
      </c>
      <c r="C3644" s="5" t="s">
        <v>6</v>
      </c>
      <c r="D3644" s="6" t="s">
        <v>3018</v>
      </c>
      <c r="E3644" s="6"/>
      <c r="F3644" s="6" t="b">
        <f t="shared" si="1"/>
        <v>0</v>
      </c>
    </row>
    <row r="3645" ht="15.75" customHeight="1">
      <c r="A3645" s="7" t="s">
        <v>6862</v>
      </c>
      <c r="B3645" s="4" t="s">
        <v>6863</v>
      </c>
      <c r="C3645" s="5" t="s">
        <v>6</v>
      </c>
      <c r="D3645" s="6" t="s">
        <v>6864</v>
      </c>
      <c r="E3645" s="6"/>
      <c r="F3645" s="6" t="b">
        <f t="shared" si="1"/>
        <v>0</v>
      </c>
    </row>
    <row r="3646" ht="15.75" customHeight="1">
      <c r="A3646" s="7" t="s">
        <v>6865</v>
      </c>
      <c r="B3646" s="4" t="s">
        <v>6866</v>
      </c>
      <c r="C3646" s="5" t="s">
        <v>6</v>
      </c>
      <c r="D3646" s="6" t="s">
        <v>6867</v>
      </c>
      <c r="E3646" s="6"/>
      <c r="F3646" s="6" t="b">
        <f t="shared" si="1"/>
        <v>0</v>
      </c>
    </row>
    <row r="3647" ht="15.75" customHeight="1">
      <c r="A3647" s="7" t="s">
        <v>6868</v>
      </c>
      <c r="B3647" s="4" t="s">
        <v>6869</v>
      </c>
      <c r="C3647" s="6"/>
      <c r="D3647" s="6" t="s">
        <v>150</v>
      </c>
      <c r="E3647" s="6"/>
      <c r="F3647" s="6" t="b">
        <f t="shared" si="1"/>
        <v>0</v>
      </c>
    </row>
    <row r="3648" ht="15.75" customHeight="1">
      <c r="A3648" s="7" t="s">
        <v>6870</v>
      </c>
      <c r="B3648" s="4" t="s">
        <v>6871</v>
      </c>
      <c r="C3648" s="6"/>
      <c r="D3648" s="6" t="s">
        <v>150</v>
      </c>
      <c r="E3648" s="6"/>
      <c r="F3648" s="6" t="b">
        <f t="shared" si="1"/>
        <v>0</v>
      </c>
    </row>
    <row r="3649" ht="15.75" customHeight="1">
      <c r="A3649" s="7" t="s">
        <v>6872</v>
      </c>
      <c r="B3649" s="4" t="s">
        <v>6873</v>
      </c>
      <c r="C3649" s="5" t="s">
        <v>6</v>
      </c>
      <c r="D3649" s="6" t="s">
        <v>6874</v>
      </c>
      <c r="E3649" s="6"/>
      <c r="F3649" s="6" t="b">
        <f t="shared" si="1"/>
        <v>0</v>
      </c>
    </row>
    <row r="3650" ht="15.75" customHeight="1">
      <c r="A3650" s="7" t="s">
        <v>6875</v>
      </c>
      <c r="B3650" s="4" t="s">
        <v>6876</v>
      </c>
      <c r="C3650" s="5" t="s">
        <v>6</v>
      </c>
      <c r="D3650" s="6" t="s">
        <v>6877</v>
      </c>
      <c r="E3650" s="6"/>
      <c r="F3650" s="6" t="b">
        <f t="shared" si="1"/>
        <v>0</v>
      </c>
    </row>
    <row r="3651" ht="15.75" customHeight="1">
      <c r="A3651" s="7" t="s">
        <v>6878</v>
      </c>
      <c r="B3651" s="4" t="s">
        <v>6879</v>
      </c>
      <c r="C3651" s="5" t="s">
        <v>6</v>
      </c>
      <c r="D3651" s="6" t="s">
        <v>2579</v>
      </c>
      <c r="E3651" s="6"/>
      <c r="F3651" s="6" t="b">
        <f t="shared" si="1"/>
        <v>0</v>
      </c>
    </row>
    <row r="3652" ht="15.75" customHeight="1">
      <c r="A3652" s="7" t="s">
        <v>6880</v>
      </c>
      <c r="B3652" s="4" t="s">
        <v>6881</v>
      </c>
      <c r="C3652" s="5" t="s">
        <v>6</v>
      </c>
      <c r="D3652" s="6" t="s">
        <v>2579</v>
      </c>
      <c r="E3652" s="6"/>
      <c r="F3652" s="6" t="b">
        <f t="shared" si="1"/>
        <v>0</v>
      </c>
    </row>
    <row r="3653" ht="15.75" customHeight="1">
      <c r="A3653" s="7" t="s">
        <v>6882</v>
      </c>
      <c r="B3653" s="4" t="s">
        <v>6883</v>
      </c>
      <c r="C3653" s="5" t="s">
        <v>6</v>
      </c>
      <c r="D3653" s="6" t="s">
        <v>6884</v>
      </c>
      <c r="E3653" s="6"/>
      <c r="F3653" s="6" t="b">
        <f t="shared" si="1"/>
        <v>0</v>
      </c>
    </row>
    <row r="3654" ht="15.75" customHeight="1">
      <c r="A3654" s="7" t="s">
        <v>6885</v>
      </c>
      <c r="B3654" s="4" t="s">
        <v>6886</v>
      </c>
      <c r="C3654" s="5" t="s">
        <v>16</v>
      </c>
      <c r="D3654" s="6" t="s">
        <v>6887</v>
      </c>
      <c r="E3654" s="6"/>
      <c r="F3654" s="6" t="b">
        <f t="shared" si="1"/>
        <v>0</v>
      </c>
    </row>
    <row r="3655" ht="15.75" customHeight="1">
      <c r="A3655" s="7" t="s">
        <v>6888</v>
      </c>
      <c r="B3655" s="4" t="s">
        <v>6889</v>
      </c>
      <c r="C3655" s="5" t="s">
        <v>229</v>
      </c>
      <c r="D3655" s="6" t="s">
        <v>6890</v>
      </c>
      <c r="E3655" s="6"/>
      <c r="F3655" s="6" t="b">
        <f t="shared" si="1"/>
        <v>0</v>
      </c>
    </row>
    <row r="3656" ht="15.75" customHeight="1">
      <c r="A3656" s="7" t="s">
        <v>6891</v>
      </c>
      <c r="B3656" s="4" t="s">
        <v>6892</v>
      </c>
      <c r="C3656" s="5" t="s">
        <v>229</v>
      </c>
      <c r="D3656" s="6" t="s">
        <v>587</v>
      </c>
      <c r="E3656" s="6"/>
      <c r="F3656" s="6" t="b">
        <f t="shared" si="1"/>
        <v>0</v>
      </c>
    </row>
    <row r="3657" ht="15.75" customHeight="1">
      <c r="A3657" s="7" t="s">
        <v>6893</v>
      </c>
      <c r="B3657" s="4" t="s">
        <v>6894</v>
      </c>
      <c r="C3657" s="5" t="s">
        <v>229</v>
      </c>
      <c r="D3657" s="6" t="s">
        <v>6698</v>
      </c>
      <c r="E3657" s="6"/>
      <c r="F3657" s="6" t="b">
        <f t="shared" si="1"/>
        <v>0</v>
      </c>
    </row>
    <row r="3658" ht="15.75" customHeight="1">
      <c r="A3658" s="7" t="s">
        <v>6895</v>
      </c>
      <c r="B3658" s="4" t="s">
        <v>6896</v>
      </c>
      <c r="C3658" s="5" t="s">
        <v>6</v>
      </c>
      <c r="D3658" s="6" t="s">
        <v>6897</v>
      </c>
      <c r="E3658" s="6"/>
      <c r="F3658" s="6" t="b">
        <f t="shared" si="1"/>
        <v>0</v>
      </c>
    </row>
    <row r="3659" ht="15.75" customHeight="1">
      <c r="A3659" s="7" t="s">
        <v>6898</v>
      </c>
      <c r="B3659" s="4" t="s">
        <v>2816</v>
      </c>
      <c r="C3659" s="6"/>
      <c r="D3659" s="6" t="s">
        <v>150</v>
      </c>
      <c r="E3659" s="6"/>
      <c r="F3659" s="6" t="b">
        <f t="shared" si="1"/>
        <v>0</v>
      </c>
    </row>
    <row r="3660" ht="15.75" customHeight="1">
      <c r="A3660" s="7" t="s">
        <v>6899</v>
      </c>
      <c r="B3660" s="4" t="s">
        <v>6900</v>
      </c>
      <c r="C3660" s="5" t="s">
        <v>6</v>
      </c>
      <c r="D3660" s="6" t="s">
        <v>6901</v>
      </c>
      <c r="E3660" s="6"/>
      <c r="F3660" s="6" t="b">
        <f t="shared" si="1"/>
        <v>0</v>
      </c>
    </row>
    <row r="3661" ht="15.75" customHeight="1">
      <c r="A3661" s="7" t="s">
        <v>6902</v>
      </c>
      <c r="B3661" s="4" t="s">
        <v>6903</v>
      </c>
      <c r="C3661" s="5" t="s">
        <v>6</v>
      </c>
      <c r="D3661" s="6" t="s">
        <v>2032</v>
      </c>
      <c r="E3661" s="6"/>
      <c r="F3661" s="6" t="b">
        <f t="shared" si="1"/>
        <v>0</v>
      </c>
    </row>
    <row r="3662" ht="15.75" customHeight="1">
      <c r="A3662" s="7" t="s">
        <v>6904</v>
      </c>
      <c r="B3662" s="4" t="s">
        <v>6905</v>
      </c>
      <c r="C3662" s="5" t="s">
        <v>16</v>
      </c>
      <c r="D3662" s="6" t="s">
        <v>6906</v>
      </c>
      <c r="E3662" s="6"/>
      <c r="F3662" s="6" t="b">
        <f t="shared" si="1"/>
        <v>0</v>
      </c>
    </row>
    <row r="3663" ht="15.75" customHeight="1">
      <c r="A3663" s="7" t="s">
        <v>6907</v>
      </c>
      <c r="B3663" s="4" t="s">
        <v>6908</v>
      </c>
      <c r="C3663" s="5" t="s">
        <v>6</v>
      </c>
      <c r="D3663" s="6" t="s">
        <v>6909</v>
      </c>
      <c r="E3663" s="6"/>
      <c r="F3663" s="6" t="b">
        <f t="shared" si="1"/>
        <v>0</v>
      </c>
    </row>
    <row r="3664" ht="15.75" customHeight="1">
      <c r="A3664" s="7" t="s">
        <v>6910</v>
      </c>
      <c r="B3664" s="4" t="s">
        <v>4249</v>
      </c>
      <c r="C3664" s="5" t="s">
        <v>16</v>
      </c>
      <c r="D3664" s="6" t="s">
        <v>911</v>
      </c>
      <c r="E3664" s="6"/>
      <c r="F3664" s="6" t="b">
        <f t="shared" si="1"/>
        <v>0</v>
      </c>
    </row>
    <row r="3665" ht="15.75" customHeight="1">
      <c r="A3665" s="7" t="s">
        <v>6911</v>
      </c>
      <c r="B3665" s="4" t="s">
        <v>6912</v>
      </c>
      <c r="C3665" s="5" t="s">
        <v>6</v>
      </c>
      <c r="D3665" s="6" t="s">
        <v>6913</v>
      </c>
      <c r="E3665" s="6"/>
      <c r="F3665" s="6" t="b">
        <f t="shared" si="1"/>
        <v>0</v>
      </c>
    </row>
    <row r="3666" ht="15.75" customHeight="1">
      <c r="A3666" s="7" t="s">
        <v>6914</v>
      </c>
      <c r="B3666" s="4" t="s">
        <v>6915</v>
      </c>
      <c r="C3666" s="5" t="s">
        <v>16</v>
      </c>
      <c r="D3666" s="6" t="s">
        <v>1429</v>
      </c>
      <c r="E3666" s="6"/>
      <c r="F3666" s="6" t="b">
        <f t="shared" si="1"/>
        <v>0</v>
      </c>
    </row>
    <row r="3667" ht="15.75" customHeight="1">
      <c r="A3667" s="7" t="s">
        <v>6916</v>
      </c>
      <c r="B3667" s="4" t="s">
        <v>6917</v>
      </c>
      <c r="C3667" s="5" t="s">
        <v>16</v>
      </c>
      <c r="D3667" s="6" t="s">
        <v>6918</v>
      </c>
      <c r="E3667" s="6"/>
      <c r="F3667" s="6" t="b">
        <f t="shared" si="1"/>
        <v>0</v>
      </c>
    </row>
    <row r="3668" ht="15.75" customHeight="1">
      <c r="A3668" s="7" t="s">
        <v>6919</v>
      </c>
      <c r="B3668" s="4" t="s">
        <v>6920</v>
      </c>
      <c r="C3668" s="5" t="s">
        <v>6</v>
      </c>
      <c r="D3668" s="6" t="s">
        <v>6921</v>
      </c>
      <c r="E3668" s="6"/>
      <c r="F3668" s="6" t="b">
        <f t="shared" si="1"/>
        <v>0</v>
      </c>
    </row>
    <row r="3669" ht="15.75" customHeight="1">
      <c r="A3669" s="7" t="s">
        <v>6922</v>
      </c>
      <c r="B3669" s="4" t="s">
        <v>6923</v>
      </c>
      <c r="C3669" s="5" t="s">
        <v>6</v>
      </c>
      <c r="D3669" s="6" t="s">
        <v>6921</v>
      </c>
      <c r="E3669" s="6"/>
      <c r="F3669" s="6" t="b">
        <f t="shared" si="1"/>
        <v>0</v>
      </c>
    </row>
    <row r="3670" ht="15.75" customHeight="1">
      <c r="A3670" s="7" t="s">
        <v>6924</v>
      </c>
      <c r="B3670" s="4" t="s">
        <v>6925</v>
      </c>
      <c r="C3670" s="5" t="s">
        <v>6</v>
      </c>
      <c r="D3670" s="6" t="s">
        <v>6921</v>
      </c>
      <c r="E3670" s="6"/>
      <c r="F3670" s="6" t="b">
        <f t="shared" si="1"/>
        <v>0</v>
      </c>
    </row>
    <row r="3671" ht="15.75" customHeight="1">
      <c r="A3671" s="7" t="s">
        <v>6926</v>
      </c>
      <c r="B3671" s="4" t="s">
        <v>6927</v>
      </c>
      <c r="C3671" s="5" t="s">
        <v>6</v>
      </c>
      <c r="D3671" s="6" t="s">
        <v>6921</v>
      </c>
      <c r="E3671" s="6"/>
      <c r="F3671" s="6" t="b">
        <f t="shared" si="1"/>
        <v>0</v>
      </c>
    </row>
    <row r="3672" ht="15.75" customHeight="1">
      <c r="A3672" s="7" t="s">
        <v>6928</v>
      </c>
      <c r="B3672" s="4" t="s">
        <v>6929</v>
      </c>
      <c r="C3672" s="5" t="s">
        <v>16</v>
      </c>
      <c r="D3672" s="6" t="s">
        <v>1429</v>
      </c>
      <c r="E3672" s="6"/>
      <c r="F3672" s="6" t="b">
        <f t="shared" si="1"/>
        <v>0</v>
      </c>
    </row>
    <row r="3673" ht="15.75" customHeight="1">
      <c r="A3673" s="7" t="s">
        <v>6930</v>
      </c>
      <c r="B3673" s="4" t="s">
        <v>6931</v>
      </c>
      <c r="C3673" s="5" t="s">
        <v>6</v>
      </c>
      <c r="D3673" s="6" t="s">
        <v>6932</v>
      </c>
      <c r="E3673" s="6"/>
      <c r="F3673" s="6" t="b">
        <f t="shared" si="1"/>
        <v>0</v>
      </c>
    </row>
    <row r="3674" ht="15.75" customHeight="1">
      <c r="A3674" s="7" t="s">
        <v>6933</v>
      </c>
      <c r="B3674" s="4" t="s">
        <v>6934</v>
      </c>
      <c r="C3674" s="5" t="s">
        <v>6</v>
      </c>
      <c r="D3674" s="6" t="s">
        <v>6935</v>
      </c>
      <c r="E3674" s="6"/>
      <c r="F3674" s="6" t="b">
        <f t="shared" si="1"/>
        <v>0</v>
      </c>
    </row>
    <row r="3675" ht="15.75" customHeight="1">
      <c r="A3675" s="7" t="s">
        <v>6936</v>
      </c>
      <c r="B3675" s="4" t="s">
        <v>6937</v>
      </c>
      <c r="C3675" s="5" t="s">
        <v>16</v>
      </c>
      <c r="D3675" s="6" t="s">
        <v>2322</v>
      </c>
      <c r="E3675" s="6"/>
      <c r="F3675" s="6" t="b">
        <f t="shared" si="1"/>
        <v>0</v>
      </c>
    </row>
    <row r="3676" ht="15.75" customHeight="1">
      <c r="A3676" s="7" t="s">
        <v>6938</v>
      </c>
      <c r="B3676" s="4" t="s">
        <v>6939</v>
      </c>
      <c r="C3676" s="5" t="s">
        <v>6</v>
      </c>
      <c r="D3676" s="6" t="s">
        <v>1465</v>
      </c>
      <c r="E3676" s="6"/>
      <c r="F3676" s="6" t="b">
        <f t="shared" si="1"/>
        <v>0</v>
      </c>
    </row>
    <row r="3677" ht="15.75" customHeight="1">
      <c r="A3677" s="7" t="s">
        <v>6940</v>
      </c>
      <c r="B3677" s="4" t="s">
        <v>6941</v>
      </c>
      <c r="C3677" s="5" t="s">
        <v>6</v>
      </c>
      <c r="D3677" s="6" t="s">
        <v>1465</v>
      </c>
      <c r="E3677" s="6"/>
      <c r="F3677" s="6" t="b">
        <f t="shared" si="1"/>
        <v>0</v>
      </c>
    </row>
    <row r="3678" ht="15.75" customHeight="1">
      <c r="A3678" s="7" t="s">
        <v>6942</v>
      </c>
      <c r="B3678" s="4" t="s">
        <v>6943</v>
      </c>
      <c r="C3678" s="5" t="s">
        <v>6</v>
      </c>
      <c r="D3678" s="6" t="s">
        <v>1465</v>
      </c>
      <c r="E3678" s="6"/>
      <c r="F3678" s="6" t="b">
        <f t="shared" si="1"/>
        <v>0</v>
      </c>
    </row>
    <row r="3679" ht="15.75" customHeight="1">
      <c r="A3679" s="7" t="s">
        <v>6944</v>
      </c>
      <c r="B3679" s="4" t="s">
        <v>6945</v>
      </c>
      <c r="C3679" s="5" t="s">
        <v>16</v>
      </c>
      <c r="D3679" s="6" t="s">
        <v>4530</v>
      </c>
      <c r="E3679" s="6"/>
      <c r="F3679" s="6" t="b">
        <f t="shared" si="1"/>
        <v>0</v>
      </c>
    </row>
    <row r="3680" ht="15.75" customHeight="1">
      <c r="A3680" s="7" t="s">
        <v>6946</v>
      </c>
      <c r="B3680" s="4" t="s">
        <v>6947</v>
      </c>
      <c r="C3680" s="5" t="s">
        <v>16</v>
      </c>
      <c r="D3680" s="6" t="s">
        <v>6948</v>
      </c>
      <c r="E3680" s="6"/>
      <c r="F3680" s="6" t="b">
        <f t="shared" si="1"/>
        <v>0</v>
      </c>
    </row>
    <row r="3681" ht="15.75" customHeight="1">
      <c r="A3681" s="7" t="s">
        <v>6949</v>
      </c>
      <c r="B3681" s="4" t="s">
        <v>6950</v>
      </c>
      <c r="C3681" s="5" t="s">
        <v>16</v>
      </c>
      <c r="D3681" s="6" t="s">
        <v>1434</v>
      </c>
      <c r="E3681" s="6"/>
      <c r="F3681" s="6" t="b">
        <f t="shared" si="1"/>
        <v>0</v>
      </c>
    </row>
    <row r="3682" ht="15.75" customHeight="1">
      <c r="A3682" s="7" t="s">
        <v>6951</v>
      </c>
      <c r="B3682" s="4" t="s">
        <v>6952</v>
      </c>
      <c r="C3682" s="5" t="s">
        <v>16</v>
      </c>
      <c r="D3682" s="6" t="s">
        <v>6953</v>
      </c>
      <c r="E3682" s="6"/>
      <c r="F3682" s="6" t="b">
        <f t="shared" si="1"/>
        <v>0</v>
      </c>
    </row>
    <row r="3683" ht="15.75" customHeight="1">
      <c r="A3683" s="7" t="s">
        <v>6954</v>
      </c>
      <c r="B3683" s="4" t="s">
        <v>6955</v>
      </c>
      <c r="C3683" s="5" t="s">
        <v>16</v>
      </c>
      <c r="D3683" s="6" t="s">
        <v>6956</v>
      </c>
      <c r="E3683" s="6"/>
      <c r="F3683" s="6" t="b">
        <f t="shared" si="1"/>
        <v>0</v>
      </c>
    </row>
    <row r="3684" ht="15.75" customHeight="1">
      <c r="A3684" s="7" t="s">
        <v>6957</v>
      </c>
      <c r="B3684" s="4" t="s">
        <v>6958</v>
      </c>
      <c r="C3684" s="5" t="s">
        <v>16</v>
      </c>
      <c r="D3684" s="6" t="s">
        <v>2322</v>
      </c>
      <c r="E3684" s="6"/>
      <c r="F3684" s="6" t="b">
        <f t="shared" si="1"/>
        <v>0</v>
      </c>
    </row>
    <row r="3685" ht="15.75" customHeight="1">
      <c r="A3685" s="7" t="s">
        <v>6959</v>
      </c>
      <c r="B3685" s="4" t="s">
        <v>6960</v>
      </c>
      <c r="C3685" s="5" t="s">
        <v>16</v>
      </c>
      <c r="D3685" s="6" t="s">
        <v>1434</v>
      </c>
      <c r="E3685" s="6"/>
      <c r="F3685" s="6" t="b">
        <f t="shared" si="1"/>
        <v>0</v>
      </c>
    </row>
    <row r="3686" ht="15.75" customHeight="1">
      <c r="A3686" s="7" t="s">
        <v>6961</v>
      </c>
      <c r="B3686" s="4" t="s">
        <v>6962</v>
      </c>
      <c r="C3686" s="5" t="s">
        <v>16</v>
      </c>
      <c r="D3686" s="6" t="s">
        <v>4563</v>
      </c>
      <c r="E3686" s="6"/>
      <c r="F3686" s="6" t="b">
        <f t="shared" si="1"/>
        <v>0</v>
      </c>
    </row>
    <row r="3687" ht="15.75" customHeight="1">
      <c r="A3687" s="7" t="s">
        <v>6963</v>
      </c>
      <c r="B3687" s="4" t="s">
        <v>6964</v>
      </c>
      <c r="C3687" s="5" t="s">
        <v>6</v>
      </c>
      <c r="D3687" s="6" t="s">
        <v>4363</v>
      </c>
      <c r="E3687" s="6"/>
      <c r="F3687" s="6" t="b">
        <f t="shared" si="1"/>
        <v>0</v>
      </c>
    </row>
    <row r="3688" ht="15.75" customHeight="1">
      <c r="A3688" s="7" t="s">
        <v>6965</v>
      </c>
      <c r="B3688" s="4" t="s">
        <v>6966</v>
      </c>
      <c r="C3688" s="5" t="s">
        <v>6</v>
      </c>
      <c r="D3688" s="6" t="s">
        <v>1776</v>
      </c>
      <c r="E3688" s="6"/>
      <c r="F3688" s="6" t="b">
        <f t="shared" si="1"/>
        <v>0</v>
      </c>
    </row>
    <row r="3689" ht="15.75" customHeight="1">
      <c r="A3689" s="7" t="s">
        <v>6967</v>
      </c>
      <c r="B3689" s="4" t="s">
        <v>6968</v>
      </c>
      <c r="C3689" s="5" t="s">
        <v>16</v>
      </c>
      <c r="D3689" s="6" t="s">
        <v>4437</v>
      </c>
      <c r="E3689" s="6"/>
      <c r="F3689" s="6" t="b">
        <f t="shared" si="1"/>
        <v>0</v>
      </c>
    </row>
    <row r="3690" ht="15.75" customHeight="1">
      <c r="A3690" s="7" t="s">
        <v>6969</v>
      </c>
      <c r="B3690" s="4" t="s">
        <v>6970</v>
      </c>
      <c r="C3690" s="5" t="s">
        <v>16</v>
      </c>
      <c r="D3690" s="6" t="s">
        <v>6971</v>
      </c>
      <c r="E3690" s="6"/>
      <c r="F3690" s="6" t="b">
        <f t="shared" si="1"/>
        <v>0</v>
      </c>
    </row>
    <row r="3691" ht="15.75" customHeight="1">
      <c r="A3691" s="7" t="s">
        <v>6972</v>
      </c>
      <c r="B3691" s="4" t="s">
        <v>6973</v>
      </c>
      <c r="C3691" s="5" t="s">
        <v>6</v>
      </c>
      <c r="D3691" s="6" t="s">
        <v>6974</v>
      </c>
      <c r="E3691" s="6"/>
      <c r="F3691" s="6" t="b">
        <f t="shared" si="1"/>
        <v>0</v>
      </c>
    </row>
    <row r="3692" ht="15.75" customHeight="1">
      <c r="A3692" s="7" t="s">
        <v>6975</v>
      </c>
      <c r="B3692" s="4" t="s">
        <v>6976</v>
      </c>
      <c r="C3692" s="5" t="s">
        <v>16</v>
      </c>
      <c r="D3692" s="6" t="s">
        <v>4553</v>
      </c>
      <c r="E3692" s="6"/>
      <c r="F3692" s="6" t="b">
        <f t="shared" si="1"/>
        <v>0</v>
      </c>
    </row>
    <row r="3693" ht="15.75" customHeight="1">
      <c r="A3693" s="7" t="s">
        <v>6977</v>
      </c>
      <c r="B3693" s="4" t="s">
        <v>6978</v>
      </c>
      <c r="C3693" s="5" t="s">
        <v>16</v>
      </c>
      <c r="D3693" s="6" t="s">
        <v>1087</v>
      </c>
      <c r="E3693" s="6"/>
      <c r="F3693" s="6" t="b">
        <f t="shared" si="1"/>
        <v>0</v>
      </c>
    </row>
    <row r="3694" ht="15.75" customHeight="1">
      <c r="A3694" s="7" t="s">
        <v>6979</v>
      </c>
      <c r="B3694" s="4" t="s">
        <v>6980</v>
      </c>
      <c r="C3694" s="5" t="s">
        <v>16</v>
      </c>
      <c r="D3694" s="6" t="s">
        <v>3521</v>
      </c>
      <c r="E3694" s="6"/>
      <c r="F3694" s="6" t="b">
        <f t="shared" si="1"/>
        <v>0</v>
      </c>
    </row>
    <row r="3695" ht="15.75" customHeight="1">
      <c r="A3695" s="7" t="s">
        <v>6981</v>
      </c>
      <c r="B3695" s="4" t="s">
        <v>6982</v>
      </c>
      <c r="C3695" s="5" t="s">
        <v>16</v>
      </c>
      <c r="D3695" s="6" t="s">
        <v>3521</v>
      </c>
      <c r="E3695" s="6"/>
      <c r="F3695" s="6" t="b">
        <f t="shared" si="1"/>
        <v>0</v>
      </c>
    </row>
    <row r="3696" ht="15.75" customHeight="1">
      <c r="A3696" s="7" t="s">
        <v>6983</v>
      </c>
      <c r="B3696" s="4" t="s">
        <v>6984</v>
      </c>
      <c r="C3696" s="5" t="s">
        <v>16</v>
      </c>
      <c r="D3696" s="6" t="s">
        <v>1429</v>
      </c>
      <c r="E3696" s="6"/>
      <c r="F3696" s="6" t="b">
        <f t="shared" si="1"/>
        <v>0</v>
      </c>
    </row>
    <row r="3697" ht="15.75" customHeight="1">
      <c r="A3697" s="7" t="s">
        <v>6985</v>
      </c>
      <c r="B3697" s="4" t="s">
        <v>6986</v>
      </c>
      <c r="C3697" s="5" t="s">
        <v>16</v>
      </c>
      <c r="D3697" s="6" t="s">
        <v>4162</v>
      </c>
      <c r="E3697" s="6"/>
      <c r="F3697" s="6" t="b">
        <f t="shared" si="1"/>
        <v>0</v>
      </c>
    </row>
    <row r="3698" ht="15.75" customHeight="1">
      <c r="A3698" s="7" t="s">
        <v>6987</v>
      </c>
      <c r="B3698" s="4" t="s">
        <v>6988</v>
      </c>
      <c r="C3698" s="5" t="s">
        <v>16</v>
      </c>
      <c r="D3698" s="6" t="s">
        <v>6989</v>
      </c>
      <c r="E3698" s="6"/>
      <c r="F3698" s="6" t="b">
        <f t="shared" si="1"/>
        <v>0</v>
      </c>
    </row>
    <row r="3699" ht="15.75" customHeight="1">
      <c r="A3699" s="7" t="s">
        <v>6990</v>
      </c>
      <c r="B3699" s="4" t="s">
        <v>6991</v>
      </c>
      <c r="C3699" s="5" t="s">
        <v>16</v>
      </c>
      <c r="D3699" s="6" t="s">
        <v>6992</v>
      </c>
      <c r="E3699" s="6"/>
      <c r="F3699" s="6" t="b">
        <f t="shared" si="1"/>
        <v>0</v>
      </c>
    </row>
    <row r="3700" ht="15.75" customHeight="1">
      <c r="A3700" s="7" t="s">
        <v>6993</v>
      </c>
      <c r="B3700" s="4" t="s">
        <v>6994</v>
      </c>
      <c r="C3700" s="5" t="s">
        <v>16</v>
      </c>
      <c r="D3700" s="6" t="s">
        <v>4530</v>
      </c>
      <c r="E3700" s="6"/>
      <c r="F3700" s="6" t="b">
        <f t="shared" si="1"/>
        <v>0</v>
      </c>
    </row>
    <row r="3701" ht="15.75" customHeight="1">
      <c r="A3701" s="7" t="s">
        <v>6995</v>
      </c>
      <c r="B3701" s="4" t="s">
        <v>6996</v>
      </c>
      <c r="C3701" s="5" t="s">
        <v>16</v>
      </c>
      <c r="D3701" s="6" t="s">
        <v>3524</v>
      </c>
      <c r="E3701" s="6"/>
      <c r="F3701" s="6" t="b">
        <f t="shared" si="1"/>
        <v>0</v>
      </c>
    </row>
    <row r="3702" ht="15.75" customHeight="1">
      <c r="A3702" s="7" t="s">
        <v>6997</v>
      </c>
      <c r="B3702" s="4" t="s">
        <v>6998</v>
      </c>
      <c r="C3702" s="5" t="s">
        <v>16</v>
      </c>
      <c r="D3702" s="6" t="s">
        <v>3524</v>
      </c>
      <c r="E3702" s="6"/>
      <c r="F3702" s="6" t="b">
        <f t="shared" si="1"/>
        <v>0</v>
      </c>
    </row>
    <row r="3703" ht="15.75" customHeight="1">
      <c r="A3703" s="7" t="s">
        <v>6999</v>
      </c>
      <c r="B3703" s="4" t="s">
        <v>7000</v>
      </c>
      <c r="C3703" s="5" t="s">
        <v>16</v>
      </c>
      <c r="D3703" s="6" t="s">
        <v>3527</v>
      </c>
      <c r="E3703" s="6"/>
      <c r="F3703" s="6" t="b">
        <f t="shared" si="1"/>
        <v>0</v>
      </c>
    </row>
    <row r="3704" ht="15.75" customHeight="1">
      <c r="A3704" s="7" t="s">
        <v>7001</v>
      </c>
      <c r="B3704" s="4" t="s">
        <v>7002</v>
      </c>
      <c r="C3704" s="5" t="s">
        <v>16</v>
      </c>
      <c r="D3704" s="6" t="s">
        <v>4183</v>
      </c>
      <c r="E3704" s="6"/>
      <c r="F3704" s="6" t="b">
        <f t="shared" si="1"/>
        <v>0</v>
      </c>
    </row>
    <row r="3705" ht="15.75" customHeight="1">
      <c r="A3705" s="7" t="s">
        <v>7003</v>
      </c>
      <c r="B3705" s="4" t="s">
        <v>7004</v>
      </c>
      <c r="C3705" s="5" t="s">
        <v>16</v>
      </c>
      <c r="D3705" s="6" t="s">
        <v>7005</v>
      </c>
      <c r="E3705" s="6"/>
      <c r="F3705" s="6" t="b">
        <f t="shared" si="1"/>
        <v>0</v>
      </c>
    </row>
    <row r="3706" ht="15.75" customHeight="1">
      <c r="A3706" s="7" t="s">
        <v>7006</v>
      </c>
      <c r="B3706" s="4" t="s">
        <v>7007</v>
      </c>
      <c r="C3706" s="5" t="s">
        <v>6</v>
      </c>
      <c r="D3706" s="6" t="s">
        <v>7008</v>
      </c>
      <c r="E3706" s="6"/>
      <c r="F3706" s="6" t="b">
        <f t="shared" si="1"/>
        <v>0</v>
      </c>
    </row>
    <row r="3707" ht="15.75" customHeight="1">
      <c r="A3707" s="7" t="s">
        <v>7009</v>
      </c>
      <c r="B3707" s="4" t="s">
        <v>7010</v>
      </c>
      <c r="C3707" s="5" t="s">
        <v>6</v>
      </c>
      <c r="D3707" s="6" t="s">
        <v>7011</v>
      </c>
      <c r="E3707" s="6"/>
      <c r="F3707" s="6" t="b">
        <f t="shared" si="1"/>
        <v>0</v>
      </c>
    </row>
    <row r="3708" ht="15.75" customHeight="1">
      <c r="A3708" s="7" t="s">
        <v>7012</v>
      </c>
      <c r="B3708" s="4" t="s">
        <v>7013</v>
      </c>
      <c r="C3708" s="5" t="s">
        <v>229</v>
      </c>
      <c r="D3708" s="6" t="s">
        <v>6698</v>
      </c>
      <c r="E3708" s="6"/>
      <c r="F3708" s="6" t="b">
        <f t="shared" si="1"/>
        <v>0</v>
      </c>
    </row>
    <row r="3709" ht="15.75" customHeight="1">
      <c r="A3709" s="7" t="s">
        <v>7014</v>
      </c>
      <c r="B3709" s="4" t="s">
        <v>7015</v>
      </c>
      <c r="C3709" s="5" t="s">
        <v>6</v>
      </c>
      <c r="D3709" s="6" t="s">
        <v>7016</v>
      </c>
      <c r="E3709" s="6"/>
      <c r="F3709" s="6" t="b">
        <f t="shared" si="1"/>
        <v>0</v>
      </c>
    </row>
    <row r="3710" ht="15.75" customHeight="1">
      <c r="A3710" s="7" t="s">
        <v>7017</v>
      </c>
      <c r="B3710" s="4" t="s">
        <v>7018</v>
      </c>
      <c r="C3710" s="5" t="s">
        <v>16</v>
      </c>
      <c r="D3710" s="6" t="s">
        <v>7019</v>
      </c>
      <c r="E3710" s="6"/>
      <c r="F3710" s="6" t="b">
        <f t="shared" si="1"/>
        <v>0</v>
      </c>
    </row>
    <row r="3711" ht="15.75" customHeight="1">
      <c r="A3711" s="7" t="s">
        <v>7020</v>
      </c>
      <c r="B3711" s="4" t="s">
        <v>7021</v>
      </c>
      <c r="C3711" s="5" t="s">
        <v>16</v>
      </c>
      <c r="D3711" s="6" t="s">
        <v>7022</v>
      </c>
      <c r="E3711" s="6"/>
      <c r="F3711" s="6" t="b">
        <f t="shared" si="1"/>
        <v>0</v>
      </c>
    </row>
    <row r="3712" ht="15.75" customHeight="1">
      <c r="A3712" s="7" t="s">
        <v>7023</v>
      </c>
      <c r="B3712" s="4" t="s">
        <v>7024</v>
      </c>
      <c r="C3712" s="8"/>
      <c r="D3712" s="6" t="s">
        <v>55</v>
      </c>
      <c r="E3712" s="6"/>
      <c r="F3712" s="6" t="b">
        <f t="shared" si="1"/>
        <v>0</v>
      </c>
    </row>
    <row r="3713" ht="15.75" customHeight="1">
      <c r="A3713" s="7" t="s">
        <v>7025</v>
      </c>
      <c r="B3713" s="4" t="s">
        <v>7026</v>
      </c>
      <c r="C3713" s="5" t="s">
        <v>6</v>
      </c>
      <c r="D3713" s="6" t="s">
        <v>5304</v>
      </c>
      <c r="E3713" s="6"/>
      <c r="F3713" s="6" t="b">
        <f t="shared" si="1"/>
        <v>0</v>
      </c>
    </row>
    <row r="3714" ht="15.75" customHeight="1">
      <c r="A3714" s="7" t="s">
        <v>7027</v>
      </c>
      <c r="B3714" s="4" t="s">
        <v>7028</v>
      </c>
      <c r="C3714" s="6"/>
      <c r="D3714" s="6" t="s">
        <v>55</v>
      </c>
      <c r="E3714" s="6"/>
      <c r="F3714" s="6" t="b">
        <f t="shared" si="1"/>
        <v>0</v>
      </c>
    </row>
    <row r="3715" ht="15.75" customHeight="1">
      <c r="A3715" s="7" t="s">
        <v>7029</v>
      </c>
      <c r="B3715" s="4" t="s">
        <v>7030</v>
      </c>
      <c r="C3715" s="5" t="s">
        <v>16</v>
      </c>
      <c r="D3715" s="6" t="s">
        <v>7031</v>
      </c>
      <c r="E3715" s="6"/>
      <c r="F3715" s="6" t="b">
        <f t="shared" si="1"/>
        <v>0</v>
      </c>
    </row>
    <row r="3716" ht="15.75" customHeight="1">
      <c r="A3716" s="7" t="s">
        <v>7032</v>
      </c>
      <c r="B3716" s="4" t="s">
        <v>7033</v>
      </c>
      <c r="C3716" s="5" t="s">
        <v>229</v>
      </c>
      <c r="D3716" s="6" t="s">
        <v>230</v>
      </c>
      <c r="E3716" s="6"/>
      <c r="F3716" s="6" t="b">
        <f t="shared" si="1"/>
        <v>0</v>
      </c>
    </row>
    <row r="3717" ht="15.75" customHeight="1">
      <c r="A3717" s="7" t="s">
        <v>7034</v>
      </c>
      <c r="B3717" s="4" t="s">
        <v>7035</v>
      </c>
      <c r="C3717" s="5" t="s">
        <v>6</v>
      </c>
      <c r="D3717" s="6" t="s">
        <v>7036</v>
      </c>
      <c r="E3717" s="6"/>
      <c r="F3717" s="6" t="b">
        <f t="shared" si="1"/>
        <v>0</v>
      </c>
    </row>
    <row r="3718" ht="15.75" customHeight="1">
      <c r="A3718" s="7" t="s">
        <v>7037</v>
      </c>
      <c r="B3718" s="4" t="s">
        <v>7038</v>
      </c>
      <c r="C3718" s="5" t="s">
        <v>16</v>
      </c>
      <c r="D3718" s="6" t="s">
        <v>3088</v>
      </c>
      <c r="E3718" s="6"/>
      <c r="F3718" s="6" t="b">
        <f t="shared" si="1"/>
        <v>0</v>
      </c>
    </row>
    <row r="3719" ht="15.75" customHeight="1">
      <c r="A3719" s="7" t="s">
        <v>7039</v>
      </c>
      <c r="B3719" s="4" t="s">
        <v>7040</v>
      </c>
      <c r="C3719" s="5" t="s">
        <v>16</v>
      </c>
      <c r="D3719" s="6" t="s">
        <v>6089</v>
      </c>
      <c r="E3719" s="6"/>
      <c r="F3719" s="6" t="b">
        <f t="shared" si="1"/>
        <v>0</v>
      </c>
    </row>
    <row r="3720" ht="15.75" customHeight="1">
      <c r="A3720" s="7" t="s">
        <v>7041</v>
      </c>
      <c r="B3720" s="4" t="s">
        <v>7042</v>
      </c>
      <c r="C3720" s="5" t="s">
        <v>6</v>
      </c>
      <c r="D3720" s="6" t="s">
        <v>7043</v>
      </c>
      <c r="E3720" s="6"/>
      <c r="F3720" s="6" t="b">
        <f t="shared" si="1"/>
        <v>0</v>
      </c>
    </row>
    <row r="3721" ht="15.75" customHeight="1">
      <c r="A3721" s="7" t="s">
        <v>7044</v>
      </c>
      <c r="B3721" s="4" t="s">
        <v>7045</v>
      </c>
      <c r="C3721" s="5" t="s">
        <v>6</v>
      </c>
      <c r="D3721" s="6" t="s">
        <v>7046</v>
      </c>
      <c r="E3721" s="6"/>
      <c r="F3721" s="6" t="b">
        <f t="shared" si="1"/>
        <v>0</v>
      </c>
    </row>
    <row r="3722" ht="15.75" customHeight="1">
      <c r="A3722" s="7" t="s">
        <v>7047</v>
      </c>
      <c r="B3722" s="4" t="s">
        <v>7048</v>
      </c>
      <c r="C3722" s="5" t="s">
        <v>6</v>
      </c>
      <c r="D3722" s="6" t="s">
        <v>7049</v>
      </c>
      <c r="E3722" s="6"/>
      <c r="F3722" s="6" t="b">
        <f t="shared" si="1"/>
        <v>0</v>
      </c>
    </row>
    <row r="3723" ht="15.75" customHeight="1">
      <c r="A3723" s="7" t="s">
        <v>7050</v>
      </c>
      <c r="B3723" s="4" t="s">
        <v>7051</v>
      </c>
      <c r="C3723" s="5" t="s">
        <v>6</v>
      </c>
      <c r="D3723" s="6" t="s">
        <v>6140</v>
      </c>
      <c r="E3723" s="6"/>
      <c r="F3723" s="6" t="b">
        <f t="shared" si="1"/>
        <v>0</v>
      </c>
    </row>
    <row r="3724" ht="15.75" customHeight="1">
      <c r="A3724" s="7" t="s">
        <v>7052</v>
      </c>
      <c r="B3724" s="4" t="s">
        <v>7053</v>
      </c>
      <c r="C3724" s="5" t="s">
        <v>6</v>
      </c>
      <c r="D3724" s="6" t="s">
        <v>7054</v>
      </c>
      <c r="E3724" s="6"/>
      <c r="F3724" s="6" t="b">
        <f t="shared" si="1"/>
        <v>0</v>
      </c>
    </row>
    <row r="3725" ht="15.75" customHeight="1">
      <c r="A3725" s="7" t="s">
        <v>7055</v>
      </c>
      <c r="B3725" s="4" t="s">
        <v>7056</v>
      </c>
      <c r="C3725" s="5" t="s">
        <v>6</v>
      </c>
      <c r="D3725" s="6" t="s">
        <v>1622</v>
      </c>
      <c r="E3725" s="6"/>
      <c r="F3725" s="6" t="b">
        <f t="shared" si="1"/>
        <v>0</v>
      </c>
    </row>
    <row r="3726" ht="15.75" customHeight="1">
      <c r="A3726" s="7" t="s">
        <v>7057</v>
      </c>
      <c r="B3726" s="4" t="s">
        <v>7058</v>
      </c>
      <c r="C3726" s="5" t="s">
        <v>6</v>
      </c>
      <c r="D3726" s="6" t="s">
        <v>6163</v>
      </c>
      <c r="E3726" s="6"/>
      <c r="F3726" s="6" t="b">
        <f t="shared" si="1"/>
        <v>0</v>
      </c>
    </row>
    <row r="3727" ht="15.75" customHeight="1">
      <c r="A3727" s="7" t="s">
        <v>7059</v>
      </c>
      <c r="B3727" s="4" t="s">
        <v>7060</v>
      </c>
      <c r="C3727" s="5" t="s">
        <v>6</v>
      </c>
      <c r="D3727" s="6" t="s">
        <v>7061</v>
      </c>
      <c r="E3727" s="6"/>
      <c r="F3727" s="6" t="b">
        <f t="shared" si="1"/>
        <v>0</v>
      </c>
    </row>
    <row r="3728" ht="15.75" customHeight="1">
      <c r="A3728" s="7" t="s">
        <v>7062</v>
      </c>
      <c r="B3728" s="4" t="s">
        <v>7063</v>
      </c>
      <c r="C3728" s="5" t="s">
        <v>6</v>
      </c>
      <c r="D3728" s="6" t="s">
        <v>477</v>
      </c>
      <c r="E3728" s="6"/>
      <c r="F3728" s="6" t="b">
        <f t="shared" si="1"/>
        <v>0</v>
      </c>
    </row>
    <row r="3729" ht="15.75" customHeight="1">
      <c r="A3729" s="7" t="s">
        <v>7064</v>
      </c>
      <c r="B3729" s="4" t="s">
        <v>7065</v>
      </c>
      <c r="C3729" s="5" t="s">
        <v>229</v>
      </c>
      <c r="D3729" s="6" t="s">
        <v>6688</v>
      </c>
      <c r="E3729" s="6"/>
      <c r="F3729" s="6" t="b">
        <f t="shared" si="1"/>
        <v>0</v>
      </c>
    </row>
    <row r="3730" ht="15.75" customHeight="1">
      <c r="A3730" s="7" t="s">
        <v>7066</v>
      </c>
      <c r="B3730" s="4" t="s">
        <v>7067</v>
      </c>
      <c r="C3730" s="6"/>
      <c r="D3730" s="6" t="s">
        <v>150</v>
      </c>
      <c r="E3730" s="6"/>
      <c r="F3730" s="6" t="b">
        <f t="shared" si="1"/>
        <v>0</v>
      </c>
    </row>
    <row r="3731" ht="15.75" customHeight="1">
      <c r="A3731" s="7" t="s">
        <v>7068</v>
      </c>
      <c r="B3731" s="4" t="s">
        <v>7069</v>
      </c>
      <c r="C3731" s="5" t="s">
        <v>6</v>
      </c>
      <c r="D3731" s="6" t="s">
        <v>7070</v>
      </c>
      <c r="E3731" s="6"/>
      <c r="F3731" s="6" t="b">
        <f t="shared" si="1"/>
        <v>0</v>
      </c>
    </row>
    <row r="3732" ht="15.75" customHeight="1">
      <c r="A3732" s="7" t="s">
        <v>7071</v>
      </c>
      <c r="B3732" s="4" t="s">
        <v>7072</v>
      </c>
      <c r="C3732" s="5" t="s">
        <v>6</v>
      </c>
      <c r="D3732" s="6" t="s">
        <v>7070</v>
      </c>
      <c r="E3732" s="6"/>
      <c r="F3732" s="6" t="b">
        <f t="shared" si="1"/>
        <v>0</v>
      </c>
    </row>
    <row r="3733" ht="15.75" customHeight="1">
      <c r="A3733" s="7" t="s">
        <v>7073</v>
      </c>
      <c r="B3733" s="4" t="s">
        <v>7074</v>
      </c>
      <c r="C3733" s="5" t="s">
        <v>6</v>
      </c>
      <c r="D3733" s="6" t="s">
        <v>7075</v>
      </c>
      <c r="E3733" s="6"/>
      <c r="F3733" s="6" t="b">
        <f t="shared" si="1"/>
        <v>0</v>
      </c>
    </row>
    <row r="3734" ht="15.75" customHeight="1">
      <c r="A3734" s="7" t="s">
        <v>7076</v>
      </c>
      <c r="B3734" s="4" t="s">
        <v>7077</v>
      </c>
      <c r="C3734" s="5" t="s">
        <v>229</v>
      </c>
      <c r="D3734" s="6" t="s">
        <v>6175</v>
      </c>
      <c r="E3734" s="6"/>
      <c r="F3734" s="6" t="b">
        <f t="shared" si="1"/>
        <v>0</v>
      </c>
    </row>
    <row r="3735" ht="15.75" customHeight="1">
      <c r="A3735" s="7" t="s">
        <v>7078</v>
      </c>
      <c r="B3735" s="4" t="s">
        <v>7079</v>
      </c>
      <c r="C3735" s="5" t="s">
        <v>6</v>
      </c>
      <c r="D3735" s="6" t="s">
        <v>7080</v>
      </c>
      <c r="E3735" s="6"/>
      <c r="F3735" s="6" t="b">
        <f t="shared" si="1"/>
        <v>0</v>
      </c>
    </row>
    <row r="3736" ht="15.75" customHeight="1">
      <c r="A3736" s="7" t="s">
        <v>7081</v>
      </c>
      <c r="B3736" s="4" t="s">
        <v>7082</v>
      </c>
      <c r="C3736" s="5" t="s">
        <v>6</v>
      </c>
      <c r="D3736" s="6" t="s">
        <v>7080</v>
      </c>
      <c r="E3736" s="6"/>
      <c r="F3736" s="6" t="b">
        <f t="shared" si="1"/>
        <v>0</v>
      </c>
    </row>
    <row r="3737" ht="15.75" customHeight="1">
      <c r="A3737" s="7" t="s">
        <v>7083</v>
      </c>
      <c r="B3737" s="4" t="s">
        <v>2053</v>
      </c>
      <c r="C3737" s="5" t="s">
        <v>6</v>
      </c>
      <c r="D3737" s="6" t="s">
        <v>1756</v>
      </c>
      <c r="E3737" s="6"/>
      <c r="F3737" s="6" t="b">
        <f t="shared" si="1"/>
        <v>0</v>
      </c>
    </row>
    <row r="3738" ht="15.75" customHeight="1">
      <c r="A3738" s="7" t="s">
        <v>7084</v>
      </c>
      <c r="B3738" s="4" t="s">
        <v>7085</v>
      </c>
      <c r="C3738" s="5" t="s">
        <v>6</v>
      </c>
      <c r="D3738" s="6" t="s">
        <v>1067</v>
      </c>
      <c r="E3738" s="6"/>
      <c r="F3738" s="6" t="b">
        <f t="shared" si="1"/>
        <v>0</v>
      </c>
    </row>
    <row r="3739" ht="15.75" customHeight="1">
      <c r="A3739" s="7" t="s">
        <v>7086</v>
      </c>
      <c r="B3739" s="4" t="s">
        <v>7087</v>
      </c>
      <c r="C3739" s="5" t="s">
        <v>16</v>
      </c>
      <c r="D3739" s="6" t="s">
        <v>7088</v>
      </c>
      <c r="E3739" s="6"/>
      <c r="F3739" s="6" t="b">
        <f t="shared" si="1"/>
        <v>0</v>
      </c>
    </row>
    <row r="3740" ht="15.75" customHeight="1">
      <c r="A3740" s="7" t="s">
        <v>7089</v>
      </c>
      <c r="B3740" s="4" t="s">
        <v>7090</v>
      </c>
      <c r="C3740" s="5" t="s">
        <v>229</v>
      </c>
      <c r="D3740" s="6" t="s">
        <v>230</v>
      </c>
      <c r="E3740" s="6"/>
      <c r="F3740" s="6" t="b">
        <f t="shared" si="1"/>
        <v>0</v>
      </c>
    </row>
    <row r="3741" ht="15.75" customHeight="1">
      <c r="A3741" s="7" t="s">
        <v>7091</v>
      </c>
      <c r="B3741" s="4" t="s">
        <v>7092</v>
      </c>
      <c r="C3741" s="5" t="s">
        <v>229</v>
      </c>
      <c r="D3741" s="6" t="s">
        <v>6175</v>
      </c>
      <c r="E3741" s="6"/>
      <c r="F3741" s="6" t="b">
        <f t="shared" si="1"/>
        <v>0</v>
      </c>
    </row>
    <row r="3742" ht="15.75" customHeight="1">
      <c r="A3742" s="7" t="s">
        <v>7093</v>
      </c>
      <c r="B3742" s="4" t="s">
        <v>7094</v>
      </c>
      <c r="C3742" s="5" t="s">
        <v>6</v>
      </c>
      <c r="D3742" s="6" t="s">
        <v>7095</v>
      </c>
      <c r="E3742" s="6"/>
      <c r="F3742" s="6" t="b">
        <f t="shared" si="1"/>
        <v>0</v>
      </c>
    </row>
    <row r="3743" ht="15.75" customHeight="1">
      <c r="A3743" s="7" t="s">
        <v>7096</v>
      </c>
      <c r="B3743" s="4" t="s">
        <v>7097</v>
      </c>
      <c r="C3743" s="5" t="s">
        <v>6</v>
      </c>
      <c r="D3743" s="6" t="s">
        <v>547</v>
      </c>
      <c r="E3743" s="6"/>
      <c r="F3743" s="6" t="b">
        <f t="shared" si="1"/>
        <v>0</v>
      </c>
    </row>
    <row r="3744" ht="15.75" customHeight="1">
      <c r="A3744" s="7" t="s">
        <v>7098</v>
      </c>
      <c r="B3744" s="4" t="s">
        <v>7099</v>
      </c>
      <c r="C3744" s="5" t="s">
        <v>6</v>
      </c>
      <c r="D3744" s="6" t="s">
        <v>547</v>
      </c>
      <c r="E3744" s="6"/>
      <c r="F3744" s="6" t="b">
        <f t="shared" si="1"/>
        <v>0</v>
      </c>
    </row>
    <row r="3745" ht="15.75" customHeight="1">
      <c r="A3745" s="7" t="s">
        <v>7100</v>
      </c>
      <c r="B3745" s="4" t="s">
        <v>7101</v>
      </c>
      <c r="C3745" s="5" t="s">
        <v>6</v>
      </c>
      <c r="D3745" s="6" t="s">
        <v>547</v>
      </c>
      <c r="E3745" s="6"/>
      <c r="F3745" s="6" t="b">
        <f t="shared" si="1"/>
        <v>0</v>
      </c>
    </row>
    <row r="3746" ht="15.75" customHeight="1">
      <c r="A3746" s="7" t="s">
        <v>7102</v>
      </c>
      <c r="B3746" s="4" t="s">
        <v>7103</v>
      </c>
      <c r="C3746" s="5" t="s">
        <v>6</v>
      </c>
      <c r="D3746" s="6" t="s">
        <v>1422</v>
      </c>
      <c r="E3746" s="6"/>
      <c r="F3746" s="6" t="b">
        <f t="shared" si="1"/>
        <v>0</v>
      </c>
    </row>
    <row r="3747" ht="15.75" customHeight="1">
      <c r="A3747" s="7" t="s">
        <v>7104</v>
      </c>
      <c r="B3747" s="4" t="s">
        <v>7105</v>
      </c>
      <c r="C3747" s="5" t="s">
        <v>6</v>
      </c>
      <c r="D3747" s="6" t="s">
        <v>1422</v>
      </c>
      <c r="E3747" s="6"/>
      <c r="F3747" s="6" t="b">
        <f t="shared" si="1"/>
        <v>0</v>
      </c>
    </row>
    <row r="3748" ht="15.75" customHeight="1">
      <c r="A3748" s="7" t="s">
        <v>7106</v>
      </c>
      <c r="B3748" s="4" t="s">
        <v>7107</v>
      </c>
      <c r="C3748" s="5" t="s">
        <v>6</v>
      </c>
      <c r="D3748" s="6" t="s">
        <v>5582</v>
      </c>
      <c r="E3748" s="6"/>
      <c r="F3748" s="6" t="b">
        <f t="shared" si="1"/>
        <v>0</v>
      </c>
    </row>
    <row r="3749" ht="15.75" customHeight="1">
      <c r="A3749" s="7" t="s">
        <v>7108</v>
      </c>
      <c r="B3749" s="4" t="s">
        <v>7109</v>
      </c>
      <c r="C3749" s="5" t="s">
        <v>6</v>
      </c>
      <c r="D3749" s="6" t="s">
        <v>1939</v>
      </c>
      <c r="E3749" s="6"/>
      <c r="F3749" s="6" t="b">
        <f t="shared" si="1"/>
        <v>0</v>
      </c>
    </row>
    <row r="3750" ht="15.75" customHeight="1">
      <c r="A3750" s="7" t="s">
        <v>7110</v>
      </c>
      <c r="B3750" s="4" t="s">
        <v>7111</v>
      </c>
      <c r="C3750" s="5" t="s">
        <v>6</v>
      </c>
      <c r="D3750" s="6" t="s">
        <v>2919</v>
      </c>
      <c r="E3750" s="6"/>
      <c r="F3750" s="6" t="b">
        <f t="shared" si="1"/>
        <v>0</v>
      </c>
    </row>
    <row r="3751" ht="15.75" customHeight="1">
      <c r="A3751" s="7" t="s">
        <v>7112</v>
      </c>
      <c r="B3751" s="4" t="s">
        <v>7113</v>
      </c>
      <c r="C3751" s="5" t="s">
        <v>6</v>
      </c>
      <c r="D3751" s="6" t="s">
        <v>1939</v>
      </c>
      <c r="E3751" s="6"/>
      <c r="F3751" s="6" t="b">
        <f t="shared" si="1"/>
        <v>0</v>
      </c>
    </row>
    <row r="3752" ht="15.75" customHeight="1">
      <c r="A3752" s="7" t="s">
        <v>7114</v>
      </c>
      <c r="B3752" s="4" t="s">
        <v>7115</v>
      </c>
      <c r="C3752" s="5" t="s">
        <v>6</v>
      </c>
      <c r="D3752" s="6" t="s">
        <v>7116</v>
      </c>
      <c r="E3752" s="6"/>
      <c r="F3752" s="6" t="b">
        <f t="shared" si="1"/>
        <v>0</v>
      </c>
    </row>
    <row r="3753" ht="15.75" customHeight="1">
      <c r="A3753" s="7" t="s">
        <v>7117</v>
      </c>
      <c r="B3753" s="4" t="s">
        <v>7118</v>
      </c>
      <c r="C3753" s="6"/>
      <c r="D3753" s="6" t="s">
        <v>150</v>
      </c>
      <c r="E3753" s="6"/>
      <c r="F3753" s="6" t="b">
        <f t="shared" si="1"/>
        <v>0</v>
      </c>
    </row>
    <row r="3754" ht="15.75" customHeight="1">
      <c r="A3754" s="7" t="s">
        <v>7119</v>
      </c>
      <c r="B3754" s="4" t="s">
        <v>7120</v>
      </c>
      <c r="C3754" s="5" t="s">
        <v>6</v>
      </c>
      <c r="D3754" s="6" t="s">
        <v>2662</v>
      </c>
      <c r="E3754" s="6"/>
      <c r="F3754" s="6" t="b">
        <f t="shared" si="1"/>
        <v>0</v>
      </c>
    </row>
    <row r="3755" ht="15.75" customHeight="1">
      <c r="A3755" s="7" t="s">
        <v>7121</v>
      </c>
      <c r="B3755" s="4" t="s">
        <v>7122</v>
      </c>
      <c r="C3755" s="5" t="s">
        <v>6</v>
      </c>
      <c r="D3755" s="6" t="s">
        <v>2919</v>
      </c>
      <c r="E3755" s="6"/>
      <c r="F3755" s="6" t="b">
        <f t="shared" si="1"/>
        <v>0</v>
      </c>
    </row>
    <row r="3756" ht="15.75" customHeight="1">
      <c r="A3756" s="7" t="s">
        <v>7123</v>
      </c>
      <c r="B3756" s="4" t="s">
        <v>7124</v>
      </c>
      <c r="C3756" s="5" t="s">
        <v>6</v>
      </c>
      <c r="D3756" s="6" t="s">
        <v>2919</v>
      </c>
      <c r="E3756" s="6"/>
      <c r="F3756" s="6" t="b">
        <f t="shared" si="1"/>
        <v>0</v>
      </c>
    </row>
    <row r="3757" ht="15.75" customHeight="1">
      <c r="A3757" s="7" t="s">
        <v>7125</v>
      </c>
      <c r="B3757" s="4" t="s">
        <v>7126</v>
      </c>
      <c r="C3757" s="5" t="s">
        <v>6</v>
      </c>
      <c r="D3757" s="6" t="s">
        <v>2919</v>
      </c>
      <c r="E3757" s="6"/>
      <c r="F3757" s="6" t="b">
        <f t="shared" si="1"/>
        <v>0</v>
      </c>
    </row>
    <row r="3758" ht="15.75" customHeight="1">
      <c r="A3758" s="7" t="s">
        <v>7127</v>
      </c>
      <c r="B3758" s="4" t="s">
        <v>7128</v>
      </c>
      <c r="C3758" s="5" t="s">
        <v>6</v>
      </c>
      <c r="D3758" s="6" t="s">
        <v>7116</v>
      </c>
      <c r="E3758" s="6"/>
      <c r="F3758" s="6" t="b">
        <f t="shared" si="1"/>
        <v>0</v>
      </c>
    </row>
    <row r="3759" ht="15.75" customHeight="1">
      <c r="A3759" s="7" t="s">
        <v>7129</v>
      </c>
      <c r="B3759" s="4" t="s">
        <v>7130</v>
      </c>
      <c r="C3759" s="5" t="s">
        <v>6</v>
      </c>
      <c r="D3759" s="6" t="s">
        <v>2662</v>
      </c>
      <c r="E3759" s="6"/>
      <c r="F3759" s="6" t="b">
        <f t="shared" si="1"/>
        <v>0</v>
      </c>
    </row>
    <row r="3760" ht="15.75" customHeight="1">
      <c r="A3760" s="7" t="s">
        <v>7131</v>
      </c>
      <c r="B3760" s="4" t="s">
        <v>7132</v>
      </c>
      <c r="C3760" s="5" t="s">
        <v>6</v>
      </c>
      <c r="D3760" s="6" t="s">
        <v>2919</v>
      </c>
      <c r="E3760" s="6"/>
      <c r="F3760" s="6" t="b">
        <f t="shared" si="1"/>
        <v>0</v>
      </c>
    </row>
    <row r="3761" ht="15.75" customHeight="1">
      <c r="A3761" s="7" t="s">
        <v>7133</v>
      </c>
      <c r="B3761" s="4" t="s">
        <v>7134</v>
      </c>
      <c r="C3761" s="5" t="s">
        <v>16</v>
      </c>
      <c r="D3761" s="6" t="s">
        <v>7135</v>
      </c>
      <c r="E3761" s="6"/>
      <c r="F3761" s="6" t="b">
        <f t="shared" si="1"/>
        <v>0</v>
      </c>
    </row>
    <row r="3762" ht="15.75" customHeight="1">
      <c r="A3762" s="7" t="s">
        <v>7136</v>
      </c>
      <c r="B3762" s="4" t="s">
        <v>7137</v>
      </c>
      <c r="C3762" s="5" t="s">
        <v>16</v>
      </c>
      <c r="D3762" s="6" t="s">
        <v>7138</v>
      </c>
      <c r="E3762" s="6"/>
      <c r="F3762" s="6" t="b">
        <f t="shared" si="1"/>
        <v>0</v>
      </c>
    </row>
    <row r="3763" ht="15.75" customHeight="1">
      <c r="A3763" s="7" t="s">
        <v>7139</v>
      </c>
      <c r="B3763" s="4" t="s">
        <v>7140</v>
      </c>
      <c r="C3763" s="5" t="s">
        <v>16</v>
      </c>
      <c r="D3763" s="6" t="s">
        <v>4989</v>
      </c>
      <c r="E3763" s="6"/>
      <c r="F3763" s="6" t="b">
        <f t="shared" si="1"/>
        <v>0</v>
      </c>
    </row>
    <row r="3764" ht="15.75" customHeight="1">
      <c r="A3764" s="7" t="s">
        <v>7141</v>
      </c>
      <c r="B3764" s="4" t="s">
        <v>7142</v>
      </c>
      <c r="C3764" s="5" t="s">
        <v>16</v>
      </c>
      <c r="D3764" s="6" t="s">
        <v>4980</v>
      </c>
      <c r="E3764" s="6"/>
      <c r="F3764" s="6" t="b">
        <f t="shared" si="1"/>
        <v>0</v>
      </c>
    </row>
    <row r="3765" ht="15.75" customHeight="1">
      <c r="A3765" s="7" t="s">
        <v>7143</v>
      </c>
      <c r="B3765" s="4" t="s">
        <v>7144</v>
      </c>
      <c r="C3765" s="5" t="s">
        <v>229</v>
      </c>
      <c r="D3765" s="6" t="s">
        <v>6691</v>
      </c>
      <c r="E3765" s="6"/>
      <c r="F3765" s="6" t="b">
        <f t="shared" si="1"/>
        <v>0</v>
      </c>
    </row>
    <row r="3766" ht="15.75" customHeight="1">
      <c r="A3766" s="7" t="s">
        <v>7145</v>
      </c>
      <c r="B3766" s="4" t="s">
        <v>7146</v>
      </c>
      <c r="C3766" s="6"/>
      <c r="D3766" s="6" t="s">
        <v>55</v>
      </c>
      <c r="E3766" s="6"/>
      <c r="F3766" s="6" t="b">
        <f t="shared" si="1"/>
        <v>0</v>
      </c>
    </row>
    <row r="3767" ht="15.75" customHeight="1">
      <c r="A3767" s="7" t="s">
        <v>7147</v>
      </c>
      <c r="B3767" s="4" t="s">
        <v>7148</v>
      </c>
      <c r="C3767" s="5" t="s">
        <v>6</v>
      </c>
      <c r="D3767" s="6" t="s">
        <v>7149</v>
      </c>
      <c r="E3767" s="6"/>
      <c r="F3767" s="6" t="b">
        <f t="shared" si="1"/>
        <v>0</v>
      </c>
    </row>
    <row r="3768" ht="15.75" customHeight="1">
      <c r="A3768" s="7" t="s">
        <v>7150</v>
      </c>
      <c r="B3768" s="4" t="s">
        <v>7151</v>
      </c>
      <c r="C3768" s="5" t="s">
        <v>6</v>
      </c>
      <c r="D3768" s="6" t="s">
        <v>7152</v>
      </c>
      <c r="E3768" s="6"/>
      <c r="F3768" s="6" t="b">
        <f t="shared" si="1"/>
        <v>0</v>
      </c>
    </row>
    <row r="3769" ht="15.75" customHeight="1">
      <c r="A3769" s="7" t="s">
        <v>7153</v>
      </c>
      <c r="B3769" s="4" t="s">
        <v>7154</v>
      </c>
      <c r="C3769" s="5" t="s">
        <v>229</v>
      </c>
      <c r="D3769" s="6" t="s">
        <v>230</v>
      </c>
      <c r="E3769" s="6"/>
      <c r="F3769" s="6" t="b">
        <f t="shared" si="1"/>
        <v>0</v>
      </c>
    </row>
    <row r="3770" ht="15.75" customHeight="1">
      <c r="A3770" s="7" t="s">
        <v>7155</v>
      </c>
      <c r="B3770" s="4" t="s">
        <v>7156</v>
      </c>
      <c r="C3770" s="5" t="s">
        <v>6</v>
      </c>
      <c r="D3770" s="6" t="s">
        <v>7157</v>
      </c>
      <c r="E3770" s="6"/>
      <c r="F3770" s="6" t="b">
        <f t="shared" si="1"/>
        <v>0</v>
      </c>
    </row>
    <row r="3771" ht="15.75" customHeight="1">
      <c r="A3771" s="7" t="s">
        <v>7158</v>
      </c>
      <c r="B3771" s="4" t="s">
        <v>7159</v>
      </c>
      <c r="C3771" s="5" t="s">
        <v>229</v>
      </c>
      <c r="D3771" s="6" t="s">
        <v>6175</v>
      </c>
      <c r="E3771" s="6"/>
      <c r="F3771" s="6" t="b">
        <f t="shared" si="1"/>
        <v>0</v>
      </c>
    </row>
    <row r="3772" ht="15.75" customHeight="1">
      <c r="A3772" s="7" t="s">
        <v>7160</v>
      </c>
      <c r="B3772" s="4" t="s">
        <v>7161</v>
      </c>
      <c r="C3772" s="6"/>
      <c r="D3772" s="6" t="s">
        <v>150</v>
      </c>
      <c r="E3772" s="6"/>
      <c r="F3772" s="6" t="b">
        <f t="shared" si="1"/>
        <v>0</v>
      </c>
    </row>
    <row r="3773" ht="15.75" customHeight="1">
      <c r="A3773" s="7" t="s">
        <v>7162</v>
      </c>
      <c r="B3773" s="4" t="s">
        <v>7163</v>
      </c>
      <c r="C3773" s="5" t="s">
        <v>6</v>
      </c>
      <c r="D3773" s="6" t="s">
        <v>7164</v>
      </c>
      <c r="E3773" s="6"/>
      <c r="F3773" s="6" t="b">
        <f t="shared" si="1"/>
        <v>0</v>
      </c>
    </row>
    <row r="3774" ht="15.75" customHeight="1">
      <c r="A3774" s="7" t="s">
        <v>7165</v>
      </c>
      <c r="B3774" s="4" t="s">
        <v>7166</v>
      </c>
      <c r="C3774" s="5" t="s">
        <v>229</v>
      </c>
      <c r="D3774" s="6" t="s">
        <v>7167</v>
      </c>
      <c r="E3774" s="6"/>
      <c r="F3774" s="6" t="b">
        <f t="shared" si="1"/>
        <v>0</v>
      </c>
    </row>
    <row r="3775" ht="15.75" customHeight="1">
      <c r="A3775" s="7" t="s">
        <v>7168</v>
      </c>
      <c r="B3775" s="4" t="s">
        <v>7169</v>
      </c>
      <c r="C3775" s="5" t="s">
        <v>229</v>
      </c>
      <c r="D3775" s="6" t="s">
        <v>7170</v>
      </c>
      <c r="E3775" s="6"/>
      <c r="F3775" s="6" t="b">
        <f t="shared" si="1"/>
        <v>0</v>
      </c>
    </row>
    <row r="3776" ht="15.75" customHeight="1">
      <c r="A3776" s="7" t="s">
        <v>7171</v>
      </c>
      <c r="B3776" s="4" t="s">
        <v>7172</v>
      </c>
      <c r="C3776" s="5" t="s">
        <v>229</v>
      </c>
      <c r="D3776" s="6" t="s">
        <v>6890</v>
      </c>
      <c r="E3776" s="6"/>
      <c r="F3776" s="6" t="b">
        <f t="shared" si="1"/>
        <v>0</v>
      </c>
    </row>
    <row r="3777" ht="15.75" customHeight="1">
      <c r="A3777" s="7" t="s">
        <v>7173</v>
      </c>
      <c r="B3777" s="4" t="s">
        <v>7174</v>
      </c>
      <c r="C3777" s="5" t="s">
        <v>229</v>
      </c>
      <c r="D3777" s="6" t="s">
        <v>6890</v>
      </c>
      <c r="E3777" s="6"/>
      <c r="F3777" s="6" t="b">
        <f t="shared" si="1"/>
        <v>0</v>
      </c>
    </row>
    <row r="3778" ht="15.75" customHeight="1">
      <c r="A3778" s="7" t="s">
        <v>7175</v>
      </c>
      <c r="B3778" s="4" t="s">
        <v>7176</v>
      </c>
      <c r="C3778" s="6"/>
      <c r="D3778" s="6" t="s">
        <v>150</v>
      </c>
      <c r="E3778" s="6"/>
      <c r="F3778" s="6" t="b">
        <f t="shared" si="1"/>
        <v>0</v>
      </c>
    </row>
    <row r="3779" ht="15.75" customHeight="1">
      <c r="A3779" s="7" t="s">
        <v>7177</v>
      </c>
      <c r="B3779" s="4" t="s">
        <v>7178</v>
      </c>
      <c r="C3779" s="6"/>
      <c r="D3779" s="6" t="s">
        <v>150</v>
      </c>
      <c r="E3779" s="6"/>
      <c r="F3779" s="6" t="b">
        <f t="shared" si="1"/>
        <v>0</v>
      </c>
    </row>
    <row r="3780" ht="15.75" customHeight="1">
      <c r="A3780" s="7" t="s">
        <v>7179</v>
      </c>
      <c r="B3780" s="4" t="s">
        <v>7180</v>
      </c>
      <c r="C3780" s="5" t="s">
        <v>6</v>
      </c>
      <c r="D3780" s="6" t="s">
        <v>7181</v>
      </c>
      <c r="E3780" s="6"/>
      <c r="F3780" s="6" t="b">
        <f t="shared" si="1"/>
        <v>0</v>
      </c>
    </row>
    <row r="3781" ht="15.75" customHeight="1">
      <c r="A3781" s="7" t="s">
        <v>7182</v>
      </c>
      <c r="B3781" s="4" t="s">
        <v>7183</v>
      </c>
      <c r="C3781" s="5" t="s">
        <v>229</v>
      </c>
      <c r="D3781" s="6" t="s">
        <v>6688</v>
      </c>
      <c r="E3781" s="6"/>
      <c r="F3781" s="6" t="b">
        <f t="shared" si="1"/>
        <v>0</v>
      </c>
    </row>
    <row r="3782" ht="15.75" customHeight="1">
      <c r="A3782" s="7" t="s">
        <v>7184</v>
      </c>
      <c r="B3782" s="4" t="s">
        <v>7185</v>
      </c>
      <c r="C3782" s="5" t="s">
        <v>229</v>
      </c>
      <c r="D3782" s="6" t="s">
        <v>2853</v>
      </c>
      <c r="E3782" s="6"/>
      <c r="F3782" s="6" t="b">
        <f t="shared" si="1"/>
        <v>0</v>
      </c>
    </row>
    <row r="3783" ht="15.75" customHeight="1">
      <c r="A3783" s="7" t="s">
        <v>7186</v>
      </c>
      <c r="B3783" s="4" t="s">
        <v>7187</v>
      </c>
      <c r="C3783" s="5" t="s">
        <v>229</v>
      </c>
      <c r="D3783" s="6" t="s">
        <v>6890</v>
      </c>
      <c r="E3783" s="6"/>
      <c r="F3783" s="6" t="b">
        <f t="shared" si="1"/>
        <v>0</v>
      </c>
    </row>
    <row r="3784" ht="15.75" customHeight="1">
      <c r="A3784" s="7" t="s">
        <v>7188</v>
      </c>
      <c r="B3784" s="4" t="s">
        <v>7189</v>
      </c>
      <c r="C3784" s="5" t="s">
        <v>229</v>
      </c>
      <c r="D3784" s="6" t="s">
        <v>2853</v>
      </c>
      <c r="E3784" s="6"/>
      <c r="F3784" s="6" t="b">
        <f t="shared" si="1"/>
        <v>0</v>
      </c>
    </row>
    <row r="3785" ht="15.75" customHeight="1">
      <c r="A3785" s="7" t="s">
        <v>7190</v>
      </c>
      <c r="B3785" s="4" t="s">
        <v>7191</v>
      </c>
      <c r="C3785" s="5" t="s">
        <v>229</v>
      </c>
      <c r="D3785" s="6" t="s">
        <v>230</v>
      </c>
      <c r="E3785" s="6"/>
      <c r="F3785" s="6" t="b">
        <f t="shared" si="1"/>
        <v>0</v>
      </c>
    </row>
    <row r="3786" ht="15.75" customHeight="1">
      <c r="A3786" s="7" t="s">
        <v>7192</v>
      </c>
      <c r="B3786" s="4" t="s">
        <v>7193</v>
      </c>
      <c r="C3786" s="5" t="s">
        <v>229</v>
      </c>
      <c r="D3786" s="6" t="s">
        <v>2853</v>
      </c>
      <c r="E3786" s="6"/>
      <c r="F3786" s="6" t="b">
        <f t="shared" si="1"/>
        <v>0</v>
      </c>
    </row>
    <row r="3787" ht="15.75" customHeight="1">
      <c r="A3787" s="7" t="s">
        <v>7194</v>
      </c>
      <c r="B3787" s="4" t="s">
        <v>7195</v>
      </c>
      <c r="C3787" s="5" t="s">
        <v>229</v>
      </c>
      <c r="D3787" s="6" t="s">
        <v>6890</v>
      </c>
      <c r="E3787" s="6"/>
      <c r="F3787" s="6" t="b">
        <f t="shared" si="1"/>
        <v>0</v>
      </c>
    </row>
    <row r="3788" ht="15.75" customHeight="1">
      <c r="A3788" s="7" t="s">
        <v>7196</v>
      </c>
      <c r="B3788" s="4" t="s">
        <v>7197</v>
      </c>
      <c r="C3788" s="5" t="s">
        <v>229</v>
      </c>
      <c r="D3788" s="6" t="s">
        <v>6175</v>
      </c>
      <c r="E3788" s="6"/>
      <c r="F3788" s="6" t="b">
        <f t="shared" si="1"/>
        <v>0</v>
      </c>
    </row>
    <row r="3789" ht="15.75" customHeight="1">
      <c r="A3789" s="7" t="s">
        <v>7198</v>
      </c>
      <c r="B3789" s="4" t="s">
        <v>7199</v>
      </c>
      <c r="C3789" s="5" t="s">
        <v>229</v>
      </c>
      <c r="D3789" s="6" t="s">
        <v>6688</v>
      </c>
      <c r="E3789" s="6"/>
      <c r="F3789" s="6" t="b">
        <f t="shared" si="1"/>
        <v>0</v>
      </c>
    </row>
    <row r="3790" ht="15.75" customHeight="1">
      <c r="A3790" s="7" t="s">
        <v>7200</v>
      </c>
      <c r="B3790" s="4" t="s">
        <v>7201</v>
      </c>
      <c r="C3790" s="5" t="s">
        <v>6</v>
      </c>
      <c r="D3790" s="6" t="s">
        <v>5737</v>
      </c>
      <c r="E3790" s="6"/>
      <c r="F3790" s="6" t="b">
        <f t="shared" si="1"/>
        <v>0</v>
      </c>
    </row>
    <row r="3791" ht="15.75" customHeight="1">
      <c r="A3791" s="7" t="s">
        <v>7202</v>
      </c>
      <c r="B3791" s="4" t="s">
        <v>7203</v>
      </c>
      <c r="C3791" s="5" t="s">
        <v>6</v>
      </c>
      <c r="D3791" s="6" t="s">
        <v>7204</v>
      </c>
      <c r="E3791" s="6"/>
      <c r="F3791" s="6" t="b">
        <f t="shared" si="1"/>
        <v>0</v>
      </c>
    </row>
    <row r="3792" ht="15.75" customHeight="1">
      <c r="A3792" s="7" t="s">
        <v>7205</v>
      </c>
      <c r="B3792" s="4" t="s">
        <v>7206</v>
      </c>
      <c r="C3792" s="5" t="s">
        <v>229</v>
      </c>
      <c r="D3792" s="6" t="s">
        <v>230</v>
      </c>
      <c r="E3792" s="6"/>
      <c r="F3792" s="6" t="b">
        <f t="shared" si="1"/>
        <v>0</v>
      </c>
    </row>
    <row r="3793" ht="15.75" customHeight="1">
      <c r="A3793" s="7" t="s">
        <v>7207</v>
      </c>
      <c r="B3793" s="4" t="s">
        <v>7208</v>
      </c>
      <c r="C3793" s="5" t="s">
        <v>229</v>
      </c>
      <c r="D3793" s="6" t="s">
        <v>6175</v>
      </c>
      <c r="E3793" s="6"/>
      <c r="F3793" s="6" t="b">
        <f t="shared" si="1"/>
        <v>0</v>
      </c>
    </row>
    <row r="3794" ht="15.75" customHeight="1">
      <c r="A3794" s="7" t="s">
        <v>7209</v>
      </c>
      <c r="B3794" s="4" t="s">
        <v>7210</v>
      </c>
      <c r="C3794" s="5" t="s">
        <v>6</v>
      </c>
      <c r="D3794" s="6" t="s">
        <v>7211</v>
      </c>
      <c r="E3794" s="6"/>
      <c r="F3794" s="6" t="b">
        <f t="shared" si="1"/>
        <v>0</v>
      </c>
    </row>
    <row r="3795" ht="15.75" customHeight="1">
      <c r="A3795" s="7" t="s">
        <v>7212</v>
      </c>
      <c r="B3795" s="4" t="s">
        <v>7213</v>
      </c>
      <c r="C3795" s="6"/>
      <c r="D3795" s="6" t="s">
        <v>70</v>
      </c>
      <c r="E3795" s="6"/>
      <c r="F3795" s="6" t="b">
        <f t="shared" si="1"/>
        <v>0</v>
      </c>
    </row>
    <row r="3796" ht="15.75" customHeight="1">
      <c r="A3796" s="7" t="s">
        <v>7214</v>
      </c>
      <c r="B3796" s="4" t="s">
        <v>7215</v>
      </c>
      <c r="C3796" s="5" t="s">
        <v>16</v>
      </c>
      <c r="D3796" s="6" t="s">
        <v>7216</v>
      </c>
      <c r="E3796" s="6"/>
      <c r="F3796" s="6" t="b">
        <f t="shared" si="1"/>
        <v>0</v>
      </c>
    </row>
    <row r="3797" ht="15.75" customHeight="1">
      <c r="A3797" s="7" t="s">
        <v>7217</v>
      </c>
      <c r="B3797" s="4" t="s">
        <v>7218</v>
      </c>
      <c r="C3797" s="5" t="s">
        <v>16</v>
      </c>
      <c r="D3797" s="6" t="s">
        <v>4759</v>
      </c>
      <c r="E3797" s="6"/>
      <c r="F3797" s="6" t="b">
        <f t="shared" si="1"/>
        <v>0</v>
      </c>
    </row>
    <row r="3798" ht="15.75" customHeight="1">
      <c r="A3798" s="7" t="s">
        <v>7219</v>
      </c>
      <c r="B3798" s="4" t="s">
        <v>7220</v>
      </c>
      <c r="C3798" s="5" t="s">
        <v>16</v>
      </c>
      <c r="D3798" s="6" t="s">
        <v>1400</v>
      </c>
      <c r="E3798" s="6"/>
      <c r="F3798" s="6" t="b">
        <f t="shared" si="1"/>
        <v>0</v>
      </c>
    </row>
    <row r="3799" ht="15.75" customHeight="1">
      <c r="A3799" s="7" t="s">
        <v>7221</v>
      </c>
      <c r="B3799" s="4" t="s">
        <v>7222</v>
      </c>
      <c r="C3799" s="5" t="s">
        <v>6</v>
      </c>
      <c r="D3799" s="6" t="s">
        <v>7223</v>
      </c>
      <c r="E3799" s="6"/>
      <c r="F3799" s="6" t="b">
        <f t="shared" si="1"/>
        <v>0</v>
      </c>
    </row>
    <row r="3800" ht="15.75" customHeight="1">
      <c r="A3800" s="7" t="s">
        <v>7224</v>
      </c>
      <c r="B3800" s="4" t="s">
        <v>7225</v>
      </c>
      <c r="C3800" s="5" t="s">
        <v>16</v>
      </c>
      <c r="D3800" s="6" t="s">
        <v>7226</v>
      </c>
      <c r="E3800" s="6"/>
      <c r="F3800" s="6" t="b">
        <f t="shared" si="1"/>
        <v>0</v>
      </c>
    </row>
    <row r="3801" ht="15.75" customHeight="1">
      <c r="A3801" s="7" t="s">
        <v>7227</v>
      </c>
      <c r="B3801" s="4" t="s">
        <v>7228</v>
      </c>
      <c r="C3801" s="5" t="s">
        <v>229</v>
      </c>
      <c r="D3801" s="6" t="s">
        <v>230</v>
      </c>
      <c r="E3801" s="6"/>
      <c r="F3801" s="6" t="b">
        <f t="shared" si="1"/>
        <v>0</v>
      </c>
    </row>
    <row r="3802" ht="15.75" customHeight="1">
      <c r="A3802" s="7" t="s">
        <v>7229</v>
      </c>
      <c r="B3802" s="4" t="s">
        <v>7230</v>
      </c>
      <c r="C3802" s="5" t="s">
        <v>229</v>
      </c>
      <c r="D3802" s="6" t="s">
        <v>230</v>
      </c>
      <c r="E3802" s="6"/>
      <c r="F3802" s="6" t="b">
        <f t="shared" si="1"/>
        <v>0</v>
      </c>
    </row>
    <row r="3803" ht="15.75" customHeight="1">
      <c r="A3803" s="7" t="s">
        <v>7231</v>
      </c>
      <c r="B3803" s="4" t="s">
        <v>7232</v>
      </c>
      <c r="C3803" s="5" t="s">
        <v>229</v>
      </c>
      <c r="D3803" s="6" t="s">
        <v>230</v>
      </c>
      <c r="E3803" s="6"/>
      <c r="F3803" s="6" t="b">
        <f t="shared" si="1"/>
        <v>0</v>
      </c>
    </row>
    <row r="3804" ht="15.75" customHeight="1">
      <c r="A3804" s="7" t="s">
        <v>7233</v>
      </c>
      <c r="B3804" s="4" t="s">
        <v>7234</v>
      </c>
      <c r="C3804" s="6" t="s">
        <v>6847</v>
      </c>
      <c r="D3804" s="6"/>
      <c r="E3804" s="6"/>
      <c r="F3804" s="6" t="b">
        <f t="shared" si="1"/>
        <v>0</v>
      </c>
    </row>
    <row r="3805" ht="15.75" customHeight="1">
      <c r="A3805" s="7" t="s">
        <v>7235</v>
      </c>
      <c r="B3805" s="4" t="s">
        <v>7236</v>
      </c>
      <c r="C3805" s="5" t="s">
        <v>229</v>
      </c>
      <c r="D3805" s="6" t="s">
        <v>6175</v>
      </c>
      <c r="E3805" s="6"/>
      <c r="F3805" s="6" t="b">
        <f t="shared" si="1"/>
        <v>0</v>
      </c>
    </row>
    <row r="3806" ht="15.75" customHeight="1">
      <c r="A3806" s="7" t="s">
        <v>7237</v>
      </c>
      <c r="B3806" s="4" t="s">
        <v>7238</v>
      </c>
      <c r="C3806" s="6" t="s">
        <v>7239</v>
      </c>
      <c r="D3806" s="6"/>
      <c r="E3806" s="6"/>
      <c r="F3806" s="6" t="b">
        <f t="shared" si="1"/>
        <v>0</v>
      </c>
    </row>
    <row r="3807" ht="15.75" customHeight="1">
      <c r="A3807" s="7" t="s">
        <v>7240</v>
      </c>
      <c r="B3807" s="4" t="s">
        <v>7241</v>
      </c>
      <c r="C3807" s="5" t="s">
        <v>229</v>
      </c>
      <c r="D3807" s="6" t="s">
        <v>5664</v>
      </c>
      <c r="E3807" s="6"/>
      <c r="F3807" s="6" t="b">
        <f t="shared" si="1"/>
        <v>0</v>
      </c>
    </row>
    <row r="3808" ht="15.75" customHeight="1">
      <c r="A3808" s="7" t="s">
        <v>7242</v>
      </c>
      <c r="B3808" s="4" t="s">
        <v>7243</v>
      </c>
      <c r="C3808" s="6" t="s">
        <v>7239</v>
      </c>
      <c r="D3808" s="6"/>
      <c r="E3808" s="6"/>
      <c r="F3808" s="6" t="b">
        <f t="shared" si="1"/>
        <v>0</v>
      </c>
    </row>
    <row r="3809" ht="15.75" customHeight="1">
      <c r="A3809" s="7" t="s">
        <v>7244</v>
      </c>
      <c r="B3809" s="4" t="s">
        <v>7245</v>
      </c>
      <c r="C3809" s="6" t="s">
        <v>7239</v>
      </c>
      <c r="D3809" s="6"/>
      <c r="E3809" s="6"/>
      <c r="F3809" s="6" t="b">
        <f t="shared" si="1"/>
        <v>0</v>
      </c>
    </row>
    <row r="3810" ht="15.75" customHeight="1">
      <c r="A3810" s="7" t="s">
        <v>7246</v>
      </c>
      <c r="B3810" s="4" t="s">
        <v>7247</v>
      </c>
      <c r="C3810" s="6">
        <v>2025.0</v>
      </c>
      <c r="D3810" s="6"/>
      <c r="E3810" s="6"/>
      <c r="F3810" s="6" t="b">
        <f t="shared" si="1"/>
        <v>0</v>
      </c>
    </row>
    <row r="3811" ht="15.75" customHeight="1">
      <c r="A3811" s="7" t="s">
        <v>7248</v>
      </c>
      <c r="B3811" s="4" t="s">
        <v>7249</v>
      </c>
      <c r="C3811" s="5" t="s">
        <v>16</v>
      </c>
      <c r="D3811" s="6" t="s">
        <v>7250</v>
      </c>
      <c r="E3811" s="6"/>
      <c r="F3811" s="6" t="b">
        <f t="shared" si="1"/>
        <v>0</v>
      </c>
    </row>
    <row r="3812" ht="15.75" customHeight="1">
      <c r="A3812" s="7" t="s">
        <v>7251</v>
      </c>
      <c r="B3812" s="4" t="s">
        <v>7252</v>
      </c>
      <c r="C3812" s="5" t="s">
        <v>6</v>
      </c>
      <c r="D3812" s="6" t="s">
        <v>7253</v>
      </c>
      <c r="E3812" s="6"/>
      <c r="F3812" s="6" t="b">
        <f t="shared" si="1"/>
        <v>0</v>
      </c>
    </row>
    <row r="3813" ht="15.75" customHeight="1">
      <c r="A3813" s="7" t="s">
        <v>7254</v>
      </c>
      <c r="B3813" s="4" t="s">
        <v>7255</v>
      </c>
      <c r="C3813" s="5" t="s">
        <v>6</v>
      </c>
      <c r="D3813" s="6" t="s">
        <v>5645</v>
      </c>
      <c r="E3813" s="6"/>
      <c r="F3813" s="6" t="b">
        <f t="shared" si="1"/>
        <v>0</v>
      </c>
    </row>
    <row r="3814" ht="15.75" customHeight="1">
      <c r="A3814" s="7" t="s">
        <v>7256</v>
      </c>
      <c r="B3814" s="4" t="s">
        <v>7257</v>
      </c>
      <c r="C3814" s="5" t="s">
        <v>6</v>
      </c>
      <c r="D3814" s="6" t="s">
        <v>5645</v>
      </c>
      <c r="E3814" s="6"/>
      <c r="F3814" s="6" t="b">
        <f t="shared" si="1"/>
        <v>0</v>
      </c>
    </row>
    <row r="3815" ht="15.75" customHeight="1">
      <c r="A3815" s="7" t="s">
        <v>7258</v>
      </c>
      <c r="B3815" s="4" t="s">
        <v>7259</v>
      </c>
      <c r="C3815" s="5" t="s">
        <v>6</v>
      </c>
      <c r="D3815" s="6" t="s">
        <v>5645</v>
      </c>
      <c r="E3815" s="6"/>
      <c r="F3815" s="6" t="b">
        <f t="shared" si="1"/>
        <v>0</v>
      </c>
    </row>
    <row r="3816" ht="15.75" customHeight="1">
      <c r="A3816" s="7" t="s">
        <v>7260</v>
      </c>
      <c r="B3816" s="4" t="s">
        <v>7261</v>
      </c>
      <c r="C3816" s="5" t="s">
        <v>6</v>
      </c>
      <c r="D3816" s="6" t="s">
        <v>7262</v>
      </c>
      <c r="E3816" s="6"/>
      <c r="F3816" s="6" t="b">
        <f t="shared" si="1"/>
        <v>0</v>
      </c>
    </row>
    <row r="3817" ht="15.75" customHeight="1">
      <c r="A3817" s="7" t="s">
        <v>7263</v>
      </c>
      <c r="B3817" s="4" t="s">
        <v>7264</v>
      </c>
      <c r="C3817" s="5" t="s">
        <v>16</v>
      </c>
      <c r="D3817" s="6" t="s">
        <v>7265</v>
      </c>
      <c r="E3817" s="6"/>
      <c r="F3817" s="6" t="b">
        <f t="shared" si="1"/>
        <v>0</v>
      </c>
    </row>
    <row r="3818" ht="15.75" customHeight="1">
      <c r="A3818" s="7" t="s">
        <v>7266</v>
      </c>
      <c r="B3818" s="4" t="s">
        <v>7267</v>
      </c>
      <c r="C3818" s="5" t="s">
        <v>16</v>
      </c>
      <c r="D3818" s="6" t="s">
        <v>5224</v>
      </c>
      <c r="E3818" s="6"/>
      <c r="F3818" s="6" t="b">
        <f t="shared" si="1"/>
        <v>0</v>
      </c>
    </row>
    <row r="3819" ht="15.75" customHeight="1">
      <c r="A3819" s="7" t="s">
        <v>7268</v>
      </c>
      <c r="B3819" s="4" t="s">
        <v>7269</v>
      </c>
      <c r="C3819" s="5" t="s">
        <v>6</v>
      </c>
      <c r="D3819" s="6" t="s">
        <v>7270</v>
      </c>
      <c r="E3819" s="6"/>
      <c r="F3819" s="6" t="b">
        <f t="shared" si="1"/>
        <v>0</v>
      </c>
    </row>
    <row r="3820" ht="15.75" customHeight="1">
      <c r="A3820" s="7" t="s">
        <v>7271</v>
      </c>
      <c r="B3820" s="4" t="s">
        <v>7272</v>
      </c>
      <c r="C3820" s="5" t="s">
        <v>16</v>
      </c>
      <c r="D3820" s="6" t="s">
        <v>7273</v>
      </c>
      <c r="E3820" s="6"/>
      <c r="F3820" s="6" t="b">
        <f t="shared" si="1"/>
        <v>0</v>
      </c>
    </row>
    <row r="3821" ht="15.75" customHeight="1">
      <c r="A3821" s="7" t="s">
        <v>7274</v>
      </c>
      <c r="B3821" s="4" t="s">
        <v>7275</v>
      </c>
      <c r="C3821" s="5" t="s">
        <v>16</v>
      </c>
      <c r="D3821" s="6" t="s">
        <v>3425</v>
      </c>
      <c r="E3821" s="6"/>
      <c r="F3821" s="6" t="b">
        <f t="shared" si="1"/>
        <v>0</v>
      </c>
    </row>
    <row r="3822" ht="15.75" customHeight="1">
      <c r="A3822" s="7" t="s">
        <v>7276</v>
      </c>
      <c r="B3822" s="4" t="s">
        <v>7277</v>
      </c>
      <c r="C3822" s="5" t="s">
        <v>16</v>
      </c>
      <c r="D3822" s="6" t="s">
        <v>7278</v>
      </c>
      <c r="E3822" s="6"/>
      <c r="F3822" s="6" t="b">
        <f t="shared" si="1"/>
        <v>0</v>
      </c>
    </row>
    <row r="3823" ht="15.75" customHeight="1">
      <c r="A3823" s="7" t="s">
        <v>7279</v>
      </c>
      <c r="B3823" s="4" t="s">
        <v>7280</v>
      </c>
      <c r="C3823" s="5" t="s">
        <v>229</v>
      </c>
      <c r="D3823" s="6" t="s">
        <v>7170</v>
      </c>
      <c r="E3823" s="6"/>
      <c r="F3823" s="6" t="b">
        <f t="shared" si="1"/>
        <v>0</v>
      </c>
    </row>
    <row r="3824" ht="15.75" customHeight="1">
      <c r="A3824" s="7" t="s">
        <v>7281</v>
      </c>
      <c r="B3824" s="4" t="s">
        <v>7282</v>
      </c>
      <c r="C3824" s="6"/>
      <c r="D3824" s="6" t="s">
        <v>150</v>
      </c>
      <c r="E3824" s="6"/>
      <c r="F3824" s="6" t="b">
        <f t="shared" si="1"/>
        <v>0</v>
      </c>
    </row>
    <row r="3825" ht="15.75" customHeight="1">
      <c r="A3825" s="7" t="s">
        <v>7283</v>
      </c>
      <c r="B3825" s="4" t="s">
        <v>7284</v>
      </c>
      <c r="C3825" s="5" t="s">
        <v>6</v>
      </c>
      <c r="D3825" s="6" t="s">
        <v>7285</v>
      </c>
      <c r="E3825" s="6"/>
      <c r="F3825" s="6" t="b">
        <f t="shared" si="1"/>
        <v>0</v>
      </c>
    </row>
    <row r="3826" ht="15.75" customHeight="1">
      <c r="A3826" s="7" t="s">
        <v>7286</v>
      </c>
      <c r="B3826" s="4" t="s">
        <v>7287</v>
      </c>
      <c r="C3826" s="5" t="s">
        <v>6</v>
      </c>
      <c r="D3826" s="6" t="s">
        <v>7288</v>
      </c>
      <c r="E3826" s="6"/>
      <c r="F3826" s="6" t="b">
        <f t="shared" si="1"/>
        <v>0</v>
      </c>
    </row>
    <row r="3827" ht="15.75" customHeight="1">
      <c r="A3827" s="7" t="s">
        <v>7289</v>
      </c>
      <c r="B3827" s="4" t="s">
        <v>5771</v>
      </c>
      <c r="C3827" s="6"/>
      <c r="D3827" s="6" t="s">
        <v>55</v>
      </c>
      <c r="E3827" s="6"/>
      <c r="F3827" s="6" t="b">
        <f t="shared" si="1"/>
        <v>0</v>
      </c>
    </row>
    <row r="3828" ht="15.75" customHeight="1">
      <c r="A3828" s="7" t="s">
        <v>7290</v>
      </c>
      <c r="B3828" s="4" t="s">
        <v>7291</v>
      </c>
      <c r="C3828" s="5" t="s">
        <v>6</v>
      </c>
      <c r="D3828" s="6" t="s">
        <v>5401</v>
      </c>
      <c r="E3828" s="6"/>
      <c r="F3828" s="6" t="b">
        <f t="shared" si="1"/>
        <v>0</v>
      </c>
    </row>
    <row r="3829" ht="15.75" customHeight="1">
      <c r="A3829" s="7" t="s">
        <v>7292</v>
      </c>
      <c r="B3829" s="4" t="s">
        <v>7293</v>
      </c>
      <c r="C3829" s="5" t="s">
        <v>6</v>
      </c>
      <c r="D3829" s="6" t="s">
        <v>7294</v>
      </c>
      <c r="E3829" s="6"/>
      <c r="F3829" s="6" t="b">
        <f t="shared" si="1"/>
        <v>0</v>
      </c>
    </row>
    <row r="3830" ht="15.75" customHeight="1">
      <c r="A3830" s="7" t="s">
        <v>7295</v>
      </c>
      <c r="B3830" s="4" t="s">
        <v>7296</v>
      </c>
      <c r="C3830" s="6"/>
      <c r="D3830" s="6" t="s">
        <v>70</v>
      </c>
      <c r="E3830" s="6"/>
      <c r="F3830" s="6" t="b">
        <f t="shared" si="1"/>
        <v>0</v>
      </c>
    </row>
    <row r="3831" ht="15.75" customHeight="1">
      <c r="A3831" s="7" t="s">
        <v>7297</v>
      </c>
      <c r="B3831" s="4" t="s">
        <v>7298</v>
      </c>
      <c r="C3831" s="6"/>
      <c r="D3831" s="6" t="s">
        <v>150</v>
      </c>
      <c r="E3831" s="6"/>
      <c r="F3831" s="6" t="b">
        <f t="shared" si="1"/>
        <v>0</v>
      </c>
    </row>
    <row r="3832" ht="15.75" customHeight="1">
      <c r="A3832" s="7" t="s">
        <v>7299</v>
      </c>
      <c r="B3832" s="4" t="s">
        <v>7300</v>
      </c>
      <c r="C3832" s="5" t="s">
        <v>16</v>
      </c>
      <c r="D3832" s="6" t="s">
        <v>7301</v>
      </c>
      <c r="E3832" s="6"/>
      <c r="F3832" s="6" t="b">
        <f t="shared" si="1"/>
        <v>0</v>
      </c>
    </row>
    <row r="3833" ht="15.75" customHeight="1">
      <c r="A3833" s="7" t="s">
        <v>7302</v>
      </c>
      <c r="B3833" s="4" t="s">
        <v>3249</v>
      </c>
      <c r="C3833" s="5" t="s">
        <v>16</v>
      </c>
      <c r="D3833" s="6" t="s">
        <v>7303</v>
      </c>
      <c r="E3833" s="6"/>
      <c r="F3833" s="6" t="b">
        <f t="shared" si="1"/>
        <v>0</v>
      </c>
    </row>
    <row r="3834" ht="15.75" customHeight="1">
      <c r="A3834" s="7" t="s">
        <v>7304</v>
      </c>
      <c r="B3834" s="4" t="s">
        <v>7305</v>
      </c>
      <c r="C3834" s="5" t="s">
        <v>16</v>
      </c>
      <c r="D3834" s="6" t="s">
        <v>7306</v>
      </c>
      <c r="E3834" s="6"/>
      <c r="F3834" s="6" t="b">
        <f t="shared" si="1"/>
        <v>0</v>
      </c>
    </row>
    <row r="3835" ht="15.75" customHeight="1">
      <c r="A3835" s="7" t="s">
        <v>7307</v>
      </c>
      <c r="B3835" s="4" t="s">
        <v>7308</v>
      </c>
      <c r="C3835" s="5" t="s">
        <v>16</v>
      </c>
      <c r="D3835" s="6" t="s">
        <v>7309</v>
      </c>
      <c r="E3835" s="6"/>
      <c r="F3835" s="6" t="b">
        <f t="shared" si="1"/>
        <v>0</v>
      </c>
    </row>
    <row r="3836" ht="15.75" customHeight="1">
      <c r="A3836" s="7" t="s">
        <v>7310</v>
      </c>
      <c r="B3836" s="4" t="s">
        <v>7311</v>
      </c>
      <c r="C3836" s="5" t="s">
        <v>16</v>
      </c>
      <c r="D3836" s="6" t="s">
        <v>3342</v>
      </c>
      <c r="E3836" s="6"/>
      <c r="F3836" s="6" t="b">
        <f t="shared" si="1"/>
        <v>0</v>
      </c>
    </row>
    <row r="3837" ht="15.75" customHeight="1">
      <c r="A3837" s="7" t="s">
        <v>7312</v>
      </c>
      <c r="B3837" s="4" t="s">
        <v>7313</v>
      </c>
      <c r="C3837" s="5" t="s">
        <v>16</v>
      </c>
      <c r="D3837" s="6" t="s">
        <v>7314</v>
      </c>
      <c r="E3837" s="6"/>
      <c r="F3837" s="6" t="b">
        <f t="shared" si="1"/>
        <v>0</v>
      </c>
    </row>
    <row r="3838" ht="15.75" customHeight="1">
      <c r="A3838" s="7" t="s">
        <v>7315</v>
      </c>
      <c r="B3838" s="4" t="s">
        <v>7316</v>
      </c>
      <c r="C3838" s="5" t="s">
        <v>16</v>
      </c>
      <c r="D3838" s="6" t="s">
        <v>7317</v>
      </c>
      <c r="E3838" s="6"/>
      <c r="F3838" s="6" t="b">
        <f t="shared" si="1"/>
        <v>0</v>
      </c>
    </row>
    <row r="3839" ht="15.75" customHeight="1">
      <c r="A3839" s="7" t="s">
        <v>7318</v>
      </c>
      <c r="B3839" s="4" t="s">
        <v>7319</v>
      </c>
      <c r="C3839" s="5" t="s">
        <v>16</v>
      </c>
      <c r="D3839" s="6" t="s">
        <v>7320</v>
      </c>
      <c r="E3839" s="6"/>
      <c r="F3839" s="6" t="b">
        <f t="shared" si="1"/>
        <v>0</v>
      </c>
    </row>
    <row r="3840" ht="15.75" customHeight="1">
      <c r="A3840" s="7" t="s">
        <v>7321</v>
      </c>
      <c r="B3840" s="4" t="s">
        <v>7322</v>
      </c>
      <c r="C3840" s="5" t="s">
        <v>16</v>
      </c>
      <c r="D3840" s="6" t="s">
        <v>7323</v>
      </c>
      <c r="E3840" s="6"/>
      <c r="F3840" s="6" t="b">
        <f t="shared" si="1"/>
        <v>0</v>
      </c>
    </row>
    <row r="3841" ht="15.75" customHeight="1">
      <c r="A3841" s="7" t="s">
        <v>7324</v>
      </c>
      <c r="B3841" s="4" t="s">
        <v>7325</v>
      </c>
      <c r="C3841" s="5" t="s">
        <v>16</v>
      </c>
      <c r="D3841" s="6" t="s">
        <v>7326</v>
      </c>
      <c r="E3841" s="6"/>
      <c r="F3841" s="6" t="b">
        <f t="shared" si="1"/>
        <v>0</v>
      </c>
    </row>
    <row r="3842" ht="15.75" customHeight="1">
      <c r="A3842" s="7" t="s">
        <v>7327</v>
      </c>
      <c r="B3842" s="4" t="s">
        <v>7328</v>
      </c>
      <c r="C3842" s="5" t="s">
        <v>16</v>
      </c>
      <c r="D3842" s="6" t="s">
        <v>3212</v>
      </c>
      <c r="E3842" s="6"/>
      <c r="F3842" s="6" t="b">
        <f t="shared" si="1"/>
        <v>0</v>
      </c>
    </row>
    <row r="3843" ht="15.75" customHeight="1">
      <c r="A3843" s="7" t="s">
        <v>7329</v>
      </c>
      <c r="B3843" s="4" t="s">
        <v>7330</v>
      </c>
      <c r="C3843" s="5" t="s">
        <v>16</v>
      </c>
      <c r="D3843" s="6" t="s">
        <v>7331</v>
      </c>
      <c r="E3843" s="6"/>
      <c r="F3843" s="6" t="b">
        <f t="shared" si="1"/>
        <v>0</v>
      </c>
    </row>
    <row r="3844" ht="15.75" customHeight="1">
      <c r="A3844" s="7" t="s">
        <v>7332</v>
      </c>
      <c r="B3844" s="4" t="s">
        <v>7333</v>
      </c>
      <c r="C3844" s="5" t="s">
        <v>16</v>
      </c>
      <c r="D3844" s="6" t="s">
        <v>7334</v>
      </c>
      <c r="E3844" s="6"/>
      <c r="F3844" s="6" t="b">
        <f t="shared" si="1"/>
        <v>0</v>
      </c>
    </row>
    <row r="3845" ht="15.75" customHeight="1">
      <c r="A3845" s="7" t="s">
        <v>7335</v>
      </c>
      <c r="B3845" s="4" t="s">
        <v>7336</v>
      </c>
      <c r="C3845" s="5" t="s">
        <v>6</v>
      </c>
      <c r="D3845" s="6" t="s">
        <v>4823</v>
      </c>
      <c r="E3845" s="6"/>
      <c r="F3845" s="6" t="b">
        <f t="shared" si="1"/>
        <v>0</v>
      </c>
    </row>
    <row r="3846" ht="15.75" customHeight="1">
      <c r="A3846" s="7" t="s">
        <v>7337</v>
      </c>
      <c r="B3846" s="4" t="s">
        <v>7338</v>
      </c>
      <c r="C3846" s="5" t="s">
        <v>6</v>
      </c>
      <c r="D3846" s="6" t="s">
        <v>4823</v>
      </c>
      <c r="E3846" s="6"/>
      <c r="F3846" s="6" t="b">
        <f t="shared" si="1"/>
        <v>0</v>
      </c>
    </row>
    <row r="3847" ht="15.75" customHeight="1">
      <c r="A3847" s="7" t="s">
        <v>7339</v>
      </c>
      <c r="B3847" s="4" t="s">
        <v>7340</v>
      </c>
      <c r="C3847" s="5" t="s">
        <v>6</v>
      </c>
      <c r="D3847" s="6" t="s">
        <v>4823</v>
      </c>
      <c r="E3847" s="6"/>
      <c r="F3847" s="6" t="b">
        <f t="shared" si="1"/>
        <v>0</v>
      </c>
    </row>
    <row r="3848" ht="15.75" customHeight="1">
      <c r="A3848" s="7" t="s">
        <v>7341</v>
      </c>
      <c r="B3848" s="4" t="s">
        <v>7342</v>
      </c>
      <c r="C3848" s="5" t="s">
        <v>6</v>
      </c>
      <c r="D3848" s="6" t="s">
        <v>7343</v>
      </c>
      <c r="E3848" s="6"/>
      <c r="F3848" s="6" t="b">
        <f t="shared" si="1"/>
        <v>0</v>
      </c>
    </row>
    <row r="3849" ht="15.75" customHeight="1">
      <c r="A3849" s="7" t="s">
        <v>7344</v>
      </c>
      <c r="B3849" s="4" t="s">
        <v>7345</v>
      </c>
      <c r="C3849" s="5" t="s">
        <v>6</v>
      </c>
      <c r="D3849" s="6" t="s">
        <v>7343</v>
      </c>
      <c r="E3849" s="6"/>
      <c r="F3849" s="6" t="b">
        <f t="shared" si="1"/>
        <v>0</v>
      </c>
    </row>
    <row r="3850" ht="15.75" customHeight="1">
      <c r="A3850" s="7" t="s">
        <v>7346</v>
      </c>
      <c r="B3850" s="4" t="s">
        <v>7347</v>
      </c>
      <c r="C3850" s="5" t="s">
        <v>6</v>
      </c>
      <c r="D3850" s="6" t="s">
        <v>1974</v>
      </c>
      <c r="E3850" s="6"/>
      <c r="F3850" s="6" t="b">
        <f t="shared" si="1"/>
        <v>0</v>
      </c>
    </row>
    <row r="3851" ht="15.75" customHeight="1">
      <c r="A3851" s="7" t="s">
        <v>7348</v>
      </c>
      <c r="B3851" s="4" t="s">
        <v>7349</v>
      </c>
      <c r="C3851" s="5" t="s">
        <v>6</v>
      </c>
      <c r="D3851" s="6" t="s">
        <v>1974</v>
      </c>
      <c r="E3851" s="6"/>
      <c r="F3851" s="6" t="b">
        <f t="shared" si="1"/>
        <v>0</v>
      </c>
    </row>
    <row r="3852" ht="15.75" customHeight="1">
      <c r="A3852" s="7" t="s">
        <v>7350</v>
      </c>
      <c r="B3852" s="4" t="s">
        <v>7351</v>
      </c>
      <c r="C3852" s="5" t="s">
        <v>6</v>
      </c>
      <c r="D3852" s="6" t="s">
        <v>1974</v>
      </c>
      <c r="E3852" s="6"/>
      <c r="F3852" s="6" t="b">
        <f t="shared" si="1"/>
        <v>0</v>
      </c>
    </row>
    <row r="3853" ht="15.75" customHeight="1">
      <c r="A3853" s="7" t="s">
        <v>7352</v>
      </c>
      <c r="B3853" s="4" t="s">
        <v>7353</v>
      </c>
      <c r="C3853" s="5" t="s">
        <v>6</v>
      </c>
      <c r="D3853" s="6" t="s">
        <v>1974</v>
      </c>
      <c r="E3853" s="6"/>
      <c r="F3853" s="6" t="b">
        <f t="shared" si="1"/>
        <v>0</v>
      </c>
    </row>
    <row r="3854" ht="15.75" customHeight="1">
      <c r="A3854" s="7" t="s">
        <v>7354</v>
      </c>
      <c r="B3854" s="4" t="s">
        <v>7355</v>
      </c>
      <c r="C3854" s="5" t="s">
        <v>6</v>
      </c>
      <c r="D3854" s="6" t="s">
        <v>1974</v>
      </c>
      <c r="E3854" s="6"/>
      <c r="F3854" s="6" t="b">
        <f t="shared" si="1"/>
        <v>0</v>
      </c>
    </row>
    <row r="3855" ht="15.75" customHeight="1">
      <c r="A3855" s="7" t="s">
        <v>7356</v>
      </c>
      <c r="B3855" s="4" t="s">
        <v>7357</v>
      </c>
      <c r="C3855" s="5" t="s">
        <v>6</v>
      </c>
      <c r="D3855" s="6" t="s">
        <v>1974</v>
      </c>
      <c r="E3855" s="6"/>
      <c r="F3855" s="6" t="b">
        <f t="shared" si="1"/>
        <v>0</v>
      </c>
    </row>
    <row r="3856" ht="15.75" customHeight="1">
      <c r="A3856" s="7" t="s">
        <v>7358</v>
      </c>
      <c r="B3856" s="4" t="s">
        <v>7359</v>
      </c>
      <c r="C3856" s="6"/>
      <c r="D3856" s="6" t="s">
        <v>70</v>
      </c>
      <c r="E3856" s="6"/>
      <c r="F3856" s="6" t="b">
        <f t="shared" si="1"/>
        <v>0</v>
      </c>
    </row>
    <row r="3857" ht="15.75" customHeight="1">
      <c r="A3857" s="7" t="s">
        <v>7360</v>
      </c>
      <c r="B3857" s="4" t="s">
        <v>7361</v>
      </c>
      <c r="C3857" s="6"/>
      <c r="D3857" s="6" t="s">
        <v>70</v>
      </c>
      <c r="E3857" s="6"/>
      <c r="F3857" s="6" t="b">
        <f t="shared" si="1"/>
        <v>0</v>
      </c>
    </row>
    <row r="3858" ht="15.75" customHeight="1">
      <c r="A3858" s="7" t="s">
        <v>7362</v>
      </c>
      <c r="B3858" s="4" t="s">
        <v>7363</v>
      </c>
      <c r="C3858" s="5" t="s">
        <v>16</v>
      </c>
      <c r="D3858" s="6" t="s">
        <v>7364</v>
      </c>
      <c r="E3858" s="6"/>
      <c r="F3858" s="6" t="b">
        <f t="shared" si="1"/>
        <v>0</v>
      </c>
    </row>
    <row r="3859" ht="15.75" customHeight="1">
      <c r="A3859" s="7" t="s">
        <v>7365</v>
      </c>
      <c r="B3859" s="4" t="s">
        <v>7366</v>
      </c>
      <c r="C3859" s="6"/>
      <c r="D3859" s="6" t="s">
        <v>150</v>
      </c>
      <c r="E3859" s="6"/>
      <c r="F3859" s="6" t="b">
        <f t="shared" si="1"/>
        <v>0</v>
      </c>
    </row>
    <row r="3860" ht="15.75" customHeight="1">
      <c r="A3860" s="7" t="s">
        <v>7367</v>
      </c>
      <c r="B3860" s="4" t="s">
        <v>7368</v>
      </c>
      <c r="C3860" s="6"/>
      <c r="D3860" s="6" t="s">
        <v>70</v>
      </c>
      <c r="E3860" s="6"/>
      <c r="F3860" s="6" t="b">
        <f t="shared" si="1"/>
        <v>0</v>
      </c>
    </row>
    <row r="3861" ht="15.75" customHeight="1">
      <c r="A3861" s="7" t="s">
        <v>7369</v>
      </c>
      <c r="B3861" s="4" t="s">
        <v>7370</v>
      </c>
      <c r="C3861" s="5" t="s">
        <v>229</v>
      </c>
      <c r="D3861" s="6" t="s">
        <v>6688</v>
      </c>
      <c r="E3861" s="6"/>
      <c r="F3861" s="6" t="b">
        <f t="shared" si="1"/>
        <v>0</v>
      </c>
    </row>
    <row r="3862" ht="15.75" customHeight="1">
      <c r="A3862" s="3" t="s">
        <v>7371</v>
      </c>
      <c r="B3862" s="4"/>
      <c r="C3862" s="5"/>
      <c r="D3862" s="5"/>
      <c r="E3862" s="6"/>
      <c r="F3862" s="6" t="b">
        <f t="shared" si="1"/>
        <v>0</v>
      </c>
    </row>
    <row r="3863" ht="15.75" customHeight="1">
      <c r="A3863" s="7" t="s">
        <v>7372</v>
      </c>
      <c r="B3863" s="4" t="s">
        <v>7373</v>
      </c>
      <c r="C3863" s="5" t="s">
        <v>229</v>
      </c>
      <c r="D3863" s="6" t="s">
        <v>6175</v>
      </c>
      <c r="E3863" s="6"/>
      <c r="F3863" s="6" t="b">
        <f t="shared" si="1"/>
        <v>0</v>
      </c>
    </row>
    <row r="3864" ht="15.75" customHeight="1">
      <c r="A3864" s="3" t="s">
        <v>7374</v>
      </c>
      <c r="B3864" s="4"/>
      <c r="C3864" s="5"/>
      <c r="D3864" s="5"/>
      <c r="E3864" s="6"/>
      <c r="F3864" s="6" t="b">
        <f t="shared" si="1"/>
        <v>0</v>
      </c>
    </row>
    <row r="3865" ht="15.75" customHeight="1">
      <c r="A3865" s="3" t="s">
        <v>7375</v>
      </c>
      <c r="B3865" s="4"/>
      <c r="C3865" s="5"/>
      <c r="D3865" s="5"/>
      <c r="E3865" s="6"/>
      <c r="F3865" s="6" t="b">
        <f t="shared" si="1"/>
        <v>0</v>
      </c>
    </row>
    <row r="3866" ht="15.75" customHeight="1">
      <c r="A3866" s="3" t="s">
        <v>7376</v>
      </c>
      <c r="B3866" s="4"/>
      <c r="C3866" s="5"/>
      <c r="D3866" s="5"/>
      <c r="E3866" s="6"/>
      <c r="F3866" s="6" t="b">
        <f t="shared" si="1"/>
        <v>0</v>
      </c>
    </row>
    <row r="3867" ht="15.75" customHeight="1">
      <c r="A3867" s="7" t="s">
        <v>7377</v>
      </c>
      <c r="B3867" s="4" t="s">
        <v>7378</v>
      </c>
      <c r="C3867" s="5" t="s">
        <v>6</v>
      </c>
      <c r="D3867" s="6" t="s">
        <v>28</v>
      </c>
      <c r="E3867" s="6"/>
      <c r="F3867" s="6" t="b">
        <f t="shared" si="1"/>
        <v>0</v>
      </c>
    </row>
    <row r="3868" ht="15.75" customHeight="1">
      <c r="A3868" s="3" t="s">
        <v>7379</v>
      </c>
      <c r="B3868" s="4"/>
      <c r="C3868" s="5"/>
      <c r="D3868" s="5"/>
      <c r="E3868" s="6"/>
      <c r="F3868" s="6" t="b">
        <f t="shared" si="1"/>
        <v>0</v>
      </c>
    </row>
    <row r="3869" ht="15.75" customHeight="1">
      <c r="A3869" s="3" t="s">
        <v>7380</v>
      </c>
      <c r="B3869" s="4"/>
      <c r="C3869" s="5"/>
      <c r="D3869" s="5"/>
      <c r="E3869" s="6"/>
      <c r="F3869" s="6" t="b">
        <f t="shared" si="1"/>
        <v>0</v>
      </c>
    </row>
    <row r="3870" ht="15.75" customHeight="1">
      <c r="A3870" s="3" t="s">
        <v>7381</v>
      </c>
      <c r="B3870" s="4"/>
      <c r="C3870" s="5"/>
      <c r="D3870" s="5"/>
      <c r="E3870" s="6"/>
      <c r="F3870" s="6" t="b">
        <f t="shared" si="1"/>
        <v>0</v>
      </c>
    </row>
    <row r="3871" ht="15.75" customHeight="1">
      <c r="A3871" s="3" t="s">
        <v>7382</v>
      </c>
      <c r="B3871" s="4"/>
      <c r="C3871" s="5"/>
      <c r="D3871" s="5"/>
      <c r="E3871" s="6"/>
      <c r="F3871" s="6" t="b">
        <f t="shared" si="1"/>
        <v>0</v>
      </c>
    </row>
    <row r="3872" ht="15.75" customHeight="1">
      <c r="A3872" s="7" t="s">
        <v>7383</v>
      </c>
      <c r="B3872" s="4" t="s">
        <v>7384</v>
      </c>
      <c r="C3872" s="5" t="s">
        <v>6</v>
      </c>
      <c r="D3872" s="6" t="s">
        <v>7385</v>
      </c>
      <c r="E3872" s="6"/>
      <c r="F3872" s="6" t="b">
        <f t="shared" si="1"/>
        <v>0</v>
      </c>
    </row>
    <row r="3873" ht="15.75" customHeight="1">
      <c r="A3873" s="3" t="s">
        <v>7386</v>
      </c>
      <c r="B3873" s="4"/>
      <c r="C3873" s="5"/>
      <c r="D3873" s="5"/>
      <c r="E3873" s="6"/>
      <c r="F3873" s="6" t="b">
        <f t="shared" si="1"/>
        <v>0</v>
      </c>
    </row>
    <row r="3874" ht="15.75" customHeight="1">
      <c r="A3874" s="3" t="s">
        <v>7387</v>
      </c>
      <c r="B3874" s="4"/>
      <c r="C3874" s="5"/>
      <c r="D3874" s="5"/>
      <c r="E3874" s="6"/>
      <c r="F3874" s="6" t="b">
        <f t="shared" si="1"/>
        <v>0</v>
      </c>
    </row>
    <row r="3875" ht="15.75" customHeight="1">
      <c r="A3875" s="3" t="s">
        <v>7388</v>
      </c>
      <c r="B3875" s="4"/>
      <c r="C3875" s="5"/>
      <c r="D3875" s="5"/>
      <c r="E3875" s="6"/>
      <c r="F3875" s="6" t="b">
        <f t="shared" si="1"/>
        <v>0</v>
      </c>
    </row>
    <row r="3876" ht="15.75" customHeight="1">
      <c r="A3876" s="3" t="s">
        <v>7389</v>
      </c>
      <c r="B3876" s="4"/>
      <c r="C3876" s="5"/>
      <c r="D3876" s="5"/>
      <c r="E3876" s="6"/>
      <c r="F3876" s="6" t="b">
        <f t="shared" si="1"/>
        <v>0</v>
      </c>
    </row>
    <row r="3877" ht="15.75" customHeight="1">
      <c r="A3877" s="3" t="s">
        <v>7390</v>
      </c>
      <c r="B3877" s="4"/>
      <c r="C3877" s="5"/>
      <c r="D3877" s="5"/>
      <c r="E3877" s="6"/>
      <c r="F3877" s="6" t="b">
        <f t="shared" si="1"/>
        <v>0</v>
      </c>
    </row>
    <row r="3878" ht="15.75" customHeight="1">
      <c r="A3878" s="3" t="s">
        <v>7391</v>
      </c>
      <c r="B3878" s="4"/>
      <c r="C3878" s="5"/>
      <c r="D3878" s="5"/>
      <c r="E3878" s="6"/>
      <c r="F3878" s="6" t="b">
        <f t="shared" si="1"/>
        <v>0</v>
      </c>
    </row>
    <row r="3879" ht="15.75" customHeight="1">
      <c r="A3879" s="3" t="s">
        <v>7392</v>
      </c>
      <c r="B3879" s="4"/>
      <c r="C3879" s="5"/>
      <c r="D3879" s="5"/>
      <c r="E3879" s="6"/>
      <c r="F3879" s="6" t="b">
        <f t="shared" si="1"/>
        <v>0</v>
      </c>
    </row>
    <row r="3880" ht="15.75" customHeight="1">
      <c r="A3880" s="3" t="s">
        <v>7393</v>
      </c>
      <c r="B3880" s="4"/>
      <c r="C3880" s="5"/>
      <c r="D3880" s="5"/>
      <c r="E3880" s="6"/>
      <c r="F3880" s="6" t="b">
        <f t="shared" si="1"/>
        <v>0</v>
      </c>
    </row>
    <row r="3881" ht="15.75" customHeight="1">
      <c r="A3881" s="3" t="s">
        <v>7394</v>
      </c>
      <c r="B3881" s="4"/>
      <c r="C3881" s="5"/>
      <c r="D3881" s="5"/>
      <c r="E3881" s="6"/>
      <c r="F3881" s="6" t="b">
        <f t="shared" si="1"/>
        <v>0</v>
      </c>
    </row>
    <row r="3882" ht="15.75" customHeight="1">
      <c r="A3882" s="3" t="s">
        <v>7395</v>
      </c>
      <c r="B3882" s="4"/>
      <c r="C3882" s="5"/>
      <c r="D3882" s="5"/>
      <c r="E3882" s="6"/>
      <c r="F3882" s="6" t="b">
        <f t="shared" si="1"/>
        <v>0</v>
      </c>
    </row>
    <row r="3883" ht="15.75" customHeight="1">
      <c r="A3883" s="3" t="s">
        <v>7396</v>
      </c>
      <c r="B3883" s="4"/>
      <c r="C3883" s="5"/>
      <c r="D3883" s="5"/>
      <c r="E3883" s="6"/>
      <c r="F3883" s="6" t="b">
        <f t="shared" si="1"/>
        <v>0</v>
      </c>
    </row>
    <row r="3884" ht="15.75" customHeight="1">
      <c r="A3884" s="3" t="s">
        <v>7397</v>
      </c>
      <c r="B3884" s="4"/>
      <c r="C3884" s="5"/>
      <c r="D3884" s="5"/>
      <c r="E3884" s="6"/>
      <c r="F3884" s="6" t="b">
        <f t="shared" si="1"/>
        <v>0</v>
      </c>
    </row>
    <row r="3885" ht="15.75" customHeight="1">
      <c r="A3885" s="3" t="s">
        <v>7398</v>
      </c>
      <c r="B3885" s="4"/>
      <c r="C3885" s="5"/>
      <c r="D3885" s="5"/>
      <c r="E3885" s="6"/>
      <c r="F3885" s="6" t="b">
        <f t="shared" si="1"/>
        <v>0</v>
      </c>
    </row>
    <row r="3886" ht="15.75" customHeight="1">
      <c r="A3886" s="7" t="s">
        <v>7399</v>
      </c>
      <c r="B3886" s="4" t="s">
        <v>7400</v>
      </c>
      <c r="C3886" s="6"/>
      <c r="D3886" s="6" t="s">
        <v>7401</v>
      </c>
      <c r="E3886" s="6"/>
      <c r="F3886" s="6" t="b">
        <f t="shared" si="1"/>
        <v>0</v>
      </c>
    </row>
    <row r="3887" ht="15.75" customHeight="1">
      <c r="A3887" s="7" t="s">
        <v>7402</v>
      </c>
      <c r="B3887" s="9" t="s">
        <v>7403</v>
      </c>
      <c r="C3887" s="6"/>
      <c r="D3887" s="6" t="s">
        <v>7401</v>
      </c>
      <c r="E3887" s="6"/>
      <c r="F3887" s="6" t="b">
        <f t="shared" si="1"/>
        <v>0</v>
      </c>
    </row>
    <row r="3888" ht="15.75" customHeight="1">
      <c r="A3888" s="3" t="s">
        <v>7404</v>
      </c>
      <c r="B3888" s="4"/>
      <c r="C3888" s="5"/>
      <c r="D3888" s="5"/>
      <c r="E3888" s="6"/>
      <c r="F3888" s="6" t="b">
        <f t="shared" si="1"/>
        <v>0</v>
      </c>
    </row>
    <row r="3889" ht="15.75" customHeight="1">
      <c r="A3889" s="10" t="s">
        <v>7405</v>
      </c>
      <c r="B3889" s="11" t="s">
        <v>7406</v>
      </c>
      <c r="C3889" s="5"/>
      <c r="D3889" s="8" t="s">
        <v>5385</v>
      </c>
      <c r="E3889" s="6"/>
      <c r="F3889" s="6" t="b">
        <f t="shared" si="1"/>
        <v>0</v>
      </c>
    </row>
    <row r="3890" ht="15.75" customHeight="1">
      <c r="A3890" s="3" t="s">
        <v>7407</v>
      </c>
      <c r="B3890" s="4"/>
      <c r="C3890" s="5"/>
      <c r="D3890" s="5"/>
      <c r="E3890" s="6"/>
      <c r="F3890" s="6" t="b">
        <f t="shared" si="1"/>
        <v>0</v>
      </c>
    </row>
    <row r="3891" ht="15.75" customHeight="1">
      <c r="A3891" s="10" t="s">
        <v>7408</v>
      </c>
      <c r="B3891" s="11" t="s">
        <v>7409</v>
      </c>
      <c r="C3891" s="5"/>
      <c r="D3891" s="8" t="s">
        <v>5385</v>
      </c>
      <c r="E3891" s="6"/>
      <c r="F3891" s="6" t="b">
        <f t="shared" si="1"/>
        <v>0</v>
      </c>
    </row>
    <row r="3892" ht="15.75" customHeight="1">
      <c r="A3892" s="3" t="s">
        <v>7410</v>
      </c>
      <c r="B3892" s="4"/>
      <c r="C3892" s="5"/>
      <c r="D3892" s="5"/>
      <c r="E3892" s="6"/>
      <c r="F3892" s="6" t="b">
        <f t="shared" si="1"/>
        <v>0</v>
      </c>
    </row>
    <row r="3893" ht="15.75" customHeight="1">
      <c r="A3893" s="3" t="s">
        <v>7411</v>
      </c>
      <c r="B3893" s="4"/>
      <c r="C3893" s="5"/>
      <c r="D3893" s="5"/>
      <c r="E3893" s="6"/>
      <c r="F3893" s="6" t="b">
        <f t="shared" si="1"/>
        <v>0</v>
      </c>
    </row>
    <row r="3894" ht="15.75" customHeight="1">
      <c r="A3894" s="3" t="s">
        <v>7412</v>
      </c>
      <c r="B3894" s="4"/>
      <c r="C3894" s="5"/>
      <c r="D3894" s="5"/>
      <c r="E3894" s="6"/>
      <c r="F3894" s="6" t="b">
        <f t="shared" si="1"/>
        <v>0</v>
      </c>
    </row>
    <row r="3895" ht="15.75" customHeight="1">
      <c r="A3895" s="3" t="s">
        <v>7413</v>
      </c>
      <c r="B3895" s="4"/>
      <c r="C3895" s="5"/>
      <c r="D3895" s="5"/>
      <c r="E3895" s="6"/>
      <c r="F3895" s="6" t="b">
        <f t="shared" si="1"/>
        <v>0</v>
      </c>
    </row>
    <row r="3896" ht="15.75" customHeight="1">
      <c r="A3896" s="3" t="s">
        <v>7414</v>
      </c>
      <c r="B3896" s="4"/>
      <c r="C3896" s="5"/>
      <c r="D3896" s="5"/>
      <c r="E3896" s="6"/>
      <c r="F3896" s="6" t="b">
        <f t="shared" si="1"/>
        <v>0</v>
      </c>
    </row>
    <row r="3897" ht="15.75" customHeight="1">
      <c r="A3897" s="7" t="s">
        <v>7415</v>
      </c>
      <c r="B3897" s="4" t="s">
        <v>7416</v>
      </c>
      <c r="C3897" s="5" t="s">
        <v>6</v>
      </c>
      <c r="D3897" s="6" t="s">
        <v>81</v>
      </c>
      <c r="E3897" s="6"/>
      <c r="F3897" s="6" t="b">
        <f t="shared" si="1"/>
        <v>0</v>
      </c>
    </row>
    <row r="3898" ht="15.75" customHeight="1">
      <c r="A3898" s="3" t="s">
        <v>7417</v>
      </c>
      <c r="B3898" s="4"/>
      <c r="C3898" s="5"/>
      <c r="D3898" s="5"/>
      <c r="E3898" s="6"/>
      <c r="F3898" s="6" t="b">
        <f t="shared" si="1"/>
        <v>0</v>
      </c>
    </row>
    <row r="3899" ht="15.75" customHeight="1">
      <c r="A3899" s="10" t="s">
        <v>7418</v>
      </c>
      <c r="B3899" s="11"/>
      <c r="C3899" s="5"/>
      <c r="D3899" s="8"/>
      <c r="E3899" s="6"/>
      <c r="F3899" s="6" t="b">
        <f t="shared" si="1"/>
        <v>0</v>
      </c>
    </row>
    <row r="3900" ht="15.75" customHeight="1">
      <c r="A3900" s="3" t="s">
        <v>7419</v>
      </c>
      <c r="B3900" s="4"/>
      <c r="C3900" s="5"/>
      <c r="D3900" s="5"/>
      <c r="E3900" s="6"/>
      <c r="F3900" s="6" t="b">
        <f t="shared" si="1"/>
        <v>0</v>
      </c>
    </row>
    <row r="3901" ht="15.75" customHeight="1">
      <c r="A3901" s="10" t="s">
        <v>7420</v>
      </c>
      <c r="B3901" s="11" t="s">
        <v>7421</v>
      </c>
      <c r="C3901" s="5"/>
      <c r="D3901" s="8" t="s">
        <v>5385</v>
      </c>
      <c r="E3901" s="6"/>
      <c r="F3901" s="6" t="b">
        <f t="shared" si="1"/>
        <v>0</v>
      </c>
    </row>
    <row r="3902" ht="15.75" customHeight="1">
      <c r="A3902" s="7" t="s">
        <v>7422</v>
      </c>
      <c r="B3902" s="4" t="s">
        <v>7423</v>
      </c>
      <c r="C3902" s="5" t="s">
        <v>6</v>
      </c>
      <c r="D3902" s="6" t="s">
        <v>1974</v>
      </c>
      <c r="E3902" s="6"/>
      <c r="F3902" s="6" t="b">
        <f t="shared" si="1"/>
        <v>0</v>
      </c>
    </row>
    <row r="3903" ht="15.75" customHeight="1">
      <c r="A3903" s="7" t="s">
        <v>7424</v>
      </c>
      <c r="B3903" s="4" t="s">
        <v>7425</v>
      </c>
      <c r="C3903" s="5" t="s">
        <v>16</v>
      </c>
      <c r="D3903" s="6" t="s">
        <v>7426</v>
      </c>
      <c r="E3903" s="6"/>
      <c r="F3903" s="6" t="b">
        <f t="shared" si="1"/>
        <v>0</v>
      </c>
    </row>
    <row r="3904" ht="15.75" customHeight="1">
      <c r="A3904" s="3" t="s">
        <v>7427</v>
      </c>
      <c r="B3904" s="4"/>
      <c r="C3904" s="5"/>
      <c r="D3904" s="5"/>
      <c r="E3904" s="6"/>
      <c r="F3904" s="6" t="b">
        <f t="shared" si="1"/>
        <v>0</v>
      </c>
    </row>
    <row r="3905" ht="15.75" customHeight="1">
      <c r="A3905" s="3" t="s">
        <v>7428</v>
      </c>
      <c r="B3905" s="4"/>
      <c r="C3905" s="5"/>
      <c r="D3905" s="5"/>
      <c r="E3905" s="6"/>
      <c r="F3905" s="6" t="b">
        <f t="shared" si="1"/>
        <v>0</v>
      </c>
    </row>
    <row r="3906" ht="15.75" customHeight="1">
      <c r="A3906" s="7" t="s">
        <v>7429</v>
      </c>
      <c r="B3906" s="4" t="s">
        <v>7430</v>
      </c>
      <c r="C3906" s="5" t="s">
        <v>16</v>
      </c>
      <c r="D3906" s="6" t="s">
        <v>800</v>
      </c>
      <c r="E3906" s="6"/>
      <c r="F3906" s="6" t="b">
        <f t="shared" si="1"/>
        <v>0</v>
      </c>
    </row>
    <row r="3907" ht="15.75" customHeight="1">
      <c r="A3907" s="3" t="s">
        <v>7431</v>
      </c>
      <c r="B3907" s="4"/>
      <c r="C3907" s="5"/>
      <c r="D3907" s="5"/>
      <c r="E3907" s="6"/>
      <c r="F3907" s="6" t="b">
        <f t="shared" si="1"/>
        <v>0</v>
      </c>
    </row>
    <row r="3908" ht="15.75" customHeight="1">
      <c r="A3908" s="7" t="s">
        <v>7432</v>
      </c>
      <c r="B3908" s="4" t="s">
        <v>7433</v>
      </c>
      <c r="C3908" s="6"/>
      <c r="D3908" s="6" t="s">
        <v>70</v>
      </c>
      <c r="E3908" s="6"/>
      <c r="F3908" s="6" t="b">
        <f t="shared" si="1"/>
        <v>0</v>
      </c>
    </row>
    <row r="3909" ht="15.75" customHeight="1">
      <c r="A3909" s="3" t="s">
        <v>7434</v>
      </c>
      <c r="B3909" s="4"/>
      <c r="C3909" s="5"/>
      <c r="D3909" s="5"/>
      <c r="E3909" s="6"/>
      <c r="F3909" s="6" t="b">
        <f t="shared" si="1"/>
        <v>0</v>
      </c>
    </row>
    <row r="3910" ht="15.75" customHeight="1">
      <c r="A3910" s="3" t="s">
        <v>7435</v>
      </c>
      <c r="B3910" s="4"/>
      <c r="C3910" s="5"/>
      <c r="D3910" s="5"/>
      <c r="E3910" s="6"/>
      <c r="F3910" s="6" t="b">
        <f t="shared" si="1"/>
        <v>0</v>
      </c>
    </row>
    <row r="3911" ht="15.75" customHeight="1">
      <c r="A3911" s="3" t="s">
        <v>7436</v>
      </c>
      <c r="B3911" s="4"/>
      <c r="C3911" s="5"/>
      <c r="D3911" s="5"/>
      <c r="E3911" s="6"/>
      <c r="F3911" s="6" t="b">
        <f t="shared" si="1"/>
        <v>0</v>
      </c>
    </row>
    <row r="3912" ht="15.75" customHeight="1">
      <c r="A3912" s="3" t="s">
        <v>7437</v>
      </c>
      <c r="B3912" s="4"/>
      <c r="C3912" s="5"/>
      <c r="D3912" s="5"/>
      <c r="E3912" s="6"/>
      <c r="F3912" s="6" t="b">
        <f t="shared" si="1"/>
        <v>0</v>
      </c>
    </row>
    <row r="3913" ht="15.75" customHeight="1">
      <c r="A3913" s="3" t="s">
        <v>7438</v>
      </c>
      <c r="B3913" s="4"/>
      <c r="C3913" s="5"/>
      <c r="D3913" s="5"/>
      <c r="E3913" s="6"/>
      <c r="F3913" s="6" t="b">
        <f t="shared" si="1"/>
        <v>0</v>
      </c>
    </row>
    <row r="3914" ht="15.75" customHeight="1">
      <c r="A3914" s="3" t="s">
        <v>7439</v>
      </c>
      <c r="B3914" s="4"/>
      <c r="C3914" s="5"/>
      <c r="D3914" s="5"/>
      <c r="E3914" s="6"/>
      <c r="F3914" s="6" t="b">
        <f t="shared" si="1"/>
        <v>0</v>
      </c>
    </row>
    <row r="3915" ht="15.75" customHeight="1">
      <c r="A3915" s="3" t="s">
        <v>7440</v>
      </c>
      <c r="B3915" s="4"/>
      <c r="C3915" s="5"/>
      <c r="D3915" s="5"/>
      <c r="E3915" s="6"/>
      <c r="F3915" s="6" t="b">
        <f t="shared" si="1"/>
        <v>0</v>
      </c>
    </row>
    <row r="3916" ht="15.75" customHeight="1">
      <c r="A3916" s="3" t="s">
        <v>7441</v>
      </c>
      <c r="B3916" s="4"/>
      <c r="C3916" s="5"/>
      <c r="D3916" s="5"/>
      <c r="E3916" s="6"/>
      <c r="F3916" s="6" t="b">
        <f t="shared" si="1"/>
        <v>0</v>
      </c>
    </row>
    <row r="3917" ht="15.75" customHeight="1">
      <c r="A3917" s="7" t="s">
        <v>7442</v>
      </c>
      <c r="B3917" s="4" t="s">
        <v>7443</v>
      </c>
      <c r="C3917" s="5" t="s">
        <v>6</v>
      </c>
      <c r="D3917" s="6" t="s">
        <v>7</v>
      </c>
      <c r="E3917" s="6"/>
      <c r="F3917" s="6" t="b">
        <f t="shared" si="1"/>
        <v>0</v>
      </c>
    </row>
    <row r="3918" ht="15.75" customHeight="1">
      <c r="A3918" s="7" t="s">
        <v>7444</v>
      </c>
      <c r="B3918" s="4" t="s">
        <v>7445</v>
      </c>
      <c r="C3918" s="5" t="s">
        <v>229</v>
      </c>
      <c r="D3918" s="6" t="s">
        <v>2853</v>
      </c>
      <c r="E3918" s="6"/>
      <c r="F3918" s="6" t="b">
        <f t="shared" si="1"/>
        <v>0</v>
      </c>
    </row>
    <row r="3919" ht="15.75" customHeight="1">
      <c r="A3919" s="10" t="s">
        <v>7446</v>
      </c>
      <c r="B3919" s="11"/>
      <c r="C3919" s="5"/>
      <c r="D3919" s="8"/>
      <c r="E3919" s="6"/>
      <c r="F3919" s="6" t="b">
        <f t="shared" si="1"/>
        <v>0</v>
      </c>
    </row>
    <row r="3920" ht="15.75" customHeight="1">
      <c r="A3920" s="7" t="s">
        <v>7447</v>
      </c>
      <c r="B3920" s="4" t="s">
        <v>7448</v>
      </c>
      <c r="C3920" s="5" t="s">
        <v>229</v>
      </c>
      <c r="D3920" s="5" t="s">
        <v>229</v>
      </c>
      <c r="E3920" s="6"/>
      <c r="F3920" s="6" t="b">
        <f t="shared" si="1"/>
        <v>0</v>
      </c>
    </row>
    <row r="3921" ht="15.75" customHeight="1">
      <c r="A3921" s="7" t="s">
        <v>7449</v>
      </c>
      <c r="B3921" s="4" t="s">
        <v>7450</v>
      </c>
      <c r="C3921" s="5" t="s">
        <v>7451</v>
      </c>
      <c r="D3921" s="5"/>
      <c r="E3921" s="6"/>
      <c r="F3921" s="6" t="b">
        <f t="shared" si="1"/>
        <v>0</v>
      </c>
    </row>
    <row r="3922" ht="15.75" customHeight="1">
      <c r="A3922" s="7" t="s">
        <v>7452</v>
      </c>
      <c r="B3922" s="4" t="s">
        <v>7453</v>
      </c>
      <c r="C3922" s="5" t="s">
        <v>229</v>
      </c>
      <c r="D3922" s="6" t="s">
        <v>6688</v>
      </c>
      <c r="E3922" s="6"/>
      <c r="F3922" s="6" t="b">
        <f t="shared" si="1"/>
        <v>0</v>
      </c>
    </row>
    <row r="3923" ht="15.75" customHeight="1">
      <c r="A3923" s="7" t="s">
        <v>7454</v>
      </c>
      <c r="B3923" s="4" t="s">
        <v>4962</v>
      </c>
      <c r="C3923" s="5" t="s">
        <v>16</v>
      </c>
      <c r="D3923" s="6" t="s">
        <v>7455</v>
      </c>
      <c r="E3923" s="6"/>
      <c r="F3923" s="6" t="b">
        <f t="shared" si="1"/>
        <v>0</v>
      </c>
    </row>
    <row r="3924" ht="15.75" customHeight="1">
      <c r="A3924" s="3" t="s">
        <v>7456</v>
      </c>
      <c r="B3924" s="4"/>
      <c r="C3924" s="5"/>
      <c r="D3924" s="5"/>
      <c r="E3924" s="6"/>
      <c r="F3924" s="6" t="b">
        <f t="shared" si="1"/>
        <v>0</v>
      </c>
    </row>
    <row r="3925" ht="15.75" customHeight="1">
      <c r="A3925" s="7" t="s">
        <v>7457</v>
      </c>
      <c r="B3925" s="4" t="s">
        <v>7458</v>
      </c>
      <c r="C3925" s="5" t="s">
        <v>6</v>
      </c>
      <c r="D3925" s="6" t="s">
        <v>547</v>
      </c>
      <c r="E3925" s="6"/>
      <c r="F3925" s="6" t="b">
        <f t="shared" si="1"/>
        <v>0</v>
      </c>
    </row>
    <row r="3926" ht="15.75" customHeight="1">
      <c r="A3926" s="3" t="s">
        <v>7459</v>
      </c>
      <c r="B3926" s="4"/>
      <c r="C3926" s="5"/>
      <c r="D3926" s="5"/>
      <c r="E3926" s="6"/>
      <c r="F3926" s="6" t="b">
        <f t="shared" si="1"/>
        <v>0</v>
      </c>
    </row>
    <row r="3927" ht="15.75" customHeight="1">
      <c r="A3927" s="7" t="s">
        <v>7460</v>
      </c>
      <c r="B3927" s="4" t="s">
        <v>7461</v>
      </c>
      <c r="C3927" s="5" t="s">
        <v>6</v>
      </c>
      <c r="D3927" s="6" t="s">
        <v>6325</v>
      </c>
      <c r="E3927" s="6"/>
      <c r="F3927" s="6" t="b">
        <f t="shared" si="1"/>
        <v>0</v>
      </c>
    </row>
    <row r="3928" ht="15.75" customHeight="1">
      <c r="A3928" s="7" t="s">
        <v>7462</v>
      </c>
      <c r="B3928" s="4" t="s">
        <v>7463</v>
      </c>
      <c r="C3928" s="5" t="s">
        <v>6</v>
      </c>
      <c r="D3928" s="6" t="s">
        <v>6325</v>
      </c>
      <c r="E3928" s="6"/>
      <c r="F3928" s="6" t="b">
        <f t="shared" si="1"/>
        <v>0</v>
      </c>
    </row>
    <row r="3929" ht="15.75" customHeight="1">
      <c r="A3929" s="7" t="s">
        <v>7464</v>
      </c>
      <c r="B3929" s="4" t="s">
        <v>7465</v>
      </c>
      <c r="C3929" s="5" t="s">
        <v>6</v>
      </c>
      <c r="D3929" s="6" t="s">
        <v>6325</v>
      </c>
      <c r="E3929" s="6"/>
      <c r="F3929" s="6" t="b">
        <f t="shared" si="1"/>
        <v>0</v>
      </c>
    </row>
    <row r="3930" ht="15.75" customHeight="1">
      <c r="A3930" s="7" t="s">
        <v>7466</v>
      </c>
      <c r="B3930" s="4" t="s">
        <v>7467</v>
      </c>
      <c r="C3930" s="5" t="s">
        <v>6</v>
      </c>
      <c r="D3930" s="6" t="s">
        <v>6325</v>
      </c>
      <c r="E3930" s="6"/>
      <c r="F3930" s="6" t="b">
        <f t="shared" si="1"/>
        <v>0</v>
      </c>
    </row>
    <row r="3931" ht="15.75" customHeight="1">
      <c r="A3931" s="7" t="s">
        <v>7468</v>
      </c>
      <c r="B3931" s="4" t="s">
        <v>7469</v>
      </c>
      <c r="C3931" s="5" t="s">
        <v>6</v>
      </c>
      <c r="D3931" s="6" t="s">
        <v>6325</v>
      </c>
      <c r="E3931" s="6"/>
      <c r="F3931" s="6" t="b">
        <f t="shared" si="1"/>
        <v>0</v>
      </c>
    </row>
    <row r="3932" ht="15.75" customHeight="1">
      <c r="A3932" s="7" t="s">
        <v>7470</v>
      </c>
      <c r="B3932" s="4" t="s">
        <v>7471</v>
      </c>
      <c r="C3932" s="5" t="s">
        <v>6</v>
      </c>
      <c r="D3932" s="6" t="s">
        <v>6325</v>
      </c>
      <c r="E3932" s="6"/>
      <c r="F3932" s="6" t="b">
        <f t="shared" si="1"/>
        <v>0</v>
      </c>
    </row>
    <row r="3933" ht="15.75" customHeight="1">
      <c r="A3933" s="7" t="s">
        <v>7472</v>
      </c>
      <c r="B3933" s="4" t="s">
        <v>7473</v>
      </c>
      <c r="C3933" s="5" t="s">
        <v>6</v>
      </c>
      <c r="D3933" s="6" t="s">
        <v>6325</v>
      </c>
      <c r="E3933" s="6"/>
      <c r="F3933" s="6" t="b">
        <f t="shared" si="1"/>
        <v>0</v>
      </c>
    </row>
    <row r="3934" ht="15.75" customHeight="1">
      <c r="A3934" s="7" t="s">
        <v>7474</v>
      </c>
      <c r="B3934" s="4" t="s">
        <v>7475</v>
      </c>
      <c r="C3934" s="5" t="s">
        <v>6</v>
      </c>
      <c r="D3934" s="6" t="s">
        <v>6325</v>
      </c>
      <c r="E3934" s="6"/>
      <c r="F3934" s="6" t="b">
        <f t="shared" si="1"/>
        <v>0</v>
      </c>
    </row>
    <row r="3935" ht="15.75" customHeight="1">
      <c r="A3935" s="7" t="s">
        <v>7476</v>
      </c>
      <c r="B3935" s="4" t="s">
        <v>7477</v>
      </c>
      <c r="C3935" s="5" t="s">
        <v>6</v>
      </c>
      <c r="D3935" s="6" t="s">
        <v>6325</v>
      </c>
      <c r="E3935" s="6"/>
      <c r="F3935" s="6" t="b">
        <f t="shared" si="1"/>
        <v>0</v>
      </c>
    </row>
    <row r="3936" ht="15.75" customHeight="1">
      <c r="A3936" s="7" t="s">
        <v>7478</v>
      </c>
      <c r="B3936" s="4" t="s">
        <v>7479</v>
      </c>
      <c r="C3936" s="5" t="s">
        <v>6</v>
      </c>
      <c r="D3936" s="6" t="s">
        <v>6325</v>
      </c>
      <c r="E3936" s="6"/>
      <c r="F3936" s="6" t="b">
        <f t="shared" si="1"/>
        <v>0</v>
      </c>
    </row>
    <row r="3937" ht="15.75" customHeight="1">
      <c r="A3937" s="7" t="s">
        <v>7480</v>
      </c>
      <c r="B3937" s="4" t="s">
        <v>7481</v>
      </c>
      <c r="C3937" s="5" t="s">
        <v>6</v>
      </c>
      <c r="D3937" s="6" t="s">
        <v>6325</v>
      </c>
      <c r="E3937" s="6"/>
      <c r="F3937" s="6" t="b">
        <f t="shared" si="1"/>
        <v>0</v>
      </c>
    </row>
    <row r="3938" ht="15.75" customHeight="1">
      <c r="A3938" s="7" t="s">
        <v>7482</v>
      </c>
      <c r="B3938" s="4" t="s">
        <v>7483</v>
      </c>
      <c r="C3938" s="5" t="s">
        <v>6</v>
      </c>
      <c r="D3938" s="6" t="s">
        <v>6325</v>
      </c>
      <c r="E3938" s="6"/>
      <c r="F3938" s="6" t="b">
        <f t="shared" si="1"/>
        <v>0</v>
      </c>
    </row>
    <row r="3939" ht="15.75" customHeight="1">
      <c r="A3939" s="7" t="s">
        <v>7484</v>
      </c>
      <c r="B3939" s="4" t="s">
        <v>7485</v>
      </c>
      <c r="C3939" s="5" t="s">
        <v>6</v>
      </c>
      <c r="D3939" s="6" t="s">
        <v>6325</v>
      </c>
      <c r="E3939" s="6"/>
      <c r="F3939" s="6" t="b">
        <f t="shared" si="1"/>
        <v>0</v>
      </c>
    </row>
    <row r="3940" ht="15.75" customHeight="1">
      <c r="A3940" s="7" t="s">
        <v>7486</v>
      </c>
      <c r="B3940" s="4" t="s">
        <v>7487</v>
      </c>
      <c r="C3940" s="5" t="s">
        <v>6</v>
      </c>
      <c r="D3940" s="6" t="s">
        <v>6325</v>
      </c>
      <c r="E3940" s="6"/>
      <c r="F3940" s="6" t="b">
        <f t="shared" si="1"/>
        <v>0</v>
      </c>
    </row>
    <row r="3941" ht="15.75" customHeight="1">
      <c r="A3941" s="3" t="s">
        <v>7488</v>
      </c>
      <c r="B3941" s="4"/>
      <c r="C3941" s="5"/>
      <c r="D3941" s="5"/>
      <c r="E3941" s="6"/>
      <c r="F3941" s="6" t="b">
        <f t="shared" si="1"/>
        <v>0</v>
      </c>
    </row>
    <row r="3942" ht="15.75" customHeight="1">
      <c r="A3942" s="3" t="s">
        <v>7489</v>
      </c>
      <c r="B3942" s="4"/>
      <c r="C3942" s="5"/>
      <c r="D3942" s="5"/>
      <c r="E3942" s="6"/>
      <c r="F3942" s="6" t="b">
        <f t="shared" si="1"/>
        <v>0</v>
      </c>
    </row>
    <row r="3943" ht="15.75" customHeight="1">
      <c r="A3943" s="7" t="s">
        <v>7490</v>
      </c>
      <c r="B3943" s="4" t="s">
        <v>7491</v>
      </c>
      <c r="C3943" s="5" t="s">
        <v>6</v>
      </c>
      <c r="D3943" s="6" t="s">
        <v>1020</v>
      </c>
      <c r="E3943" s="6"/>
      <c r="F3943" s="6" t="b">
        <f t="shared" si="1"/>
        <v>0</v>
      </c>
    </row>
    <row r="3944" ht="15.75" customHeight="1">
      <c r="A3944" s="3" t="s">
        <v>7492</v>
      </c>
      <c r="B3944" s="4"/>
      <c r="C3944" s="5"/>
      <c r="D3944" s="5"/>
      <c r="E3944" s="6"/>
      <c r="F3944" s="6" t="b">
        <f t="shared" si="1"/>
        <v>0</v>
      </c>
    </row>
    <row r="3945" ht="15.75" customHeight="1">
      <c r="A3945" s="3" t="s">
        <v>7493</v>
      </c>
      <c r="B3945" s="4"/>
      <c r="C3945" s="5"/>
      <c r="D3945" s="5"/>
      <c r="E3945" s="6"/>
      <c r="F3945" s="6" t="b">
        <f t="shared" si="1"/>
        <v>0</v>
      </c>
    </row>
    <row r="3946" ht="15.75" customHeight="1">
      <c r="A3946" s="7" t="s">
        <v>7494</v>
      </c>
      <c r="B3946" s="11"/>
      <c r="C3946" s="5"/>
      <c r="D3946" s="5"/>
      <c r="E3946" s="6"/>
      <c r="F3946" s="6" t="b">
        <f t="shared" si="1"/>
        <v>0</v>
      </c>
    </row>
    <row r="3947" ht="15.75" customHeight="1">
      <c r="A3947" s="7" t="s">
        <v>7495</v>
      </c>
      <c r="B3947" s="4" t="s">
        <v>7496</v>
      </c>
      <c r="C3947" s="5" t="s">
        <v>16</v>
      </c>
      <c r="D3947" s="6" t="s">
        <v>125</v>
      </c>
      <c r="E3947" s="6"/>
      <c r="F3947" s="6" t="b">
        <f t="shared" si="1"/>
        <v>0</v>
      </c>
    </row>
    <row r="3948" ht="15.75" customHeight="1">
      <c r="A3948" s="3" t="s">
        <v>7497</v>
      </c>
      <c r="B3948" s="4"/>
      <c r="C3948" s="5"/>
      <c r="D3948" s="5"/>
      <c r="E3948" s="6"/>
      <c r="F3948" s="6" t="b">
        <f t="shared" si="1"/>
        <v>0</v>
      </c>
    </row>
    <row r="3949" ht="15.75" customHeight="1">
      <c r="A3949" s="7" t="s">
        <v>7498</v>
      </c>
      <c r="B3949" s="4" t="s">
        <v>7499</v>
      </c>
      <c r="C3949" s="5" t="s">
        <v>229</v>
      </c>
      <c r="D3949" s="6" t="s">
        <v>6890</v>
      </c>
      <c r="E3949" s="6"/>
      <c r="F3949" s="6" t="b">
        <f t="shared" si="1"/>
        <v>0</v>
      </c>
    </row>
    <row r="3950" ht="15.75" customHeight="1">
      <c r="A3950" s="7" t="s">
        <v>7500</v>
      </c>
      <c r="B3950" s="4" t="s">
        <v>7501</v>
      </c>
      <c r="C3950" s="5" t="s">
        <v>6</v>
      </c>
      <c r="D3950" s="6" t="s">
        <v>7502</v>
      </c>
      <c r="E3950" s="6"/>
      <c r="F3950" s="6" t="b">
        <f t="shared" si="1"/>
        <v>0</v>
      </c>
    </row>
    <row r="3951" ht="15.75" customHeight="1">
      <c r="A3951" s="10" t="s">
        <v>7503</v>
      </c>
      <c r="B3951" s="11"/>
      <c r="C3951" s="5"/>
      <c r="D3951" s="8"/>
      <c r="E3951" s="6"/>
      <c r="F3951" s="6" t="b">
        <f t="shared" si="1"/>
        <v>0</v>
      </c>
    </row>
    <row r="3952" ht="15.75" customHeight="1">
      <c r="A3952" s="7" t="s">
        <v>7504</v>
      </c>
      <c r="B3952" s="4" t="s">
        <v>7505</v>
      </c>
      <c r="C3952" s="5" t="s">
        <v>6</v>
      </c>
      <c r="D3952" s="6" t="s">
        <v>10</v>
      </c>
      <c r="E3952" s="6"/>
      <c r="F3952" s="6" t="b">
        <f t="shared" si="1"/>
        <v>0</v>
      </c>
    </row>
    <row r="3953" ht="15.75" customHeight="1">
      <c r="A3953" s="7" t="s">
        <v>7506</v>
      </c>
      <c r="B3953" s="4" t="s">
        <v>7507</v>
      </c>
      <c r="C3953" s="5" t="s">
        <v>16</v>
      </c>
      <c r="D3953" s="6" t="s">
        <v>7508</v>
      </c>
      <c r="E3953" s="6"/>
      <c r="F3953" s="6" t="b">
        <f t="shared" si="1"/>
        <v>0</v>
      </c>
    </row>
    <row r="3954" ht="15.75" customHeight="1">
      <c r="A3954" s="7" t="s">
        <v>7509</v>
      </c>
      <c r="B3954" s="4" t="s">
        <v>7510</v>
      </c>
      <c r="C3954" s="5" t="s">
        <v>6</v>
      </c>
      <c r="D3954" s="6" t="s">
        <v>969</v>
      </c>
      <c r="E3954" s="6"/>
      <c r="F3954" s="6" t="b">
        <f t="shared" si="1"/>
        <v>0</v>
      </c>
    </row>
    <row r="3955" ht="15.75" customHeight="1">
      <c r="A3955" s="3" t="s">
        <v>7511</v>
      </c>
      <c r="B3955" s="4"/>
      <c r="C3955" s="5"/>
      <c r="D3955" s="5"/>
      <c r="E3955" s="6"/>
      <c r="F3955" s="6" t="b">
        <f t="shared" si="1"/>
        <v>0</v>
      </c>
    </row>
    <row r="3956" ht="15.75" customHeight="1">
      <c r="A3956" s="3" t="s">
        <v>7512</v>
      </c>
      <c r="B3956" s="4"/>
      <c r="C3956" s="5"/>
      <c r="D3956" s="5"/>
      <c r="E3956" s="6"/>
      <c r="F3956" s="6" t="b">
        <f t="shared" si="1"/>
        <v>0</v>
      </c>
    </row>
    <row r="3957" ht="15.75" customHeight="1">
      <c r="A3957" s="3" t="s">
        <v>7513</v>
      </c>
      <c r="B3957" s="4"/>
      <c r="C3957" s="5"/>
      <c r="D3957" s="5"/>
      <c r="E3957" s="6"/>
      <c r="F3957" s="6" t="b">
        <f t="shared" si="1"/>
        <v>0</v>
      </c>
    </row>
    <row r="3958" ht="15.75" customHeight="1">
      <c r="A3958" s="3" t="s">
        <v>7514</v>
      </c>
      <c r="B3958" s="4"/>
      <c r="C3958" s="5"/>
      <c r="D3958" s="5"/>
      <c r="E3958" s="6"/>
      <c r="F3958" s="6" t="b">
        <f t="shared" si="1"/>
        <v>0</v>
      </c>
    </row>
    <row r="3959" ht="15.75" customHeight="1">
      <c r="A3959" s="7" t="s">
        <v>7515</v>
      </c>
      <c r="B3959" s="4" t="s">
        <v>7516</v>
      </c>
      <c r="C3959" s="5" t="s">
        <v>229</v>
      </c>
      <c r="D3959" s="6" t="s">
        <v>6688</v>
      </c>
      <c r="E3959" s="6"/>
      <c r="F3959" s="6" t="b">
        <f t="shared" si="1"/>
        <v>0</v>
      </c>
    </row>
    <row r="3960" ht="15.75" customHeight="1">
      <c r="A3960" s="7" t="s">
        <v>7517</v>
      </c>
      <c r="B3960" s="4" t="s">
        <v>7518</v>
      </c>
      <c r="C3960" s="5" t="s">
        <v>7451</v>
      </c>
      <c r="D3960" s="5"/>
      <c r="E3960" s="6"/>
      <c r="F3960" s="6" t="b">
        <f t="shared" si="1"/>
        <v>0</v>
      </c>
    </row>
    <row r="3961" ht="15.75" customHeight="1">
      <c r="A3961" s="7" t="s">
        <v>7519</v>
      </c>
      <c r="B3961" s="11"/>
      <c r="C3961" s="5"/>
      <c r="D3961" s="5"/>
      <c r="E3961" s="6"/>
      <c r="F3961" s="6" t="b">
        <f t="shared" si="1"/>
        <v>0</v>
      </c>
    </row>
    <row r="3962" ht="15.75" customHeight="1">
      <c r="A3962" s="7" t="s">
        <v>7520</v>
      </c>
      <c r="B3962" s="4" t="s">
        <v>7521</v>
      </c>
      <c r="C3962" s="5" t="s">
        <v>6</v>
      </c>
      <c r="D3962" s="6" t="s">
        <v>547</v>
      </c>
      <c r="E3962" s="6"/>
      <c r="F3962" s="6" t="b">
        <f t="shared" si="1"/>
        <v>0</v>
      </c>
    </row>
    <row r="3963" ht="15.75" customHeight="1">
      <c r="A3963" s="7" t="s">
        <v>7522</v>
      </c>
      <c r="B3963" s="4" t="s">
        <v>7523</v>
      </c>
      <c r="C3963" s="5" t="s">
        <v>6</v>
      </c>
      <c r="D3963" s="6" t="s">
        <v>820</v>
      </c>
      <c r="E3963" s="6"/>
      <c r="F3963" s="6" t="b">
        <f t="shared" si="1"/>
        <v>0</v>
      </c>
    </row>
    <row r="3964" ht="15.75" customHeight="1">
      <c r="A3964" s="7" t="s">
        <v>7524</v>
      </c>
      <c r="B3964" s="4" t="s">
        <v>7525</v>
      </c>
      <c r="C3964" s="5" t="s">
        <v>6</v>
      </c>
      <c r="D3964" s="6" t="s">
        <v>820</v>
      </c>
      <c r="E3964" s="6"/>
      <c r="F3964" s="6" t="b">
        <f t="shared" si="1"/>
        <v>0</v>
      </c>
    </row>
    <row r="3965" ht="15.75" customHeight="1">
      <c r="A3965" s="3" t="s">
        <v>7526</v>
      </c>
      <c r="B3965" s="4"/>
      <c r="C3965" s="5"/>
      <c r="D3965" s="5"/>
      <c r="E3965" s="6"/>
      <c r="F3965" s="6" t="b">
        <f t="shared" si="1"/>
        <v>0</v>
      </c>
    </row>
    <row r="3966" ht="15.75" customHeight="1">
      <c r="A3966" s="3" t="s">
        <v>7527</v>
      </c>
      <c r="B3966" s="4"/>
      <c r="C3966" s="5"/>
      <c r="D3966" s="5"/>
      <c r="E3966" s="6"/>
      <c r="F3966" s="6" t="b">
        <f t="shared" si="1"/>
        <v>0</v>
      </c>
    </row>
    <row r="3967" ht="15.75" customHeight="1">
      <c r="A3967" s="7" t="s">
        <v>7528</v>
      </c>
      <c r="B3967" s="4" t="s">
        <v>7529</v>
      </c>
      <c r="C3967" s="6"/>
      <c r="D3967" s="6" t="s">
        <v>150</v>
      </c>
      <c r="E3967" s="6"/>
      <c r="F3967" s="6" t="b">
        <f t="shared" si="1"/>
        <v>0</v>
      </c>
    </row>
    <row r="3968" ht="15.75" customHeight="1">
      <c r="A3968" s="7" t="s">
        <v>7530</v>
      </c>
      <c r="B3968" s="4" t="s">
        <v>7531</v>
      </c>
      <c r="C3968" s="5" t="s">
        <v>16</v>
      </c>
      <c r="D3968" s="6" t="s">
        <v>7532</v>
      </c>
      <c r="E3968" s="6"/>
      <c r="F3968" s="6" t="b">
        <f t="shared" si="1"/>
        <v>0</v>
      </c>
    </row>
    <row r="3969" ht="15.75" customHeight="1">
      <c r="A3969" s="3" t="s">
        <v>7533</v>
      </c>
      <c r="B3969" s="4"/>
      <c r="C3969" s="5"/>
      <c r="D3969" s="5"/>
      <c r="E3969" s="6"/>
      <c r="F3969" s="6" t="b">
        <f t="shared" si="1"/>
        <v>0</v>
      </c>
    </row>
    <row r="3970" ht="15.75" customHeight="1">
      <c r="A3970" s="3" t="s">
        <v>7534</v>
      </c>
      <c r="B3970" s="4"/>
      <c r="C3970" s="5"/>
      <c r="D3970" s="5"/>
      <c r="E3970" s="6"/>
      <c r="F3970" s="6" t="b">
        <f t="shared" si="1"/>
        <v>0</v>
      </c>
    </row>
    <row r="3971" ht="15.75" customHeight="1">
      <c r="A3971" s="3" t="s">
        <v>7535</v>
      </c>
      <c r="B3971" s="4"/>
      <c r="C3971" s="5"/>
      <c r="D3971" s="5"/>
      <c r="E3971" s="6"/>
      <c r="F3971" s="6" t="b">
        <f t="shared" si="1"/>
        <v>0</v>
      </c>
    </row>
    <row r="3972" ht="15.75" customHeight="1">
      <c r="A3972" s="3" t="s">
        <v>7536</v>
      </c>
      <c r="B3972" s="4"/>
      <c r="C3972" s="5"/>
      <c r="D3972" s="5"/>
      <c r="E3972" s="6"/>
      <c r="F3972" s="6" t="b">
        <f t="shared" si="1"/>
        <v>0</v>
      </c>
    </row>
    <row r="3973" ht="15.75" customHeight="1">
      <c r="A3973" s="3" t="s">
        <v>7537</v>
      </c>
      <c r="B3973" s="4"/>
      <c r="C3973" s="5"/>
      <c r="D3973" s="5"/>
      <c r="E3973" s="6"/>
      <c r="F3973" s="6" t="b">
        <f t="shared" si="1"/>
        <v>0</v>
      </c>
    </row>
    <row r="3974" ht="15.75" customHeight="1">
      <c r="A3974" s="3" t="s">
        <v>7538</v>
      </c>
      <c r="B3974" s="4"/>
      <c r="C3974" s="5"/>
      <c r="D3974" s="5"/>
      <c r="E3974" s="6"/>
      <c r="F3974" s="6" t="b">
        <f t="shared" si="1"/>
        <v>0</v>
      </c>
    </row>
    <row r="3975" ht="15.75" customHeight="1">
      <c r="A3975" s="3" t="s">
        <v>7539</v>
      </c>
      <c r="B3975" s="4"/>
      <c r="C3975" s="5"/>
      <c r="D3975" s="5"/>
      <c r="E3975" s="6"/>
      <c r="F3975" s="6" t="b">
        <f t="shared" si="1"/>
        <v>0</v>
      </c>
    </row>
    <row r="3976" ht="15.75" customHeight="1">
      <c r="A3976" s="7" t="s">
        <v>7540</v>
      </c>
      <c r="B3976" s="4" t="s">
        <v>7541</v>
      </c>
      <c r="C3976" s="5" t="s">
        <v>6</v>
      </c>
      <c r="D3976" s="6" t="s">
        <v>5582</v>
      </c>
      <c r="E3976" s="6"/>
      <c r="F3976" s="6" t="b">
        <f t="shared" si="1"/>
        <v>0</v>
      </c>
    </row>
    <row r="3977" ht="15.75" customHeight="1">
      <c r="A3977" s="7" t="s">
        <v>7542</v>
      </c>
      <c r="B3977" s="4" t="s">
        <v>7543</v>
      </c>
      <c r="C3977" s="5" t="s">
        <v>6</v>
      </c>
      <c r="D3977" s="6" t="s">
        <v>969</v>
      </c>
      <c r="E3977" s="6"/>
      <c r="F3977" s="6" t="b">
        <f t="shared" si="1"/>
        <v>0</v>
      </c>
    </row>
    <row r="3978" ht="15.75" customHeight="1">
      <c r="A3978" s="7" t="s">
        <v>7544</v>
      </c>
      <c r="B3978" s="4" t="s">
        <v>7545</v>
      </c>
      <c r="C3978" s="5" t="s">
        <v>16</v>
      </c>
      <c r="D3978" s="6" t="s">
        <v>5117</v>
      </c>
      <c r="E3978" s="6"/>
      <c r="F3978" s="6" t="b">
        <f t="shared" si="1"/>
        <v>0</v>
      </c>
    </row>
    <row r="3979" ht="15.75" customHeight="1">
      <c r="A3979" s="7" t="s">
        <v>7546</v>
      </c>
      <c r="B3979" s="4" t="s">
        <v>7547</v>
      </c>
      <c r="C3979" s="6"/>
      <c r="D3979" s="6" t="s">
        <v>150</v>
      </c>
      <c r="E3979" s="6"/>
      <c r="F3979" s="6" t="b">
        <f t="shared" si="1"/>
        <v>0</v>
      </c>
    </row>
    <row r="3980" ht="15.75" customHeight="1">
      <c r="A3980" s="7" t="s">
        <v>7548</v>
      </c>
      <c r="B3980" s="4" t="s">
        <v>7549</v>
      </c>
      <c r="C3980" s="5" t="s">
        <v>6</v>
      </c>
      <c r="D3980" s="6" t="s">
        <v>1118</v>
      </c>
      <c r="E3980" s="6"/>
      <c r="F3980" s="6" t="b">
        <f t="shared" si="1"/>
        <v>0</v>
      </c>
    </row>
    <row r="3981" ht="15.75" customHeight="1">
      <c r="A3981" s="7" t="s">
        <v>7550</v>
      </c>
      <c r="B3981" s="4" t="s">
        <v>7551</v>
      </c>
      <c r="C3981" s="5" t="s">
        <v>16</v>
      </c>
      <c r="D3981" s="6" t="s">
        <v>4563</v>
      </c>
      <c r="E3981" s="6"/>
      <c r="F3981" s="6" t="b">
        <f t="shared" si="1"/>
        <v>0</v>
      </c>
    </row>
    <row r="3982" ht="15.75" customHeight="1">
      <c r="A3982" s="7" t="s">
        <v>7552</v>
      </c>
      <c r="B3982" s="4" t="s">
        <v>7553</v>
      </c>
      <c r="C3982" s="6"/>
      <c r="D3982" s="6" t="s">
        <v>150</v>
      </c>
      <c r="E3982" s="6"/>
      <c r="F3982" s="6" t="b">
        <f t="shared" si="1"/>
        <v>0</v>
      </c>
    </row>
    <row r="3983" ht="15.75" customHeight="1">
      <c r="A3983" s="7" t="s">
        <v>7554</v>
      </c>
      <c r="B3983" s="4" t="s">
        <v>7555</v>
      </c>
      <c r="C3983" s="6"/>
      <c r="D3983" s="6" t="s">
        <v>150</v>
      </c>
      <c r="E3983" s="6"/>
      <c r="F3983" s="6" t="b">
        <f t="shared" si="1"/>
        <v>0</v>
      </c>
    </row>
    <row r="3984" ht="15.75" customHeight="1">
      <c r="A3984" s="7" t="s">
        <v>7556</v>
      </c>
      <c r="B3984" s="4" t="s">
        <v>7557</v>
      </c>
      <c r="C3984" s="6"/>
      <c r="D3984" s="6" t="s">
        <v>150</v>
      </c>
      <c r="E3984" s="6"/>
      <c r="F3984" s="6" t="b">
        <f t="shared" si="1"/>
        <v>0</v>
      </c>
    </row>
    <row r="3985" ht="15.75" customHeight="1">
      <c r="A3985" s="7" t="s">
        <v>7558</v>
      </c>
      <c r="B3985" s="4" t="s">
        <v>7559</v>
      </c>
      <c r="C3985" s="6"/>
      <c r="D3985" s="6" t="s">
        <v>150</v>
      </c>
      <c r="E3985" s="6"/>
      <c r="F3985" s="6" t="b">
        <f t="shared" si="1"/>
        <v>0</v>
      </c>
    </row>
    <row r="3986" ht="15.75" customHeight="1">
      <c r="A3986" s="7" t="s">
        <v>7560</v>
      </c>
      <c r="B3986" s="4" t="s">
        <v>7561</v>
      </c>
      <c r="C3986" s="5" t="s">
        <v>6</v>
      </c>
      <c r="D3986" s="6" t="s">
        <v>477</v>
      </c>
      <c r="E3986" s="6"/>
      <c r="F3986" s="6" t="b">
        <f t="shared" si="1"/>
        <v>0</v>
      </c>
    </row>
    <row r="3987" ht="15.75" customHeight="1">
      <c r="A3987" s="7" t="s">
        <v>7562</v>
      </c>
      <c r="B3987" s="4" t="s">
        <v>7563</v>
      </c>
      <c r="C3987" s="5" t="s">
        <v>16</v>
      </c>
      <c r="D3987" s="6" t="s">
        <v>1429</v>
      </c>
      <c r="E3987" s="6"/>
      <c r="F3987" s="6" t="b">
        <f t="shared" si="1"/>
        <v>0</v>
      </c>
    </row>
    <row r="3988" ht="15.75" customHeight="1">
      <c r="A3988" s="7" t="s">
        <v>7564</v>
      </c>
      <c r="B3988" s="4" t="s">
        <v>7565</v>
      </c>
      <c r="C3988" s="5" t="s">
        <v>6</v>
      </c>
      <c r="D3988" s="6" t="s">
        <v>1413</v>
      </c>
      <c r="E3988" s="6"/>
      <c r="F3988" s="6" t="b">
        <f t="shared" si="1"/>
        <v>0</v>
      </c>
    </row>
    <row r="3989" ht="15.75" customHeight="1">
      <c r="A3989" s="7" t="s">
        <v>7566</v>
      </c>
      <c r="B3989" s="4" t="s">
        <v>7567</v>
      </c>
      <c r="C3989" s="5" t="s">
        <v>6</v>
      </c>
      <c r="D3989" s="6" t="s">
        <v>1413</v>
      </c>
      <c r="E3989" s="6"/>
      <c r="F3989" s="6" t="b">
        <f t="shared" si="1"/>
        <v>0</v>
      </c>
    </row>
    <row r="3990" ht="15.75" customHeight="1">
      <c r="A3990" s="7" t="s">
        <v>7568</v>
      </c>
      <c r="B3990" s="4" t="s">
        <v>7569</v>
      </c>
      <c r="C3990" s="8"/>
      <c r="D3990" s="6" t="s">
        <v>150</v>
      </c>
      <c r="E3990" s="6"/>
      <c r="F3990" s="6" t="b">
        <f t="shared" si="1"/>
        <v>0</v>
      </c>
    </row>
    <row r="3991" ht="15.75" customHeight="1">
      <c r="A3991" s="7" t="s">
        <v>7570</v>
      </c>
      <c r="B3991" s="4" t="s">
        <v>7571</v>
      </c>
      <c r="C3991" s="6"/>
      <c r="D3991" s="6" t="s">
        <v>70</v>
      </c>
      <c r="E3991" s="6"/>
      <c r="F3991" s="6" t="b">
        <f t="shared" si="1"/>
        <v>0</v>
      </c>
    </row>
    <row r="3992" ht="15.75" customHeight="1">
      <c r="A3992" s="7" t="s">
        <v>7572</v>
      </c>
      <c r="B3992" s="4" t="s">
        <v>7573</v>
      </c>
      <c r="C3992" s="6"/>
      <c r="D3992" s="6" t="s">
        <v>70</v>
      </c>
      <c r="E3992" s="6"/>
      <c r="F3992" s="6" t="b">
        <f t="shared" si="1"/>
        <v>0</v>
      </c>
    </row>
    <row r="3993" ht="15.75" customHeight="1">
      <c r="A3993" s="7" t="s">
        <v>7574</v>
      </c>
      <c r="B3993" s="4" t="s">
        <v>7575</v>
      </c>
      <c r="C3993" s="6"/>
      <c r="D3993" s="6" t="s">
        <v>70</v>
      </c>
      <c r="E3993" s="6"/>
      <c r="F3993" s="6" t="b">
        <f t="shared" si="1"/>
        <v>0</v>
      </c>
    </row>
    <row r="3994" ht="15.75" customHeight="1">
      <c r="A3994" s="7" t="s">
        <v>7576</v>
      </c>
      <c r="B3994" s="4" t="s">
        <v>7577</v>
      </c>
      <c r="C3994" s="6"/>
      <c r="D3994" s="6" t="s">
        <v>70</v>
      </c>
      <c r="E3994" s="6"/>
      <c r="F3994" s="6" t="b">
        <f t="shared" si="1"/>
        <v>0</v>
      </c>
    </row>
    <row r="3995" ht="15.75" customHeight="1">
      <c r="A3995" s="7" t="s">
        <v>7578</v>
      </c>
      <c r="B3995" s="4" t="s">
        <v>7579</v>
      </c>
      <c r="C3995" s="5" t="s">
        <v>6</v>
      </c>
      <c r="D3995" s="6" t="s">
        <v>1372</v>
      </c>
      <c r="E3995" s="6"/>
      <c r="F3995" s="6" t="b">
        <f t="shared" si="1"/>
        <v>0</v>
      </c>
    </row>
    <row r="3996" ht="15.75" customHeight="1">
      <c r="A3996" s="7" t="s">
        <v>7580</v>
      </c>
      <c r="B3996" s="4" t="s">
        <v>7581</v>
      </c>
      <c r="C3996" s="5" t="s">
        <v>6</v>
      </c>
      <c r="D3996" s="6" t="s">
        <v>1756</v>
      </c>
      <c r="E3996" s="6"/>
      <c r="F3996" s="6" t="b">
        <f t="shared" si="1"/>
        <v>0</v>
      </c>
    </row>
    <row r="3997" ht="15.75" customHeight="1">
      <c r="A3997" s="7" t="s">
        <v>7582</v>
      </c>
      <c r="B3997" s="4" t="s">
        <v>7583</v>
      </c>
      <c r="C3997" s="5" t="s">
        <v>6</v>
      </c>
      <c r="D3997" s="6" t="s">
        <v>7584</v>
      </c>
      <c r="E3997" s="6"/>
      <c r="F3997" s="6" t="b">
        <f t="shared" si="1"/>
        <v>0</v>
      </c>
    </row>
    <row r="3998" ht="15.75" customHeight="1">
      <c r="A3998" s="7" t="s">
        <v>7585</v>
      </c>
      <c r="B3998" s="4" t="s">
        <v>7586</v>
      </c>
      <c r="C3998" s="5" t="s">
        <v>6</v>
      </c>
      <c r="D3998" s="6" t="s">
        <v>81</v>
      </c>
      <c r="E3998" s="6"/>
      <c r="F3998" s="6" t="b">
        <f t="shared" si="1"/>
        <v>0</v>
      </c>
    </row>
    <row r="3999" ht="15.75" customHeight="1">
      <c r="A3999" s="7" t="s">
        <v>7587</v>
      </c>
      <c r="B3999" s="4" t="s">
        <v>7588</v>
      </c>
      <c r="C3999" s="6"/>
      <c r="D3999" s="6" t="s">
        <v>70</v>
      </c>
      <c r="E3999" s="6"/>
      <c r="F3999" s="6" t="b">
        <f t="shared" si="1"/>
        <v>0</v>
      </c>
    </row>
    <row r="4000" ht="15.75" customHeight="1">
      <c r="A4000" s="7" t="s">
        <v>7589</v>
      </c>
      <c r="B4000" s="4" t="s">
        <v>7590</v>
      </c>
      <c r="C4000" s="6"/>
      <c r="D4000" s="6" t="s">
        <v>70</v>
      </c>
      <c r="E4000" s="6"/>
      <c r="F4000" s="6" t="b">
        <f t="shared" si="1"/>
        <v>0</v>
      </c>
    </row>
    <row r="4001" ht="15.75" customHeight="1">
      <c r="A4001" s="7" t="s">
        <v>7591</v>
      </c>
      <c r="B4001" s="4" t="s">
        <v>7592</v>
      </c>
      <c r="C4001" s="5" t="s">
        <v>6</v>
      </c>
      <c r="D4001" s="6" t="s">
        <v>1939</v>
      </c>
      <c r="E4001" s="6"/>
      <c r="F4001" s="6" t="b">
        <f t="shared" si="1"/>
        <v>0</v>
      </c>
    </row>
    <row r="4002" ht="15.75" customHeight="1">
      <c r="A4002" s="7" t="s">
        <v>7593</v>
      </c>
      <c r="B4002" s="4" t="s">
        <v>7594</v>
      </c>
      <c r="C4002" s="6"/>
      <c r="D4002" s="6" t="s">
        <v>70</v>
      </c>
      <c r="E4002" s="6"/>
      <c r="F4002" s="6" t="b">
        <f t="shared" si="1"/>
        <v>0</v>
      </c>
    </row>
    <row r="4003" ht="15.75" customHeight="1">
      <c r="A4003" s="7" t="s">
        <v>7595</v>
      </c>
      <c r="B4003" s="4" t="s">
        <v>7596</v>
      </c>
      <c r="C4003" s="5" t="s">
        <v>6</v>
      </c>
      <c r="D4003" s="6" t="s">
        <v>86</v>
      </c>
      <c r="E4003" s="6"/>
      <c r="F4003" s="6" t="b">
        <f t="shared" si="1"/>
        <v>0</v>
      </c>
    </row>
    <row r="4004" ht="15.75" customHeight="1">
      <c r="A4004" s="7" t="s">
        <v>7597</v>
      </c>
      <c r="B4004" s="4" t="s">
        <v>7598</v>
      </c>
      <c r="C4004" s="5" t="s">
        <v>6</v>
      </c>
      <c r="D4004" s="6" t="s">
        <v>86</v>
      </c>
      <c r="E4004" s="6"/>
      <c r="F4004" s="6" t="b">
        <f t="shared" si="1"/>
        <v>0</v>
      </c>
    </row>
    <row r="4005" ht="15.75" customHeight="1">
      <c r="A4005" s="7" t="s">
        <v>7599</v>
      </c>
      <c r="B4005" s="4" t="s">
        <v>7600</v>
      </c>
      <c r="C4005" s="5" t="s">
        <v>6</v>
      </c>
      <c r="D4005" s="6" t="s">
        <v>7601</v>
      </c>
      <c r="E4005" s="6"/>
      <c r="F4005" s="6" t="b">
        <f t="shared" si="1"/>
        <v>0</v>
      </c>
    </row>
    <row r="4006" ht="15.75" customHeight="1">
      <c r="A4006" s="7" t="s">
        <v>7602</v>
      </c>
      <c r="B4006" s="4" t="s">
        <v>7603</v>
      </c>
      <c r="C4006" s="5" t="s">
        <v>6</v>
      </c>
      <c r="D4006" s="6" t="s">
        <v>7116</v>
      </c>
      <c r="E4006" s="6"/>
      <c r="F4006" s="6" t="b">
        <f t="shared" si="1"/>
        <v>0</v>
      </c>
    </row>
    <row r="4007" ht="15.75" customHeight="1">
      <c r="A4007" s="7" t="s">
        <v>7604</v>
      </c>
      <c r="B4007" s="4" t="s">
        <v>7605</v>
      </c>
      <c r="C4007" s="5" t="s">
        <v>16</v>
      </c>
      <c r="D4007" s="6" t="s">
        <v>1738</v>
      </c>
      <c r="E4007" s="6"/>
      <c r="F4007" s="6" t="b">
        <f t="shared" si="1"/>
        <v>0</v>
      </c>
    </row>
    <row r="4008" ht="15.75" customHeight="1">
      <c r="A4008" s="7" t="s">
        <v>7606</v>
      </c>
      <c r="B4008" s="4" t="s">
        <v>7607</v>
      </c>
      <c r="C4008" s="5" t="s">
        <v>6</v>
      </c>
      <c r="D4008" s="6" t="s">
        <v>5389</v>
      </c>
      <c r="E4008" s="6"/>
      <c r="F4008" s="6" t="b">
        <f t="shared" si="1"/>
        <v>0</v>
      </c>
    </row>
    <row r="4009" ht="15.75" customHeight="1">
      <c r="A4009" s="7" t="s">
        <v>7608</v>
      </c>
      <c r="B4009" s="4" t="s">
        <v>7609</v>
      </c>
      <c r="C4009" s="5" t="s">
        <v>6</v>
      </c>
      <c r="D4009" s="6" t="s">
        <v>2100</v>
      </c>
      <c r="E4009" s="6"/>
      <c r="F4009" s="6" t="b">
        <f t="shared" si="1"/>
        <v>0</v>
      </c>
    </row>
    <row r="4010" ht="15.75" customHeight="1">
      <c r="A4010" s="7" t="s">
        <v>7610</v>
      </c>
      <c r="B4010" s="4" t="s">
        <v>7611</v>
      </c>
      <c r="C4010" s="6"/>
      <c r="D4010" s="6" t="s">
        <v>70</v>
      </c>
      <c r="E4010" s="6"/>
      <c r="F4010" s="6" t="b">
        <f t="shared" si="1"/>
        <v>0</v>
      </c>
    </row>
    <row r="4011" ht="15.75" customHeight="1">
      <c r="A4011" s="7" t="s">
        <v>7612</v>
      </c>
      <c r="B4011" s="4" t="s">
        <v>7613</v>
      </c>
      <c r="C4011" s="5" t="s">
        <v>6</v>
      </c>
      <c r="D4011" s="6" t="s">
        <v>1998</v>
      </c>
      <c r="E4011" s="6"/>
      <c r="F4011" s="6" t="b">
        <f t="shared" si="1"/>
        <v>0</v>
      </c>
    </row>
    <row r="4012" ht="15.75" customHeight="1">
      <c r="A4012" s="7" t="s">
        <v>7614</v>
      </c>
      <c r="B4012" s="4" t="s">
        <v>7615</v>
      </c>
      <c r="C4012" s="5" t="s">
        <v>6</v>
      </c>
      <c r="D4012" s="6" t="s">
        <v>81</v>
      </c>
      <c r="E4012" s="6"/>
      <c r="F4012" s="6" t="b">
        <f t="shared" si="1"/>
        <v>0</v>
      </c>
    </row>
    <row r="4013" ht="15.75" customHeight="1">
      <c r="A4013" s="7" t="s">
        <v>7616</v>
      </c>
      <c r="B4013" s="4" t="s">
        <v>7617</v>
      </c>
      <c r="C4013" s="6"/>
      <c r="D4013" s="6" t="s">
        <v>70</v>
      </c>
      <c r="E4013" s="6"/>
      <c r="F4013" s="6" t="b">
        <f t="shared" si="1"/>
        <v>0</v>
      </c>
    </row>
    <row r="4014" ht="15.75" customHeight="1">
      <c r="A4014" s="7" t="s">
        <v>7618</v>
      </c>
      <c r="B4014" s="4" t="s">
        <v>7619</v>
      </c>
      <c r="C4014" s="5" t="s">
        <v>6</v>
      </c>
      <c r="D4014" s="6" t="s">
        <v>1998</v>
      </c>
      <c r="E4014" s="6"/>
      <c r="F4014" s="6" t="b">
        <f t="shared" si="1"/>
        <v>0</v>
      </c>
    </row>
    <row r="4015" ht="15.75" customHeight="1">
      <c r="A4015" s="7" t="s">
        <v>7620</v>
      </c>
      <c r="B4015" s="4" t="s">
        <v>7621</v>
      </c>
      <c r="C4015" s="5" t="s">
        <v>6</v>
      </c>
      <c r="D4015" s="6" t="s">
        <v>2077</v>
      </c>
      <c r="E4015" s="6"/>
      <c r="F4015" s="6" t="b">
        <f t="shared" si="1"/>
        <v>0</v>
      </c>
    </row>
    <row r="4016" ht="15.75" customHeight="1">
      <c r="A4016" s="7" t="s">
        <v>7622</v>
      </c>
      <c r="B4016" s="4" t="s">
        <v>7623</v>
      </c>
      <c r="C4016" s="6"/>
      <c r="D4016" s="6" t="s">
        <v>70</v>
      </c>
      <c r="E4016" s="6"/>
      <c r="F4016" s="6" t="b">
        <f t="shared" si="1"/>
        <v>0</v>
      </c>
    </row>
    <row r="4017" ht="15.75" customHeight="1">
      <c r="A4017" s="7" t="s">
        <v>7624</v>
      </c>
      <c r="B4017" s="4" t="s">
        <v>7625</v>
      </c>
      <c r="C4017" s="6"/>
      <c r="D4017" s="6" t="s">
        <v>70</v>
      </c>
      <c r="E4017" s="6"/>
      <c r="F4017" s="6" t="b">
        <f t="shared" si="1"/>
        <v>0</v>
      </c>
    </row>
    <row r="4018" ht="15.75" customHeight="1">
      <c r="A4018" s="7" t="s">
        <v>7626</v>
      </c>
      <c r="B4018" s="4" t="s">
        <v>7627</v>
      </c>
      <c r="C4018" s="5" t="s">
        <v>16</v>
      </c>
      <c r="D4018" s="6" t="s">
        <v>1738</v>
      </c>
      <c r="E4018" s="6"/>
      <c r="F4018" s="6" t="b">
        <f t="shared" si="1"/>
        <v>0</v>
      </c>
    </row>
    <row r="4019" ht="15.75" customHeight="1">
      <c r="A4019" s="7" t="s">
        <v>7628</v>
      </c>
      <c r="B4019" s="4" t="s">
        <v>7629</v>
      </c>
      <c r="C4019" s="6"/>
      <c r="D4019" s="6" t="s">
        <v>70</v>
      </c>
      <c r="E4019" s="6"/>
      <c r="F4019" s="6" t="b">
        <f t="shared" si="1"/>
        <v>0</v>
      </c>
    </row>
    <row r="4020" ht="15.75" customHeight="1">
      <c r="A4020" s="7" t="s">
        <v>7630</v>
      </c>
      <c r="B4020" s="4" t="s">
        <v>7631</v>
      </c>
      <c r="C4020" s="6"/>
      <c r="D4020" s="6" t="s">
        <v>70</v>
      </c>
      <c r="E4020" s="6"/>
      <c r="F4020" s="6" t="b">
        <f t="shared" si="1"/>
        <v>0</v>
      </c>
    </row>
    <row r="4021" ht="15.75" customHeight="1">
      <c r="A4021" s="7" t="s">
        <v>7632</v>
      </c>
      <c r="B4021" s="4" t="s">
        <v>7633</v>
      </c>
      <c r="C4021" s="5" t="s">
        <v>6</v>
      </c>
      <c r="D4021" s="6" t="s">
        <v>1998</v>
      </c>
      <c r="E4021" s="6"/>
      <c r="F4021" s="6" t="b">
        <f t="shared" si="1"/>
        <v>0</v>
      </c>
    </row>
    <row r="4022" ht="15.75" customHeight="1">
      <c r="A4022" s="7" t="s">
        <v>7634</v>
      </c>
      <c r="B4022" s="4" t="s">
        <v>7635</v>
      </c>
      <c r="C4022" s="6"/>
      <c r="D4022" s="6" t="s">
        <v>70</v>
      </c>
      <c r="E4022" s="6"/>
      <c r="F4022" s="6" t="b">
        <f t="shared" si="1"/>
        <v>0</v>
      </c>
    </row>
    <row r="4023" ht="15.75" customHeight="1">
      <c r="A4023" s="7" t="s">
        <v>7636</v>
      </c>
      <c r="B4023" s="4" t="s">
        <v>7637</v>
      </c>
      <c r="C4023" s="6"/>
      <c r="D4023" s="6" t="s">
        <v>70</v>
      </c>
      <c r="E4023" s="6"/>
      <c r="F4023" s="6" t="b">
        <f t="shared" si="1"/>
        <v>0</v>
      </c>
    </row>
    <row r="4024" ht="15.75" customHeight="1">
      <c r="A4024" s="7" t="s">
        <v>7638</v>
      </c>
      <c r="B4024" s="4" t="s">
        <v>7639</v>
      </c>
      <c r="C4024" s="6"/>
      <c r="D4024" s="6" t="s">
        <v>70</v>
      </c>
      <c r="E4024" s="6"/>
      <c r="F4024" s="6" t="b">
        <f t="shared" si="1"/>
        <v>0</v>
      </c>
    </row>
    <row r="4025" ht="15.75" customHeight="1">
      <c r="A4025" s="7" t="s">
        <v>7640</v>
      </c>
      <c r="B4025" s="4" t="s">
        <v>7641</v>
      </c>
      <c r="C4025" s="8"/>
      <c r="D4025" s="6" t="s">
        <v>70</v>
      </c>
      <c r="E4025" s="6"/>
      <c r="F4025" s="6" t="b">
        <f t="shared" si="1"/>
        <v>0</v>
      </c>
    </row>
    <row r="4026" ht="15.75" customHeight="1">
      <c r="A4026" s="7" t="s">
        <v>7642</v>
      </c>
      <c r="B4026" s="4" t="s">
        <v>7643</v>
      </c>
      <c r="C4026" s="6"/>
      <c r="D4026" s="6" t="s">
        <v>70</v>
      </c>
      <c r="E4026" s="6"/>
      <c r="F4026" s="6" t="b">
        <f t="shared" si="1"/>
        <v>0</v>
      </c>
    </row>
    <row r="4027" ht="15.75" customHeight="1">
      <c r="A4027" s="7" t="s">
        <v>7644</v>
      </c>
      <c r="B4027" s="4" t="s">
        <v>7645</v>
      </c>
      <c r="C4027" s="6"/>
      <c r="D4027" s="6" t="s">
        <v>70</v>
      </c>
      <c r="E4027" s="6"/>
      <c r="F4027" s="6" t="b">
        <f t="shared" si="1"/>
        <v>0</v>
      </c>
    </row>
    <row r="4028" ht="15.75" customHeight="1">
      <c r="A4028" s="10" t="s">
        <v>7646</v>
      </c>
      <c r="B4028" s="11"/>
      <c r="C4028" s="5"/>
      <c r="D4028" s="8"/>
      <c r="E4028" s="6"/>
      <c r="F4028" s="6" t="b">
        <f t="shared" si="1"/>
        <v>0</v>
      </c>
    </row>
    <row r="4029" ht="15.75" customHeight="1">
      <c r="A4029" s="7" t="s">
        <v>7647</v>
      </c>
      <c r="B4029" s="4" t="s">
        <v>7648</v>
      </c>
      <c r="C4029" s="6"/>
      <c r="D4029" s="6" t="s">
        <v>70</v>
      </c>
      <c r="E4029" s="6"/>
      <c r="F4029" s="6" t="b">
        <f t="shared" si="1"/>
        <v>0</v>
      </c>
    </row>
    <row r="4030" ht="15.75" customHeight="1">
      <c r="A4030" s="3" t="s">
        <v>7649</v>
      </c>
      <c r="B4030" s="4"/>
      <c r="C4030" s="5"/>
      <c r="D4030" s="5"/>
      <c r="E4030" s="6"/>
      <c r="F4030" s="6" t="b">
        <f t="shared" si="1"/>
        <v>0</v>
      </c>
    </row>
    <row r="4031" ht="15.75" customHeight="1">
      <c r="A4031" s="7" t="s">
        <v>7650</v>
      </c>
      <c r="B4031" s="4" t="s">
        <v>7651</v>
      </c>
      <c r="C4031" s="8"/>
      <c r="D4031" s="6" t="s">
        <v>7652</v>
      </c>
      <c r="E4031" s="6"/>
      <c r="F4031" s="6" t="b">
        <f t="shared" si="1"/>
        <v>0</v>
      </c>
    </row>
    <row r="4032" ht="15.75" customHeight="1">
      <c r="A4032" s="7" t="s">
        <v>7653</v>
      </c>
      <c r="B4032" s="4" t="s">
        <v>7654</v>
      </c>
      <c r="C4032" s="5" t="s">
        <v>16</v>
      </c>
      <c r="D4032" s="6" t="s">
        <v>7655</v>
      </c>
      <c r="E4032" s="6"/>
      <c r="F4032" s="6" t="b">
        <f t="shared" si="1"/>
        <v>0</v>
      </c>
    </row>
    <row r="4033" ht="15.75" customHeight="1">
      <c r="A4033" s="7" t="s">
        <v>7656</v>
      </c>
      <c r="B4033" s="4" t="s">
        <v>7657</v>
      </c>
      <c r="C4033" s="6"/>
      <c r="D4033" s="6" t="s">
        <v>70</v>
      </c>
      <c r="E4033" s="6"/>
      <c r="F4033" s="6" t="b">
        <f t="shared" si="1"/>
        <v>0</v>
      </c>
    </row>
    <row r="4034" ht="15.75" customHeight="1">
      <c r="A4034" s="7" t="s">
        <v>7658</v>
      </c>
      <c r="B4034" s="4" t="s">
        <v>7659</v>
      </c>
      <c r="C4034" s="8"/>
      <c r="D4034" s="6" t="s">
        <v>70</v>
      </c>
      <c r="E4034" s="6"/>
      <c r="F4034" s="6" t="b">
        <f t="shared" si="1"/>
        <v>0</v>
      </c>
    </row>
    <row r="4035" ht="15.75" customHeight="1">
      <c r="A4035" s="7" t="s">
        <v>7660</v>
      </c>
      <c r="B4035" s="4" t="s">
        <v>7661</v>
      </c>
      <c r="C4035" s="6"/>
      <c r="D4035" s="6" t="s">
        <v>2282</v>
      </c>
      <c r="E4035" s="6"/>
      <c r="F4035" s="6" t="b">
        <f t="shared" si="1"/>
        <v>0</v>
      </c>
    </row>
    <row r="4036" ht="15.75" customHeight="1">
      <c r="A4036" s="3" t="s">
        <v>7662</v>
      </c>
      <c r="B4036" s="4"/>
      <c r="C4036" s="5"/>
      <c r="D4036" s="5"/>
      <c r="E4036" s="6"/>
      <c r="F4036" s="6" t="b">
        <f t="shared" si="1"/>
        <v>0</v>
      </c>
    </row>
    <row r="4037" ht="15.75" customHeight="1">
      <c r="A4037" s="3" t="s">
        <v>7663</v>
      </c>
      <c r="B4037" s="4"/>
      <c r="C4037" s="5"/>
      <c r="D4037" s="5"/>
      <c r="E4037" s="6"/>
      <c r="F4037" s="6" t="b">
        <f t="shared" si="1"/>
        <v>0</v>
      </c>
    </row>
    <row r="4038" ht="15.75" customHeight="1">
      <c r="A4038" s="3" t="s">
        <v>7664</v>
      </c>
      <c r="B4038" s="4"/>
      <c r="C4038" s="5"/>
      <c r="D4038" s="5"/>
      <c r="E4038" s="6"/>
      <c r="F4038" s="6" t="b">
        <f t="shared" si="1"/>
        <v>0</v>
      </c>
    </row>
    <row r="4039" ht="15.75" customHeight="1">
      <c r="A4039" s="7" t="s">
        <v>7665</v>
      </c>
      <c r="B4039" s="4" t="s">
        <v>7666</v>
      </c>
      <c r="C4039" s="5" t="s">
        <v>6</v>
      </c>
      <c r="D4039" s="6" t="s">
        <v>7667</v>
      </c>
      <c r="E4039" s="6"/>
      <c r="F4039" s="6" t="b">
        <f t="shared" si="1"/>
        <v>0</v>
      </c>
    </row>
    <row r="4040" ht="15.75" customHeight="1">
      <c r="A4040" s="7" t="s">
        <v>7668</v>
      </c>
      <c r="B4040" s="4" t="s">
        <v>7669</v>
      </c>
      <c r="C4040" s="5" t="s">
        <v>6</v>
      </c>
      <c r="D4040" s="6" t="s">
        <v>7667</v>
      </c>
      <c r="E4040" s="6"/>
      <c r="F4040" s="6" t="b">
        <f t="shared" si="1"/>
        <v>0</v>
      </c>
    </row>
    <row r="4041" ht="15.75" customHeight="1">
      <c r="A4041" s="7" t="s">
        <v>7670</v>
      </c>
      <c r="B4041" s="4" t="s">
        <v>7671</v>
      </c>
      <c r="C4041" s="5" t="s">
        <v>6</v>
      </c>
      <c r="D4041" s="6" t="s">
        <v>7672</v>
      </c>
      <c r="E4041" s="6"/>
      <c r="F4041" s="6" t="b">
        <f t="shared" si="1"/>
        <v>0</v>
      </c>
    </row>
    <row r="4042" ht="15.75" customHeight="1">
      <c r="A4042" s="7" t="s">
        <v>7673</v>
      </c>
      <c r="B4042" s="4" t="s">
        <v>7674</v>
      </c>
      <c r="C4042" s="5" t="s">
        <v>6</v>
      </c>
      <c r="D4042" s="6" t="s">
        <v>7672</v>
      </c>
      <c r="E4042" s="6"/>
      <c r="F4042" s="6" t="b">
        <f t="shared" si="1"/>
        <v>0</v>
      </c>
    </row>
    <row r="4043" ht="15.75" customHeight="1">
      <c r="A4043" s="3" t="s">
        <v>7675</v>
      </c>
      <c r="B4043" s="4"/>
      <c r="C4043" s="5"/>
      <c r="D4043" s="5"/>
      <c r="E4043" s="6"/>
      <c r="F4043" s="6" t="b">
        <f t="shared" si="1"/>
        <v>0</v>
      </c>
    </row>
    <row r="4044" ht="15.75" customHeight="1">
      <c r="A4044" s="3" t="s">
        <v>7676</v>
      </c>
      <c r="B4044" s="4"/>
      <c r="C4044" s="5"/>
      <c r="D4044" s="5"/>
      <c r="E4044" s="6"/>
      <c r="F4044" s="6" t="b">
        <f t="shared" si="1"/>
        <v>0</v>
      </c>
    </row>
    <row r="4045" ht="15.75" customHeight="1">
      <c r="A4045" s="3" t="s">
        <v>7677</v>
      </c>
      <c r="B4045" s="4"/>
      <c r="C4045" s="5"/>
      <c r="D4045" s="5"/>
      <c r="E4045" s="6"/>
      <c r="F4045" s="6" t="b">
        <f t="shared" si="1"/>
        <v>0</v>
      </c>
    </row>
    <row r="4046" ht="15.75" customHeight="1">
      <c r="A4046" s="7" t="s">
        <v>7678</v>
      </c>
      <c r="B4046" s="4" t="s">
        <v>7679</v>
      </c>
      <c r="C4046" s="5" t="s">
        <v>16</v>
      </c>
      <c r="D4046" s="6" t="s">
        <v>4688</v>
      </c>
      <c r="E4046" s="6"/>
      <c r="F4046" s="6" t="b">
        <f t="shared" si="1"/>
        <v>0</v>
      </c>
    </row>
    <row r="4047" ht="15.75" customHeight="1">
      <c r="A4047" s="7" t="s">
        <v>7680</v>
      </c>
      <c r="B4047" s="4" t="s">
        <v>7681</v>
      </c>
      <c r="C4047" s="5" t="s">
        <v>6</v>
      </c>
      <c r="D4047" s="6" t="s">
        <v>7682</v>
      </c>
      <c r="E4047" s="6"/>
      <c r="F4047" s="6" t="b">
        <f t="shared" si="1"/>
        <v>0</v>
      </c>
    </row>
    <row r="4048" ht="15.75" customHeight="1">
      <c r="A4048" s="7" t="s">
        <v>7683</v>
      </c>
      <c r="B4048" s="4" t="s">
        <v>7684</v>
      </c>
      <c r="C4048" s="5" t="s">
        <v>6</v>
      </c>
      <c r="D4048" s="6" t="s">
        <v>7685</v>
      </c>
      <c r="E4048" s="6"/>
      <c r="F4048" s="6" t="b">
        <f t="shared" si="1"/>
        <v>0</v>
      </c>
    </row>
    <row r="4049" ht="15.75" customHeight="1">
      <c r="A4049" s="7" t="s">
        <v>7686</v>
      </c>
      <c r="B4049" s="4" t="s">
        <v>7687</v>
      </c>
      <c r="C4049" s="5" t="s">
        <v>6</v>
      </c>
      <c r="D4049" s="6" t="s">
        <v>7688</v>
      </c>
      <c r="E4049" s="6"/>
      <c r="F4049" s="6" t="b">
        <f t="shared" si="1"/>
        <v>0</v>
      </c>
    </row>
    <row r="4050" ht="15.75" customHeight="1">
      <c r="A4050" s="7" t="s">
        <v>7689</v>
      </c>
      <c r="B4050" s="9" t="s">
        <v>7690</v>
      </c>
      <c r="C4050" s="5"/>
      <c r="D4050" s="8"/>
      <c r="E4050" s="6"/>
      <c r="F4050" s="6" t="b">
        <f t="shared" si="1"/>
        <v>0</v>
      </c>
    </row>
    <row r="4051" ht="15.75" customHeight="1">
      <c r="A4051" s="7" t="s">
        <v>7691</v>
      </c>
      <c r="B4051" s="4" t="s">
        <v>7692</v>
      </c>
      <c r="C4051" s="6"/>
      <c r="D4051" s="6" t="s">
        <v>70</v>
      </c>
      <c r="E4051" s="6"/>
      <c r="F4051" s="6" t="b">
        <f t="shared" si="1"/>
        <v>0</v>
      </c>
    </row>
    <row r="4052" ht="15.75" customHeight="1">
      <c r="A4052" s="3" t="s">
        <v>7693</v>
      </c>
      <c r="B4052" s="4"/>
      <c r="C4052" s="5"/>
      <c r="D4052" s="5"/>
      <c r="E4052" s="6"/>
      <c r="F4052" s="6" t="b">
        <f t="shared" si="1"/>
        <v>0</v>
      </c>
    </row>
    <row r="4053" ht="15.75" customHeight="1">
      <c r="A4053" s="3" t="s">
        <v>7694</v>
      </c>
      <c r="B4053" s="4"/>
      <c r="C4053" s="5"/>
      <c r="D4053" s="5"/>
      <c r="E4053" s="6"/>
      <c r="F4053" s="6" t="b">
        <f t="shared" si="1"/>
        <v>0</v>
      </c>
    </row>
    <row r="4054" ht="15.75" customHeight="1">
      <c r="A4054" s="10" t="s">
        <v>7695</v>
      </c>
      <c r="B4054" s="11"/>
      <c r="C4054" s="5"/>
      <c r="D4054" s="8"/>
      <c r="E4054" s="6"/>
      <c r="F4054" s="6" t="b">
        <f t="shared" si="1"/>
        <v>0</v>
      </c>
    </row>
    <row r="4055" ht="15.75" customHeight="1">
      <c r="A4055" s="7" t="s">
        <v>7696</v>
      </c>
      <c r="B4055" s="4" t="s">
        <v>7697</v>
      </c>
      <c r="C4055" s="5" t="s">
        <v>16</v>
      </c>
      <c r="D4055" s="6" t="s">
        <v>7698</v>
      </c>
      <c r="E4055" s="6"/>
      <c r="F4055" s="6" t="b">
        <f t="shared" si="1"/>
        <v>0</v>
      </c>
    </row>
    <row r="4056" ht="15.75" customHeight="1">
      <c r="A4056" s="10" t="s">
        <v>7699</v>
      </c>
      <c r="B4056" s="11"/>
      <c r="C4056" s="5"/>
      <c r="D4056" s="8"/>
      <c r="E4056" s="6"/>
      <c r="F4056" s="6" t="b">
        <f t="shared" si="1"/>
        <v>0</v>
      </c>
    </row>
    <row r="4057" ht="15.75" customHeight="1">
      <c r="A4057" s="7" t="s">
        <v>7700</v>
      </c>
      <c r="B4057" s="4" t="s">
        <v>7701</v>
      </c>
      <c r="C4057" s="6" t="s">
        <v>7702</v>
      </c>
      <c r="D4057" s="6"/>
      <c r="E4057" s="6"/>
      <c r="F4057" s="6" t="b">
        <f t="shared" si="1"/>
        <v>0</v>
      </c>
    </row>
    <row r="4058" ht="15.75" customHeight="1">
      <c r="A4058" s="7" t="s">
        <v>7703</v>
      </c>
      <c r="B4058" s="4" t="s">
        <v>7704</v>
      </c>
      <c r="C4058" s="5" t="s">
        <v>229</v>
      </c>
      <c r="D4058" s="6" t="s">
        <v>6688</v>
      </c>
      <c r="E4058" s="6"/>
      <c r="F4058" s="6" t="b">
        <f t="shared" si="1"/>
        <v>0</v>
      </c>
    </row>
    <row r="4059" ht="15.75" customHeight="1">
      <c r="A4059" s="7" t="s">
        <v>7705</v>
      </c>
      <c r="B4059" s="4" t="s">
        <v>7706</v>
      </c>
      <c r="C4059" s="5" t="s">
        <v>229</v>
      </c>
      <c r="D4059" s="6" t="s">
        <v>6175</v>
      </c>
      <c r="E4059" s="6"/>
      <c r="F4059" s="6" t="b">
        <f t="shared" si="1"/>
        <v>0</v>
      </c>
    </row>
    <row r="4060" ht="15.75" customHeight="1">
      <c r="A4060" s="7" t="s">
        <v>7707</v>
      </c>
      <c r="B4060" s="4" t="s">
        <v>7708</v>
      </c>
      <c r="C4060" s="6" t="s">
        <v>7239</v>
      </c>
      <c r="D4060" s="6"/>
      <c r="E4060" s="6"/>
      <c r="F4060" s="6" t="b">
        <f t="shared" si="1"/>
        <v>0</v>
      </c>
    </row>
    <row r="4061" ht="15.75" customHeight="1">
      <c r="A4061" s="7" t="s">
        <v>7709</v>
      </c>
      <c r="B4061" s="4" t="s">
        <v>7710</v>
      </c>
      <c r="C4061" s="6" t="s">
        <v>7239</v>
      </c>
      <c r="D4061" s="6"/>
      <c r="E4061" s="6"/>
      <c r="F4061" s="6" t="b">
        <f t="shared" si="1"/>
        <v>0</v>
      </c>
    </row>
    <row r="4062" ht="15.75" customHeight="1">
      <c r="A4062" s="3" t="s">
        <v>7711</v>
      </c>
      <c r="B4062" s="4"/>
      <c r="C4062" s="5"/>
      <c r="D4062" s="5"/>
      <c r="E4062" s="6"/>
      <c r="F4062" s="6" t="b">
        <f t="shared" si="1"/>
        <v>0</v>
      </c>
    </row>
    <row r="4063" ht="15.75" customHeight="1">
      <c r="A4063" s="3" t="s">
        <v>7712</v>
      </c>
      <c r="B4063" s="4"/>
      <c r="C4063" s="5"/>
      <c r="D4063" s="5"/>
      <c r="E4063" s="6"/>
      <c r="F4063" s="6" t="b">
        <f t="shared" si="1"/>
        <v>0</v>
      </c>
    </row>
    <row r="4064" ht="15.75" customHeight="1">
      <c r="A4064" s="3" t="s">
        <v>7713</v>
      </c>
      <c r="B4064" s="4"/>
      <c r="C4064" s="5"/>
      <c r="D4064" s="5"/>
      <c r="E4064" s="6"/>
      <c r="F4064" s="6" t="b">
        <f t="shared" si="1"/>
        <v>0</v>
      </c>
    </row>
    <row r="4065" ht="15.75" customHeight="1">
      <c r="A4065" s="7" t="s">
        <v>7714</v>
      </c>
      <c r="B4065" s="4" t="s">
        <v>7715</v>
      </c>
      <c r="C4065" s="5" t="s">
        <v>6</v>
      </c>
      <c r="D4065" s="6" t="s">
        <v>377</v>
      </c>
      <c r="E4065" s="6"/>
      <c r="F4065" s="6" t="b">
        <f t="shared" si="1"/>
        <v>0</v>
      </c>
    </row>
    <row r="4066" ht="15.75" customHeight="1">
      <c r="A4066" s="3" t="s">
        <v>7716</v>
      </c>
      <c r="B4066" s="4"/>
      <c r="C4066" s="5"/>
      <c r="D4066" s="5"/>
      <c r="E4066" s="6"/>
      <c r="F4066" s="6" t="b">
        <f t="shared" si="1"/>
        <v>0</v>
      </c>
    </row>
    <row r="4067" ht="15.75" customHeight="1">
      <c r="A4067" s="7" t="s">
        <v>7717</v>
      </c>
      <c r="B4067" s="4" t="s">
        <v>7718</v>
      </c>
      <c r="C4067" s="5" t="s">
        <v>6</v>
      </c>
      <c r="D4067" s="6" t="s">
        <v>377</v>
      </c>
      <c r="E4067" s="6"/>
      <c r="F4067" s="6" t="b">
        <f t="shared" si="1"/>
        <v>0</v>
      </c>
    </row>
    <row r="4068" ht="15.75" customHeight="1">
      <c r="A4068" s="3" t="s">
        <v>7719</v>
      </c>
      <c r="B4068" s="4"/>
      <c r="C4068" s="5"/>
      <c r="D4068" s="5"/>
      <c r="E4068" s="6"/>
      <c r="F4068" s="6" t="b">
        <f t="shared" si="1"/>
        <v>0</v>
      </c>
    </row>
    <row r="4069" ht="15.75" customHeight="1">
      <c r="A4069" s="10" t="s">
        <v>7720</v>
      </c>
      <c r="B4069" s="11"/>
      <c r="C4069" s="5"/>
      <c r="D4069" s="8"/>
      <c r="E4069" s="6"/>
      <c r="F4069" s="6" t="b">
        <f t="shared" si="1"/>
        <v>0</v>
      </c>
    </row>
    <row r="4070" ht="15.75" customHeight="1">
      <c r="A4070" s="3" t="s">
        <v>7721</v>
      </c>
      <c r="B4070" s="4"/>
      <c r="C4070" s="5"/>
      <c r="D4070" s="5"/>
      <c r="E4070" s="6"/>
      <c r="F4070" s="6" t="b">
        <f t="shared" si="1"/>
        <v>0</v>
      </c>
    </row>
    <row r="4071" ht="15.75" customHeight="1">
      <c r="A4071" s="3" t="s">
        <v>7722</v>
      </c>
      <c r="B4071" s="4"/>
      <c r="C4071" s="5"/>
      <c r="D4071" s="5"/>
      <c r="E4071" s="6"/>
      <c r="F4071" s="6" t="b">
        <f t="shared" si="1"/>
        <v>0</v>
      </c>
    </row>
    <row r="4072" ht="15.75" customHeight="1">
      <c r="A4072" s="3" t="s">
        <v>7723</v>
      </c>
      <c r="B4072" s="4"/>
      <c r="C4072" s="5"/>
      <c r="D4072" s="5"/>
      <c r="E4072" s="6"/>
      <c r="F4072" s="6" t="b">
        <f t="shared" si="1"/>
        <v>0</v>
      </c>
    </row>
    <row r="4073" ht="15.75" customHeight="1">
      <c r="A4073" s="3" t="s">
        <v>7724</v>
      </c>
      <c r="B4073" s="4"/>
      <c r="C4073" s="5"/>
      <c r="D4073" s="5"/>
      <c r="E4073" s="6"/>
      <c r="F4073" s="6" t="b">
        <f t="shared" si="1"/>
        <v>0</v>
      </c>
    </row>
    <row r="4074" ht="15.75" customHeight="1">
      <c r="A4074" s="3" t="s">
        <v>7725</v>
      </c>
      <c r="B4074" s="4"/>
      <c r="C4074" s="5"/>
      <c r="D4074" s="5"/>
      <c r="E4074" s="6"/>
      <c r="F4074" s="6" t="b">
        <f t="shared" si="1"/>
        <v>0</v>
      </c>
    </row>
    <row r="4075" ht="15.75" customHeight="1">
      <c r="A4075" s="3" t="s">
        <v>7726</v>
      </c>
      <c r="B4075" s="4"/>
      <c r="C4075" s="5"/>
      <c r="D4075" s="5"/>
      <c r="E4075" s="6"/>
      <c r="F4075" s="6" t="b">
        <f t="shared" si="1"/>
        <v>0</v>
      </c>
    </row>
    <row r="4076" ht="15.75" customHeight="1">
      <c r="A4076" s="3" t="s">
        <v>7727</v>
      </c>
      <c r="B4076" s="4"/>
      <c r="C4076" s="5"/>
      <c r="D4076" s="5"/>
      <c r="E4076" s="6"/>
      <c r="F4076" s="6" t="b">
        <f t="shared" si="1"/>
        <v>0</v>
      </c>
    </row>
    <row r="4077" ht="15.75" customHeight="1">
      <c r="A4077" s="3" t="s">
        <v>7728</v>
      </c>
      <c r="B4077" s="4"/>
      <c r="C4077" s="5"/>
      <c r="D4077" s="5"/>
      <c r="E4077" s="6"/>
      <c r="F4077" s="6" t="b">
        <f t="shared" si="1"/>
        <v>0</v>
      </c>
    </row>
    <row r="4078" ht="15.75" customHeight="1">
      <c r="A4078" s="3" t="s">
        <v>7729</v>
      </c>
      <c r="B4078" s="4"/>
      <c r="C4078" s="5"/>
      <c r="D4078" s="5"/>
      <c r="E4078" s="6"/>
      <c r="F4078" s="6" t="b">
        <f t="shared" si="1"/>
        <v>0</v>
      </c>
    </row>
    <row r="4079" ht="15.75" customHeight="1">
      <c r="A4079" s="3" t="s">
        <v>7730</v>
      </c>
      <c r="B4079" s="4"/>
      <c r="C4079" s="5"/>
      <c r="D4079" s="5"/>
      <c r="E4079" s="6"/>
      <c r="F4079" s="6" t="b">
        <f t="shared" si="1"/>
        <v>0</v>
      </c>
    </row>
    <row r="4080" ht="15.75" customHeight="1">
      <c r="A4080" s="3" t="s">
        <v>7731</v>
      </c>
      <c r="B4080" s="4"/>
      <c r="C4080" s="5"/>
      <c r="D4080" s="5"/>
      <c r="E4080" s="6"/>
      <c r="F4080" s="6" t="b">
        <f t="shared" si="1"/>
        <v>0</v>
      </c>
    </row>
    <row r="4081" ht="15.75" customHeight="1">
      <c r="A4081" s="3" t="s">
        <v>7732</v>
      </c>
      <c r="B4081" s="4"/>
      <c r="C4081" s="5"/>
      <c r="D4081" s="5"/>
      <c r="E4081" s="6"/>
      <c r="F4081" s="6" t="b">
        <f t="shared" si="1"/>
        <v>0</v>
      </c>
    </row>
    <row r="4082" ht="15.75" customHeight="1">
      <c r="A4082" s="3" t="s">
        <v>7733</v>
      </c>
      <c r="B4082" s="4"/>
      <c r="C4082" s="5"/>
      <c r="D4082" s="5"/>
      <c r="E4082" s="6"/>
      <c r="F4082" s="6" t="b">
        <f t="shared" si="1"/>
        <v>0</v>
      </c>
    </row>
    <row r="4083" ht="15.75" customHeight="1">
      <c r="A4083" s="3" t="s">
        <v>7734</v>
      </c>
      <c r="B4083" s="4"/>
      <c r="C4083" s="5"/>
      <c r="D4083" s="5"/>
      <c r="E4083" s="6"/>
      <c r="F4083" s="6" t="b">
        <f t="shared" si="1"/>
        <v>0</v>
      </c>
    </row>
    <row r="4084" ht="15.75" customHeight="1">
      <c r="A4084" s="3" t="s">
        <v>7735</v>
      </c>
      <c r="B4084" s="4"/>
      <c r="C4084" s="5"/>
      <c r="D4084" s="5"/>
      <c r="E4084" s="6"/>
      <c r="F4084" s="6" t="b">
        <f t="shared" si="1"/>
        <v>0</v>
      </c>
    </row>
    <row r="4085" ht="15.75" customHeight="1">
      <c r="A4085" s="3" t="s">
        <v>7736</v>
      </c>
      <c r="B4085" s="4"/>
      <c r="C4085" s="5"/>
      <c r="D4085" s="5"/>
      <c r="E4085" s="6"/>
      <c r="F4085" s="6" t="b">
        <f t="shared" si="1"/>
        <v>0</v>
      </c>
    </row>
    <row r="4086" ht="15.75" customHeight="1">
      <c r="A4086" s="3" t="s">
        <v>7737</v>
      </c>
      <c r="B4086" s="4"/>
      <c r="C4086" s="5"/>
      <c r="D4086" s="5"/>
      <c r="E4086" s="6"/>
      <c r="F4086" s="6" t="b">
        <f t="shared" si="1"/>
        <v>0</v>
      </c>
    </row>
    <row r="4087" ht="15.75" customHeight="1">
      <c r="A4087" s="3" t="s">
        <v>7738</v>
      </c>
      <c r="B4087" s="4"/>
      <c r="C4087" s="5"/>
      <c r="D4087" s="5"/>
      <c r="E4087" s="6"/>
      <c r="F4087" s="6" t="b">
        <f t="shared" si="1"/>
        <v>0</v>
      </c>
    </row>
    <row r="4088" ht="15.75" customHeight="1">
      <c r="A4088" s="3" t="s">
        <v>7739</v>
      </c>
      <c r="B4088" s="4"/>
      <c r="C4088" s="5"/>
      <c r="D4088" s="5"/>
      <c r="E4088" s="6"/>
      <c r="F4088" s="6" t="b">
        <f t="shared" si="1"/>
        <v>0</v>
      </c>
    </row>
    <row r="4089" ht="15.75" customHeight="1">
      <c r="A4089" s="3" t="s">
        <v>7740</v>
      </c>
      <c r="B4089" s="4"/>
      <c r="C4089" s="5"/>
      <c r="D4089" s="5"/>
      <c r="E4089" s="6"/>
      <c r="F4089" s="6" t="b">
        <f t="shared" si="1"/>
        <v>0</v>
      </c>
    </row>
    <row r="4090" ht="15.75" customHeight="1">
      <c r="A4090" s="3" t="s">
        <v>7741</v>
      </c>
      <c r="B4090" s="4"/>
      <c r="C4090" s="5"/>
      <c r="D4090" s="5"/>
      <c r="E4090" s="6"/>
      <c r="F4090" s="6" t="b">
        <f t="shared" si="1"/>
        <v>0</v>
      </c>
    </row>
    <row r="4091" ht="15.75" customHeight="1">
      <c r="A4091" s="7" t="s">
        <v>7742</v>
      </c>
      <c r="B4091" s="4" t="s">
        <v>7743</v>
      </c>
      <c r="C4091" s="5" t="s">
        <v>6</v>
      </c>
      <c r="D4091" s="6" t="s">
        <v>7</v>
      </c>
      <c r="E4091" s="6"/>
      <c r="F4091" s="6" t="b">
        <f t="shared" si="1"/>
        <v>0</v>
      </c>
    </row>
    <row r="4092" ht="15.75" customHeight="1">
      <c r="A4092" s="7" t="s">
        <v>7744</v>
      </c>
      <c r="B4092" s="4" t="s">
        <v>7745</v>
      </c>
      <c r="C4092" s="5" t="s">
        <v>6</v>
      </c>
      <c r="D4092" s="6" t="s">
        <v>7</v>
      </c>
      <c r="E4092" s="6"/>
      <c r="F4092" s="6" t="b">
        <f t="shared" si="1"/>
        <v>0</v>
      </c>
    </row>
    <row r="4093" ht="15.75" customHeight="1">
      <c r="A4093" s="7" t="s">
        <v>7746</v>
      </c>
      <c r="B4093" s="4" t="s">
        <v>7747</v>
      </c>
      <c r="C4093" s="5" t="s">
        <v>6</v>
      </c>
      <c r="D4093" s="6" t="s">
        <v>7</v>
      </c>
      <c r="E4093" s="6"/>
      <c r="F4093" s="6" t="b">
        <f t="shared" si="1"/>
        <v>0</v>
      </c>
    </row>
    <row r="4094" ht="15.75" customHeight="1">
      <c r="A4094" s="7" t="s">
        <v>7748</v>
      </c>
      <c r="B4094" s="4" t="s">
        <v>7749</v>
      </c>
      <c r="C4094" s="5" t="s">
        <v>6</v>
      </c>
      <c r="D4094" s="6" t="s">
        <v>7</v>
      </c>
      <c r="E4094" s="6"/>
      <c r="F4094" s="6" t="b">
        <f t="shared" si="1"/>
        <v>0</v>
      </c>
    </row>
    <row r="4095" ht="15.75" customHeight="1">
      <c r="A4095" s="3" t="s">
        <v>7750</v>
      </c>
      <c r="B4095" s="4"/>
      <c r="C4095" s="5"/>
      <c r="D4095" s="5"/>
      <c r="E4095" s="6"/>
      <c r="F4095" s="6" t="b">
        <f t="shared" si="1"/>
        <v>0</v>
      </c>
    </row>
    <row r="4096" ht="15.75" customHeight="1">
      <c r="A4096" s="7" t="s">
        <v>7751</v>
      </c>
      <c r="B4096" s="4" t="s">
        <v>7752</v>
      </c>
      <c r="C4096" s="5" t="s">
        <v>6</v>
      </c>
      <c r="D4096" s="6" t="s">
        <v>7</v>
      </c>
      <c r="E4096" s="6"/>
      <c r="F4096" s="6" t="b">
        <f t="shared" si="1"/>
        <v>0</v>
      </c>
    </row>
    <row r="4097" ht="15.75" customHeight="1">
      <c r="A4097" s="7" t="s">
        <v>7753</v>
      </c>
      <c r="B4097" s="4" t="s">
        <v>7754</v>
      </c>
      <c r="C4097" s="5" t="s">
        <v>6</v>
      </c>
      <c r="D4097" s="6" t="s">
        <v>477</v>
      </c>
      <c r="E4097" s="6"/>
      <c r="F4097" s="6" t="b">
        <f t="shared" si="1"/>
        <v>0</v>
      </c>
    </row>
    <row r="4098" ht="15.75" customHeight="1">
      <c r="A4098" s="7" t="s">
        <v>7755</v>
      </c>
      <c r="B4098" s="4" t="s">
        <v>7756</v>
      </c>
      <c r="C4098" s="5" t="s">
        <v>6</v>
      </c>
      <c r="D4098" s="6" t="s">
        <v>477</v>
      </c>
      <c r="E4098" s="6"/>
      <c r="F4098" s="6" t="b">
        <f t="shared" si="1"/>
        <v>0</v>
      </c>
    </row>
    <row r="4099" ht="15.75" customHeight="1">
      <c r="A4099" s="3" t="s">
        <v>7757</v>
      </c>
      <c r="B4099" s="4"/>
      <c r="C4099" s="5"/>
      <c r="D4099" s="5"/>
      <c r="E4099" s="6"/>
      <c r="F4099" s="6" t="b">
        <f t="shared" si="1"/>
        <v>0</v>
      </c>
    </row>
    <row r="4100" ht="15.75" customHeight="1">
      <c r="A4100" s="7" t="s">
        <v>7758</v>
      </c>
      <c r="B4100" s="4" t="s">
        <v>7759</v>
      </c>
      <c r="C4100" s="5" t="s">
        <v>6</v>
      </c>
      <c r="D4100" s="6" t="s">
        <v>477</v>
      </c>
      <c r="E4100" s="6"/>
      <c r="F4100" s="6" t="b">
        <f t="shared" si="1"/>
        <v>0</v>
      </c>
    </row>
    <row r="4101" ht="15.75" customHeight="1">
      <c r="A4101" s="7" t="s">
        <v>7760</v>
      </c>
      <c r="B4101" s="4" t="s">
        <v>7761</v>
      </c>
      <c r="C4101" s="5" t="s">
        <v>6</v>
      </c>
      <c r="D4101" s="6" t="s">
        <v>477</v>
      </c>
      <c r="E4101" s="6"/>
      <c r="F4101" s="6" t="b">
        <f t="shared" si="1"/>
        <v>0</v>
      </c>
    </row>
    <row r="4102" ht="15.75" customHeight="1">
      <c r="A4102" s="7" t="s">
        <v>7762</v>
      </c>
      <c r="B4102" s="4" t="s">
        <v>7763</v>
      </c>
      <c r="C4102" s="5" t="s">
        <v>6</v>
      </c>
      <c r="D4102" s="6" t="s">
        <v>477</v>
      </c>
      <c r="E4102" s="6"/>
      <c r="F4102" s="6" t="b">
        <f t="shared" si="1"/>
        <v>0</v>
      </c>
    </row>
    <row r="4103" ht="15.75" customHeight="1">
      <c r="A4103" s="7" t="s">
        <v>7764</v>
      </c>
      <c r="B4103" s="4" t="s">
        <v>7765</v>
      </c>
      <c r="C4103" s="5" t="s">
        <v>6</v>
      </c>
      <c r="D4103" s="6" t="s">
        <v>477</v>
      </c>
      <c r="E4103" s="6"/>
      <c r="F4103" s="6" t="b">
        <f t="shared" si="1"/>
        <v>0</v>
      </c>
    </row>
    <row r="4104" ht="15.75" customHeight="1">
      <c r="A4104" s="7" t="s">
        <v>7766</v>
      </c>
      <c r="B4104" s="4" t="s">
        <v>7767</v>
      </c>
      <c r="C4104" s="5" t="s">
        <v>6</v>
      </c>
      <c r="D4104" s="6" t="s">
        <v>477</v>
      </c>
      <c r="E4104" s="6"/>
      <c r="F4104" s="6" t="b">
        <f t="shared" si="1"/>
        <v>0</v>
      </c>
    </row>
    <row r="4105" ht="15.75" customHeight="1">
      <c r="A4105" s="7" t="s">
        <v>7768</v>
      </c>
      <c r="B4105" s="4" t="s">
        <v>7769</v>
      </c>
      <c r="C4105" s="5" t="s">
        <v>6</v>
      </c>
      <c r="D4105" s="6" t="s">
        <v>477</v>
      </c>
      <c r="E4105" s="6"/>
      <c r="F4105" s="6" t="b">
        <f t="shared" si="1"/>
        <v>0</v>
      </c>
    </row>
    <row r="4106" ht="15.75" customHeight="1">
      <c r="A4106" s="7" t="s">
        <v>7770</v>
      </c>
      <c r="B4106" s="4" t="s">
        <v>7771</v>
      </c>
      <c r="C4106" s="5" t="s">
        <v>6</v>
      </c>
      <c r="D4106" s="6" t="s">
        <v>477</v>
      </c>
      <c r="E4106" s="6"/>
      <c r="F4106" s="6" t="b">
        <f t="shared" si="1"/>
        <v>0</v>
      </c>
    </row>
    <row r="4107" ht="15.75" customHeight="1">
      <c r="A4107" s="7" t="s">
        <v>7772</v>
      </c>
      <c r="B4107" s="4" t="s">
        <v>7773</v>
      </c>
      <c r="C4107" s="5" t="s">
        <v>6</v>
      </c>
      <c r="D4107" s="6" t="s">
        <v>477</v>
      </c>
      <c r="E4107" s="6"/>
      <c r="F4107" s="6" t="b">
        <f t="shared" si="1"/>
        <v>0</v>
      </c>
    </row>
    <row r="4108" ht="15.75" customHeight="1">
      <c r="A4108" s="7" t="s">
        <v>7774</v>
      </c>
      <c r="B4108" s="4" t="s">
        <v>7775</v>
      </c>
      <c r="C4108" s="5" t="s">
        <v>6</v>
      </c>
      <c r="D4108" s="6" t="s">
        <v>477</v>
      </c>
      <c r="E4108" s="6"/>
      <c r="F4108" s="6" t="b">
        <f t="shared" si="1"/>
        <v>0</v>
      </c>
    </row>
    <row r="4109" ht="15.75" customHeight="1">
      <c r="A4109" s="10" t="s">
        <v>7776</v>
      </c>
      <c r="B4109" s="11"/>
      <c r="C4109" s="5"/>
      <c r="D4109" s="8"/>
      <c r="E4109" s="6"/>
      <c r="F4109" s="6" t="b">
        <f t="shared" si="1"/>
        <v>0</v>
      </c>
    </row>
    <row r="4110" ht="15.75" customHeight="1">
      <c r="A4110" s="3" t="s">
        <v>7777</v>
      </c>
      <c r="B4110" s="4"/>
      <c r="C4110" s="5"/>
      <c r="D4110" s="5"/>
      <c r="E4110" s="6"/>
      <c r="F4110" s="6" t="b">
        <f t="shared" si="1"/>
        <v>0</v>
      </c>
    </row>
    <row r="4111" ht="15.75" customHeight="1">
      <c r="A4111" s="7" t="s">
        <v>7778</v>
      </c>
      <c r="B4111" s="4" t="s">
        <v>7779</v>
      </c>
      <c r="C4111" s="5" t="s">
        <v>6</v>
      </c>
      <c r="D4111" s="6" t="s">
        <v>1974</v>
      </c>
      <c r="E4111" s="6"/>
      <c r="F4111" s="6" t="b">
        <f t="shared" si="1"/>
        <v>0</v>
      </c>
    </row>
    <row r="4112" ht="15.75" customHeight="1">
      <c r="A4112" s="3" t="s">
        <v>7780</v>
      </c>
      <c r="B4112" s="4"/>
      <c r="C4112" s="5"/>
      <c r="D4112" s="5"/>
      <c r="E4112" s="6"/>
      <c r="F4112" s="6" t="b">
        <f t="shared" si="1"/>
        <v>0</v>
      </c>
    </row>
    <row r="4113" ht="15.75" customHeight="1">
      <c r="A4113" s="3" t="s">
        <v>7781</v>
      </c>
      <c r="B4113" s="4"/>
      <c r="C4113" s="5"/>
      <c r="D4113" s="5"/>
      <c r="E4113" s="6"/>
      <c r="F4113" s="6" t="b">
        <f t="shared" si="1"/>
        <v>0</v>
      </c>
    </row>
    <row r="4114" ht="15.75" customHeight="1">
      <c r="A4114" s="3" t="s">
        <v>7782</v>
      </c>
      <c r="B4114" s="4"/>
      <c r="C4114" s="5"/>
      <c r="D4114" s="5"/>
      <c r="E4114" s="6"/>
      <c r="F4114" s="6" t="b">
        <f t="shared" si="1"/>
        <v>0</v>
      </c>
    </row>
    <row r="4115" ht="15.75" customHeight="1">
      <c r="A4115" s="3" t="s">
        <v>7783</v>
      </c>
      <c r="B4115" s="4"/>
      <c r="C4115" s="5"/>
      <c r="D4115" s="5"/>
      <c r="E4115" s="6"/>
      <c r="F4115" s="6" t="b">
        <f t="shared" si="1"/>
        <v>0</v>
      </c>
    </row>
    <row r="4116" ht="15.75" customHeight="1">
      <c r="A4116" s="3" t="s">
        <v>7784</v>
      </c>
      <c r="B4116" s="4"/>
      <c r="C4116" s="5"/>
      <c r="D4116" s="5"/>
      <c r="E4116" s="6"/>
      <c r="F4116" s="6" t="b">
        <f t="shared" si="1"/>
        <v>0</v>
      </c>
    </row>
    <row r="4117" ht="15.75" customHeight="1">
      <c r="A4117" s="3" t="s">
        <v>7785</v>
      </c>
      <c r="B4117" s="4"/>
      <c r="C4117" s="5"/>
      <c r="D4117" s="5"/>
      <c r="E4117" s="6"/>
      <c r="F4117" s="6" t="b">
        <f t="shared" si="1"/>
        <v>0</v>
      </c>
    </row>
    <row r="4118" ht="15.75" customHeight="1">
      <c r="A4118" s="3" t="s">
        <v>7786</v>
      </c>
      <c r="B4118" s="4"/>
      <c r="C4118" s="5"/>
      <c r="D4118" s="5"/>
      <c r="E4118" s="6"/>
      <c r="F4118" s="6" t="b">
        <f t="shared" si="1"/>
        <v>0</v>
      </c>
    </row>
    <row r="4119" ht="15.75" customHeight="1">
      <c r="A4119" s="3" t="s">
        <v>7787</v>
      </c>
      <c r="B4119" s="4"/>
      <c r="C4119" s="5"/>
      <c r="D4119" s="5"/>
      <c r="E4119" s="6"/>
      <c r="F4119" s="6" t="b">
        <f t="shared" si="1"/>
        <v>0</v>
      </c>
    </row>
    <row r="4120" ht="15.75" customHeight="1">
      <c r="A4120" s="3" t="s">
        <v>7788</v>
      </c>
      <c r="B4120" s="4"/>
      <c r="C4120" s="5"/>
      <c r="D4120" s="5"/>
      <c r="E4120" s="6"/>
      <c r="F4120" s="6" t="b">
        <f t="shared" si="1"/>
        <v>0</v>
      </c>
    </row>
    <row r="4121" ht="15.75" customHeight="1">
      <c r="A4121" s="3" t="s">
        <v>7789</v>
      </c>
      <c r="B4121" s="4"/>
      <c r="C4121" s="5"/>
      <c r="D4121" s="5"/>
      <c r="E4121" s="6"/>
      <c r="F4121" s="6" t="b">
        <f t="shared" si="1"/>
        <v>0</v>
      </c>
    </row>
    <row r="4122" ht="15.75" customHeight="1">
      <c r="A4122" s="3" t="s">
        <v>7790</v>
      </c>
      <c r="B4122" s="4"/>
      <c r="C4122" s="5"/>
      <c r="D4122" s="5"/>
      <c r="E4122" s="6"/>
      <c r="F4122" s="6" t="b">
        <f t="shared" si="1"/>
        <v>0</v>
      </c>
    </row>
    <row r="4123" ht="15.75" customHeight="1">
      <c r="A4123" s="3" t="s">
        <v>7791</v>
      </c>
      <c r="B4123" s="4"/>
      <c r="C4123" s="5"/>
      <c r="D4123" s="5"/>
      <c r="E4123" s="6"/>
      <c r="F4123" s="6" t="b">
        <f t="shared" si="1"/>
        <v>0</v>
      </c>
    </row>
    <row r="4124" ht="15.75" customHeight="1">
      <c r="A4124" s="3" t="s">
        <v>7792</v>
      </c>
      <c r="B4124" s="4"/>
      <c r="C4124" s="5"/>
      <c r="D4124" s="5"/>
      <c r="E4124" s="6"/>
      <c r="F4124" s="6" t="b">
        <f t="shared" si="1"/>
        <v>0</v>
      </c>
    </row>
    <row r="4125" ht="15.75" customHeight="1">
      <c r="A4125" s="3" t="s">
        <v>7793</v>
      </c>
      <c r="B4125" s="4"/>
      <c r="C4125" s="5"/>
      <c r="D4125" s="5"/>
      <c r="E4125" s="6"/>
      <c r="F4125" s="6" t="b">
        <f t="shared" si="1"/>
        <v>0</v>
      </c>
    </row>
    <row r="4126" ht="15.75" customHeight="1">
      <c r="A4126" s="3" t="s">
        <v>7794</v>
      </c>
      <c r="B4126" s="4"/>
      <c r="C4126" s="5"/>
      <c r="D4126" s="5"/>
      <c r="E4126" s="6"/>
      <c r="F4126" s="6" t="b">
        <f t="shared" si="1"/>
        <v>0</v>
      </c>
    </row>
    <row r="4127" ht="15.75" customHeight="1">
      <c r="A4127" s="3" t="s">
        <v>7795</v>
      </c>
      <c r="B4127" s="4"/>
      <c r="C4127" s="5"/>
      <c r="D4127" s="5"/>
      <c r="E4127" s="6"/>
      <c r="F4127" s="6" t="b">
        <f t="shared" si="1"/>
        <v>0</v>
      </c>
    </row>
    <row r="4128" ht="15.75" customHeight="1">
      <c r="A4128" s="3" t="s">
        <v>7796</v>
      </c>
      <c r="B4128" s="4"/>
      <c r="C4128" s="5"/>
      <c r="D4128" s="5"/>
      <c r="E4128" s="6"/>
      <c r="F4128" s="6" t="b">
        <f t="shared" si="1"/>
        <v>0</v>
      </c>
    </row>
    <row r="4129" ht="15.75" customHeight="1">
      <c r="A4129" s="3" t="s">
        <v>7797</v>
      </c>
      <c r="B4129" s="4"/>
      <c r="C4129" s="5"/>
      <c r="D4129" s="5"/>
      <c r="E4129" s="6"/>
      <c r="F4129" s="6" t="b">
        <f t="shared" si="1"/>
        <v>0</v>
      </c>
    </row>
    <row r="4130" ht="15.75" customHeight="1">
      <c r="A4130" s="3" t="s">
        <v>7798</v>
      </c>
      <c r="B4130" s="4"/>
      <c r="C4130" s="5"/>
      <c r="D4130" s="5"/>
      <c r="E4130" s="6"/>
      <c r="F4130" s="6" t="b">
        <f t="shared" si="1"/>
        <v>0</v>
      </c>
    </row>
    <row r="4131" ht="15.75" customHeight="1">
      <c r="A4131" s="3" t="s">
        <v>7799</v>
      </c>
      <c r="B4131" s="4"/>
      <c r="C4131" s="5"/>
      <c r="D4131" s="5"/>
      <c r="E4131" s="6"/>
      <c r="F4131" s="6" t="b">
        <f t="shared" si="1"/>
        <v>0</v>
      </c>
    </row>
    <row r="4132" ht="15.75" customHeight="1">
      <c r="A4132" s="3" t="s">
        <v>7800</v>
      </c>
      <c r="B4132" s="4"/>
      <c r="C4132" s="5"/>
      <c r="D4132" s="5"/>
      <c r="E4132" s="6"/>
      <c r="F4132" s="6" t="b">
        <f t="shared" si="1"/>
        <v>0</v>
      </c>
    </row>
    <row r="4133" ht="15.75" customHeight="1">
      <c r="A4133" s="3" t="s">
        <v>7801</v>
      </c>
      <c r="B4133" s="4"/>
      <c r="C4133" s="5"/>
      <c r="D4133" s="5"/>
      <c r="E4133" s="6"/>
      <c r="F4133" s="6" t="b">
        <f t="shared" si="1"/>
        <v>0</v>
      </c>
    </row>
    <row r="4134" ht="15.75" customHeight="1">
      <c r="A4134" s="3" t="s">
        <v>7802</v>
      </c>
      <c r="B4134" s="4"/>
      <c r="C4134" s="5"/>
      <c r="D4134" s="5"/>
      <c r="E4134" s="6"/>
      <c r="F4134" s="6" t="b">
        <f t="shared" si="1"/>
        <v>0</v>
      </c>
    </row>
    <row r="4135" ht="15.75" customHeight="1">
      <c r="A4135" s="7" t="s">
        <v>7803</v>
      </c>
      <c r="B4135" s="4" t="s">
        <v>1093</v>
      </c>
      <c r="C4135" s="5" t="s">
        <v>16</v>
      </c>
      <c r="D4135" s="6" t="s">
        <v>7804</v>
      </c>
      <c r="E4135" s="6"/>
      <c r="F4135" s="6" t="b">
        <f t="shared" si="1"/>
        <v>0</v>
      </c>
    </row>
    <row r="4136" ht="15.75" customHeight="1">
      <c r="A4136" s="10" t="s">
        <v>7805</v>
      </c>
      <c r="B4136" s="11"/>
      <c r="C4136" s="5"/>
      <c r="D4136" s="8"/>
      <c r="E4136" s="6"/>
      <c r="F4136" s="6" t="b">
        <f t="shared" si="1"/>
        <v>0</v>
      </c>
    </row>
    <row r="4137" ht="15.75" customHeight="1">
      <c r="A4137" s="10" t="s">
        <v>7806</v>
      </c>
      <c r="B4137" s="11"/>
      <c r="C4137" s="5"/>
      <c r="D4137" s="8"/>
      <c r="E4137" s="6"/>
      <c r="F4137" s="6" t="b">
        <f t="shared" si="1"/>
        <v>0</v>
      </c>
    </row>
    <row r="4138" ht="15.75" customHeight="1">
      <c r="A4138" s="10" t="s">
        <v>7807</v>
      </c>
      <c r="B4138" s="11"/>
      <c r="C4138" s="5"/>
      <c r="D4138" s="8"/>
      <c r="E4138" s="6"/>
      <c r="F4138" s="6" t="b">
        <f t="shared" si="1"/>
        <v>0</v>
      </c>
    </row>
    <row r="4139" ht="15.75" customHeight="1">
      <c r="A4139" s="10" t="s">
        <v>7808</v>
      </c>
      <c r="B4139" s="11"/>
      <c r="C4139" s="5"/>
      <c r="D4139" s="8"/>
      <c r="E4139" s="6"/>
      <c r="F4139" s="6" t="b">
        <f t="shared" si="1"/>
        <v>0</v>
      </c>
    </row>
    <row r="4140" ht="15.75" customHeight="1">
      <c r="A4140" s="7" t="s">
        <v>7809</v>
      </c>
      <c r="B4140" s="4" t="s">
        <v>5088</v>
      </c>
      <c r="C4140" s="5" t="s">
        <v>16</v>
      </c>
      <c r="D4140" s="6" t="s">
        <v>7810</v>
      </c>
      <c r="E4140" s="6"/>
      <c r="F4140" s="6" t="b">
        <f t="shared" si="1"/>
        <v>0</v>
      </c>
    </row>
    <row r="4141" ht="15.75" customHeight="1">
      <c r="A4141" s="7" t="s">
        <v>7811</v>
      </c>
      <c r="B4141" s="4" t="s">
        <v>7812</v>
      </c>
      <c r="C4141" s="5" t="s">
        <v>16</v>
      </c>
      <c r="D4141" s="6" t="s">
        <v>5097</v>
      </c>
      <c r="E4141" s="6"/>
      <c r="F4141" s="6" t="b">
        <f t="shared" si="1"/>
        <v>0</v>
      </c>
    </row>
    <row r="4142" ht="15.75" customHeight="1">
      <c r="A4142" s="7" t="s">
        <v>7813</v>
      </c>
      <c r="B4142" s="4" t="s">
        <v>7814</v>
      </c>
      <c r="C4142" s="5" t="s">
        <v>16</v>
      </c>
      <c r="D4142" s="6" t="s">
        <v>7815</v>
      </c>
      <c r="E4142" s="6"/>
      <c r="F4142" s="6" t="b">
        <f t="shared" si="1"/>
        <v>0</v>
      </c>
    </row>
    <row r="4143" ht="15.75" customHeight="1">
      <c r="A4143" s="7" t="s">
        <v>7816</v>
      </c>
      <c r="B4143" s="4" t="s">
        <v>7817</v>
      </c>
      <c r="C4143" s="5" t="s">
        <v>16</v>
      </c>
      <c r="D4143" s="6" t="s">
        <v>7818</v>
      </c>
      <c r="E4143" s="6"/>
      <c r="F4143" s="6" t="b">
        <f t="shared" si="1"/>
        <v>0</v>
      </c>
    </row>
    <row r="4144" ht="15.75" customHeight="1">
      <c r="A4144" s="7" t="s">
        <v>7819</v>
      </c>
      <c r="B4144" s="4" t="s">
        <v>7820</v>
      </c>
      <c r="C4144" s="5" t="s">
        <v>16</v>
      </c>
      <c r="D4144" s="6" t="s">
        <v>7818</v>
      </c>
      <c r="E4144" s="6"/>
      <c r="F4144" s="6" t="b">
        <f t="shared" si="1"/>
        <v>0</v>
      </c>
    </row>
    <row r="4145" ht="15.75" customHeight="1">
      <c r="A4145" s="7" t="s">
        <v>7821</v>
      </c>
      <c r="B4145" s="4" t="s">
        <v>7822</v>
      </c>
      <c r="C4145" s="5" t="s">
        <v>16</v>
      </c>
      <c r="D4145" s="6" t="s">
        <v>7818</v>
      </c>
      <c r="E4145" s="6"/>
      <c r="F4145" s="6" t="b">
        <f t="shared" si="1"/>
        <v>0</v>
      </c>
    </row>
    <row r="4146" ht="15.75" customHeight="1">
      <c r="A4146" s="7" t="s">
        <v>7823</v>
      </c>
      <c r="B4146" s="4" t="s">
        <v>7824</v>
      </c>
      <c r="C4146" s="5" t="s">
        <v>16</v>
      </c>
      <c r="D4146" s="6" t="s">
        <v>7825</v>
      </c>
      <c r="E4146" s="6"/>
      <c r="F4146" s="6" t="b">
        <f t="shared" si="1"/>
        <v>0</v>
      </c>
    </row>
    <row r="4147" ht="15.75" customHeight="1">
      <c r="A4147" s="7" t="s">
        <v>7826</v>
      </c>
      <c r="B4147" s="4" t="s">
        <v>7827</v>
      </c>
      <c r="C4147" s="5" t="s">
        <v>16</v>
      </c>
      <c r="D4147" s="6" t="s">
        <v>7825</v>
      </c>
      <c r="E4147" s="6"/>
      <c r="F4147" s="6" t="b">
        <f t="shared" si="1"/>
        <v>0</v>
      </c>
    </row>
    <row r="4148" ht="15.75" customHeight="1">
      <c r="A4148" s="7" t="s">
        <v>7828</v>
      </c>
      <c r="B4148" s="4" t="s">
        <v>7829</v>
      </c>
      <c r="C4148" s="5" t="s">
        <v>16</v>
      </c>
      <c r="D4148" s="6" t="s">
        <v>5117</v>
      </c>
      <c r="E4148" s="6"/>
      <c r="F4148" s="6" t="b">
        <f t="shared" si="1"/>
        <v>0</v>
      </c>
    </row>
    <row r="4149" ht="15.75" customHeight="1">
      <c r="A4149" s="7" t="s">
        <v>7830</v>
      </c>
      <c r="B4149" s="4" t="s">
        <v>7831</v>
      </c>
      <c r="C4149" s="5" t="s">
        <v>16</v>
      </c>
      <c r="D4149" s="6" t="s">
        <v>5117</v>
      </c>
      <c r="E4149" s="6"/>
      <c r="F4149" s="6" t="b">
        <f t="shared" si="1"/>
        <v>0</v>
      </c>
    </row>
    <row r="4150" ht="15.75" customHeight="1">
      <c r="A4150" s="7" t="s">
        <v>7832</v>
      </c>
      <c r="B4150" s="4" t="s">
        <v>7833</v>
      </c>
      <c r="C4150" s="5" t="s">
        <v>16</v>
      </c>
      <c r="D4150" s="6" t="s">
        <v>5117</v>
      </c>
      <c r="E4150" s="6"/>
      <c r="F4150" s="6" t="b">
        <f t="shared" si="1"/>
        <v>0</v>
      </c>
    </row>
    <row r="4151" ht="15.75" customHeight="1">
      <c r="A4151" s="7" t="s">
        <v>7834</v>
      </c>
      <c r="B4151" s="4" t="s">
        <v>7835</v>
      </c>
      <c r="C4151" s="5" t="s">
        <v>16</v>
      </c>
      <c r="D4151" s="6" t="s">
        <v>5117</v>
      </c>
      <c r="E4151" s="6"/>
      <c r="F4151" s="6" t="b">
        <f t="shared" si="1"/>
        <v>0</v>
      </c>
    </row>
    <row r="4152" ht="15.75" customHeight="1">
      <c r="A4152" s="7" t="s">
        <v>7836</v>
      </c>
      <c r="B4152" s="4" t="s">
        <v>7837</v>
      </c>
      <c r="C4152" s="5" t="s">
        <v>16</v>
      </c>
      <c r="D4152" s="6" t="s">
        <v>6185</v>
      </c>
      <c r="E4152" s="6"/>
      <c r="F4152" s="6" t="b">
        <f t="shared" si="1"/>
        <v>0</v>
      </c>
    </row>
    <row r="4153" ht="15.75" customHeight="1">
      <c r="A4153" s="7" t="s">
        <v>7838</v>
      </c>
      <c r="B4153" s="4" t="s">
        <v>7839</v>
      </c>
      <c r="C4153" s="5" t="s">
        <v>16</v>
      </c>
      <c r="D4153" s="6" t="s">
        <v>6185</v>
      </c>
      <c r="E4153" s="6"/>
      <c r="F4153" s="6" t="b">
        <f t="shared" si="1"/>
        <v>0</v>
      </c>
    </row>
    <row r="4154" ht="15.75" customHeight="1">
      <c r="A4154" s="7" t="s">
        <v>7840</v>
      </c>
      <c r="B4154" s="4" t="s">
        <v>7841</v>
      </c>
      <c r="C4154" s="5" t="s">
        <v>16</v>
      </c>
      <c r="D4154" s="6" t="s">
        <v>6185</v>
      </c>
      <c r="E4154" s="6"/>
      <c r="F4154" s="6" t="b">
        <f t="shared" si="1"/>
        <v>0</v>
      </c>
    </row>
    <row r="4155" ht="15.75" customHeight="1">
      <c r="A4155" s="7" t="s">
        <v>7842</v>
      </c>
      <c r="B4155" s="4" t="s">
        <v>7843</v>
      </c>
      <c r="C4155" s="5" t="s">
        <v>16</v>
      </c>
      <c r="D4155" s="6" t="s">
        <v>7844</v>
      </c>
      <c r="E4155" s="6"/>
      <c r="F4155" s="6" t="b">
        <f t="shared" si="1"/>
        <v>0</v>
      </c>
    </row>
    <row r="4156" ht="15.75" customHeight="1">
      <c r="A4156" s="7" t="s">
        <v>7845</v>
      </c>
      <c r="B4156" s="4" t="s">
        <v>7846</v>
      </c>
      <c r="C4156" s="5" t="s">
        <v>16</v>
      </c>
      <c r="D4156" s="6" t="s">
        <v>7844</v>
      </c>
      <c r="E4156" s="6"/>
      <c r="F4156" s="6" t="b">
        <f t="shared" si="1"/>
        <v>0</v>
      </c>
    </row>
    <row r="4157" ht="15.75" customHeight="1">
      <c r="A4157" s="7" t="s">
        <v>7847</v>
      </c>
      <c r="B4157" s="4" t="s">
        <v>7848</v>
      </c>
      <c r="C4157" s="5" t="s">
        <v>16</v>
      </c>
      <c r="D4157" s="6" t="s">
        <v>7844</v>
      </c>
      <c r="E4157" s="6"/>
      <c r="F4157" s="6" t="b">
        <f t="shared" si="1"/>
        <v>0</v>
      </c>
    </row>
    <row r="4158" ht="15.75" customHeight="1">
      <c r="A4158" s="7" t="s">
        <v>7849</v>
      </c>
      <c r="B4158" s="4" t="s">
        <v>7850</v>
      </c>
      <c r="C4158" s="5" t="s">
        <v>16</v>
      </c>
      <c r="D4158" s="6" t="s">
        <v>7844</v>
      </c>
      <c r="E4158" s="6"/>
      <c r="F4158" s="6" t="b">
        <f t="shared" si="1"/>
        <v>0</v>
      </c>
    </row>
    <row r="4159" ht="15.75" customHeight="1">
      <c r="A4159" s="7" t="s">
        <v>7851</v>
      </c>
      <c r="B4159" s="4" t="s">
        <v>7852</v>
      </c>
      <c r="C4159" s="5" t="s">
        <v>16</v>
      </c>
      <c r="D4159" s="6" t="s">
        <v>7853</v>
      </c>
      <c r="E4159" s="6"/>
      <c r="F4159" s="6" t="b">
        <f t="shared" si="1"/>
        <v>0</v>
      </c>
    </row>
    <row r="4160" ht="15.75" customHeight="1">
      <c r="A4160" s="7" t="s">
        <v>7854</v>
      </c>
      <c r="B4160" s="4" t="s">
        <v>7855</v>
      </c>
      <c r="C4160" s="5" t="s">
        <v>16</v>
      </c>
      <c r="D4160" s="6" t="s">
        <v>5135</v>
      </c>
      <c r="E4160" s="6"/>
      <c r="F4160" s="6" t="b">
        <f t="shared" si="1"/>
        <v>0</v>
      </c>
    </row>
    <row r="4161" ht="15.75" customHeight="1">
      <c r="A4161" s="7" t="s">
        <v>7856</v>
      </c>
      <c r="B4161" s="4" t="s">
        <v>7857</v>
      </c>
      <c r="C4161" s="5" t="s">
        <v>16</v>
      </c>
      <c r="D4161" s="6" t="s">
        <v>5135</v>
      </c>
      <c r="E4161" s="6"/>
      <c r="F4161" s="6" t="b">
        <f t="shared" si="1"/>
        <v>0</v>
      </c>
    </row>
    <row r="4162" ht="15.75" customHeight="1">
      <c r="A4162" s="7" t="s">
        <v>7858</v>
      </c>
      <c r="B4162" s="4" t="s">
        <v>7859</v>
      </c>
      <c r="C4162" s="5" t="s">
        <v>16</v>
      </c>
      <c r="D4162" s="6" t="s">
        <v>7860</v>
      </c>
      <c r="E4162" s="6"/>
      <c r="F4162" s="6" t="b">
        <f t="shared" si="1"/>
        <v>0</v>
      </c>
    </row>
    <row r="4163" ht="15.75" customHeight="1">
      <c r="A4163" s="7" t="s">
        <v>7861</v>
      </c>
      <c r="B4163" s="4" t="s">
        <v>7862</v>
      </c>
      <c r="C4163" s="5" t="s">
        <v>16</v>
      </c>
      <c r="D4163" s="6" t="s">
        <v>7860</v>
      </c>
      <c r="E4163" s="6"/>
      <c r="F4163" s="6" t="b">
        <f t="shared" si="1"/>
        <v>0</v>
      </c>
    </row>
    <row r="4164" ht="15.75" customHeight="1">
      <c r="A4164" s="7" t="s">
        <v>7863</v>
      </c>
      <c r="B4164" s="4" t="s">
        <v>7864</v>
      </c>
      <c r="C4164" s="5" t="s">
        <v>16</v>
      </c>
      <c r="D4164" s="6" t="s">
        <v>5147</v>
      </c>
      <c r="E4164" s="6"/>
      <c r="F4164" s="6" t="b">
        <f t="shared" si="1"/>
        <v>0</v>
      </c>
    </row>
    <row r="4165" ht="15.75" customHeight="1">
      <c r="A4165" s="7" t="s">
        <v>7865</v>
      </c>
      <c r="B4165" s="4" t="s">
        <v>7866</v>
      </c>
      <c r="C4165" s="5" t="s">
        <v>16</v>
      </c>
      <c r="D4165" s="6" t="s">
        <v>5147</v>
      </c>
      <c r="E4165" s="6"/>
      <c r="F4165" s="6" t="b">
        <f t="shared" si="1"/>
        <v>0</v>
      </c>
    </row>
    <row r="4166" ht="15.75" customHeight="1">
      <c r="A4166" s="7" t="s">
        <v>7867</v>
      </c>
      <c r="B4166" s="4" t="s">
        <v>7868</v>
      </c>
      <c r="C4166" s="5" t="s">
        <v>16</v>
      </c>
      <c r="D4166" s="6" t="s">
        <v>5147</v>
      </c>
      <c r="E4166" s="6"/>
      <c r="F4166" s="6" t="b">
        <f t="shared" si="1"/>
        <v>0</v>
      </c>
    </row>
    <row r="4167" ht="15.75" customHeight="1">
      <c r="A4167" s="7" t="s">
        <v>7869</v>
      </c>
      <c r="B4167" s="4" t="s">
        <v>7870</v>
      </c>
      <c r="C4167" s="5" t="s">
        <v>16</v>
      </c>
      <c r="D4167" s="6" t="s">
        <v>5147</v>
      </c>
      <c r="E4167" s="6"/>
      <c r="F4167" s="6" t="b">
        <f t="shared" si="1"/>
        <v>0</v>
      </c>
    </row>
    <row r="4168" ht="15.75" customHeight="1">
      <c r="A4168" s="7" t="s">
        <v>7871</v>
      </c>
      <c r="B4168" s="4" t="s">
        <v>7872</v>
      </c>
      <c r="C4168" s="5" t="s">
        <v>16</v>
      </c>
      <c r="D4168" s="6" t="s">
        <v>2560</v>
      </c>
      <c r="E4168" s="6"/>
      <c r="F4168" s="6" t="b">
        <f t="shared" si="1"/>
        <v>0</v>
      </c>
    </row>
    <row r="4169" ht="15.75" customHeight="1">
      <c r="A4169" s="7" t="s">
        <v>7873</v>
      </c>
      <c r="B4169" s="4" t="s">
        <v>7874</v>
      </c>
      <c r="C4169" s="5" t="s">
        <v>16</v>
      </c>
      <c r="D4169" s="6" t="s">
        <v>5150</v>
      </c>
      <c r="E4169" s="6"/>
      <c r="F4169" s="6" t="b">
        <f t="shared" si="1"/>
        <v>0</v>
      </c>
    </row>
    <row r="4170" ht="15.75" customHeight="1">
      <c r="A4170" s="12" t="s">
        <v>7875</v>
      </c>
      <c r="B4170" s="4" t="s">
        <v>7876</v>
      </c>
      <c r="C4170" s="5" t="s">
        <v>5466</v>
      </c>
      <c r="D4170" s="5"/>
      <c r="E4170" s="6"/>
      <c r="F4170" s="6" t="b">
        <f t="shared" si="1"/>
        <v>0</v>
      </c>
    </row>
    <row r="4171" ht="15.75" customHeight="1">
      <c r="A4171" s="10" t="s">
        <v>7877</v>
      </c>
      <c r="B4171" s="11"/>
      <c r="C4171" s="5"/>
      <c r="D4171" s="8" t="s">
        <v>5535</v>
      </c>
      <c r="E4171" s="6"/>
      <c r="F4171" s="6" t="b">
        <f t="shared" si="1"/>
        <v>0</v>
      </c>
    </row>
    <row r="4172" ht="15.75" customHeight="1">
      <c r="A4172" s="7" t="s">
        <v>7878</v>
      </c>
      <c r="B4172" s="4" t="s">
        <v>7879</v>
      </c>
      <c r="C4172" s="5" t="s">
        <v>16</v>
      </c>
      <c r="D4172" s="6" t="s">
        <v>5150</v>
      </c>
      <c r="E4172" s="6"/>
      <c r="F4172" s="6" t="b">
        <f t="shared" si="1"/>
        <v>0</v>
      </c>
    </row>
    <row r="4173" ht="15.75" customHeight="1">
      <c r="A4173" s="7" t="s">
        <v>7880</v>
      </c>
      <c r="B4173" s="4" t="s">
        <v>7881</v>
      </c>
      <c r="C4173" s="5" t="s">
        <v>16</v>
      </c>
      <c r="D4173" s="6" t="s">
        <v>5150</v>
      </c>
      <c r="E4173" s="6"/>
      <c r="F4173" s="6" t="b">
        <f t="shared" si="1"/>
        <v>0</v>
      </c>
    </row>
    <row r="4174" ht="15.75" customHeight="1">
      <c r="A4174" s="7" t="s">
        <v>7882</v>
      </c>
      <c r="B4174" s="4" t="s">
        <v>7883</v>
      </c>
      <c r="C4174" s="5" t="s">
        <v>16</v>
      </c>
      <c r="D4174" s="6" t="s">
        <v>7884</v>
      </c>
      <c r="E4174" s="6"/>
      <c r="F4174" s="6" t="b">
        <f t="shared" si="1"/>
        <v>0</v>
      </c>
    </row>
    <row r="4175" ht="15.75" customHeight="1">
      <c r="A4175" s="7" t="s">
        <v>7885</v>
      </c>
      <c r="B4175" s="4" t="s">
        <v>7886</v>
      </c>
      <c r="C4175" s="5" t="s">
        <v>16</v>
      </c>
      <c r="D4175" s="6" t="s">
        <v>6771</v>
      </c>
      <c r="E4175" s="6"/>
      <c r="F4175" s="6" t="b">
        <f t="shared" si="1"/>
        <v>0</v>
      </c>
    </row>
    <row r="4176" ht="15.75" customHeight="1">
      <c r="A4176" s="7" t="s">
        <v>7887</v>
      </c>
      <c r="B4176" s="4" t="s">
        <v>7888</v>
      </c>
      <c r="C4176" s="5" t="s">
        <v>16</v>
      </c>
      <c r="D4176" s="6" t="s">
        <v>211</v>
      </c>
      <c r="E4176" s="6"/>
      <c r="F4176" s="6" t="b">
        <f t="shared" si="1"/>
        <v>0</v>
      </c>
    </row>
    <row r="4177" ht="15.75" customHeight="1">
      <c r="A4177" s="7" t="s">
        <v>7889</v>
      </c>
      <c r="B4177" s="4" t="s">
        <v>7890</v>
      </c>
      <c r="C4177" s="5" t="s">
        <v>6</v>
      </c>
      <c r="D4177" s="6" t="s">
        <v>547</v>
      </c>
      <c r="E4177" s="6"/>
      <c r="F4177" s="6" t="b">
        <f t="shared" si="1"/>
        <v>0</v>
      </c>
    </row>
    <row r="4178" ht="15.75" customHeight="1">
      <c r="A4178" s="3" t="s">
        <v>7891</v>
      </c>
      <c r="B4178" s="4"/>
      <c r="C4178" s="5"/>
      <c r="D4178" s="5"/>
      <c r="E4178" s="6"/>
      <c r="F4178" s="6" t="b">
        <f t="shared" si="1"/>
        <v>0</v>
      </c>
    </row>
    <row r="4179" ht="15.75" customHeight="1">
      <c r="A4179" s="3" t="s">
        <v>7892</v>
      </c>
      <c r="B4179" s="4"/>
      <c r="C4179" s="5"/>
      <c r="D4179" s="5"/>
      <c r="E4179" s="6"/>
      <c r="F4179" s="6" t="b">
        <f t="shared" si="1"/>
        <v>0</v>
      </c>
    </row>
    <row r="4180" ht="15.75" customHeight="1">
      <c r="A4180" s="3" t="s">
        <v>7893</v>
      </c>
      <c r="B4180" s="4"/>
      <c r="C4180" s="5"/>
      <c r="D4180" s="5"/>
      <c r="E4180" s="6"/>
      <c r="F4180" s="6" t="b">
        <f t="shared" si="1"/>
        <v>0</v>
      </c>
    </row>
    <row r="4181" ht="15.75" customHeight="1">
      <c r="A4181" s="10" t="s">
        <v>7894</v>
      </c>
      <c r="B4181" s="11"/>
      <c r="C4181" s="5"/>
      <c r="D4181" s="8"/>
      <c r="E4181" s="6"/>
      <c r="F4181" s="6" t="b">
        <f t="shared" si="1"/>
        <v>0</v>
      </c>
    </row>
    <row r="4182" ht="15.75" customHeight="1">
      <c r="A4182" s="7" t="s">
        <v>7895</v>
      </c>
      <c r="B4182" s="11"/>
      <c r="C4182" s="5"/>
      <c r="D4182" s="5"/>
      <c r="E4182" s="6"/>
      <c r="F4182" s="6" t="b">
        <f t="shared" si="1"/>
        <v>0</v>
      </c>
    </row>
    <row r="4183" ht="15.75" customHeight="1">
      <c r="A4183" s="7" t="s">
        <v>7896</v>
      </c>
      <c r="B4183" s="11"/>
      <c r="C4183" s="5"/>
      <c r="D4183" s="5"/>
      <c r="E4183" s="6"/>
      <c r="F4183" s="6" t="b">
        <f t="shared" si="1"/>
        <v>0</v>
      </c>
    </row>
    <row r="4184" ht="15.75" customHeight="1">
      <c r="A4184" s="7" t="s">
        <v>7897</v>
      </c>
      <c r="B4184" s="4" t="s">
        <v>7898</v>
      </c>
      <c r="C4184" s="5" t="s">
        <v>6</v>
      </c>
      <c r="D4184" s="6" t="s">
        <v>6897</v>
      </c>
      <c r="E4184" s="6"/>
      <c r="F4184" s="6" t="b">
        <f t="shared" si="1"/>
        <v>0</v>
      </c>
    </row>
    <row r="4185" ht="15.75" customHeight="1">
      <c r="A4185" s="3" t="s">
        <v>7899</v>
      </c>
      <c r="B4185" s="4"/>
      <c r="C4185" s="5"/>
      <c r="D4185" s="5"/>
      <c r="E4185" s="6"/>
      <c r="F4185" s="6" t="b">
        <f t="shared" si="1"/>
        <v>0</v>
      </c>
    </row>
    <row r="4186" ht="15.75" customHeight="1">
      <c r="A4186" s="7" t="s">
        <v>7900</v>
      </c>
      <c r="B4186" s="4" t="s">
        <v>7901</v>
      </c>
      <c r="C4186" s="5" t="s">
        <v>6</v>
      </c>
      <c r="D4186" s="6" t="s">
        <v>5640</v>
      </c>
      <c r="E4186" s="6"/>
      <c r="F4186" s="6" t="b">
        <f t="shared" si="1"/>
        <v>0</v>
      </c>
    </row>
    <row r="4187" ht="15.75" customHeight="1">
      <c r="A4187" s="7" t="s">
        <v>7902</v>
      </c>
      <c r="B4187" s="4" t="s">
        <v>7903</v>
      </c>
      <c r="C4187" s="5" t="s">
        <v>6</v>
      </c>
      <c r="D4187" s="6" t="s">
        <v>5640</v>
      </c>
      <c r="E4187" s="6"/>
      <c r="F4187" s="6" t="b">
        <f t="shared" si="1"/>
        <v>0</v>
      </c>
    </row>
    <row r="4188" ht="15.75" customHeight="1">
      <c r="A4188" s="7" t="s">
        <v>7904</v>
      </c>
      <c r="B4188" s="4" t="s">
        <v>7905</v>
      </c>
      <c r="C4188" s="5" t="s">
        <v>6</v>
      </c>
      <c r="D4188" s="6" t="s">
        <v>969</v>
      </c>
      <c r="E4188" s="6"/>
      <c r="F4188" s="6" t="b">
        <f t="shared" si="1"/>
        <v>0</v>
      </c>
    </row>
    <row r="4189" ht="15.75" customHeight="1">
      <c r="A4189" s="7" t="s">
        <v>7906</v>
      </c>
      <c r="B4189" s="4" t="s">
        <v>7907</v>
      </c>
      <c r="C4189" s="5" t="s">
        <v>6</v>
      </c>
      <c r="D4189" s="6" t="s">
        <v>154</v>
      </c>
      <c r="E4189" s="6"/>
      <c r="F4189" s="6" t="b">
        <f t="shared" si="1"/>
        <v>0</v>
      </c>
    </row>
    <row r="4190" ht="15.75" customHeight="1">
      <c r="A4190" s="3" t="s">
        <v>7908</v>
      </c>
      <c r="B4190" s="4"/>
      <c r="C4190" s="5"/>
      <c r="D4190" s="5"/>
      <c r="E4190" s="6"/>
      <c r="F4190" s="6" t="b">
        <f t="shared" si="1"/>
        <v>0</v>
      </c>
    </row>
    <row r="4191" ht="15.75" customHeight="1">
      <c r="A4191" s="7" t="s">
        <v>7909</v>
      </c>
      <c r="B4191" s="11"/>
      <c r="C4191" s="5"/>
      <c r="D4191" s="5"/>
      <c r="E4191" s="6"/>
      <c r="F4191" s="6" t="b">
        <f t="shared" si="1"/>
        <v>0</v>
      </c>
    </row>
    <row r="4192" ht="15.75" customHeight="1">
      <c r="A4192" s="7" t="s">
        <v>7910</v>
      </c>
      <c r="B4192" s="4" t="s">
        <v>7911</v>
      </c>
      <c r="C4192" s="5" t="s">
        <v>6</v>
      </c>
      <c r="D4192" s="6" t="s">
        <v>307</v>
      </c>
      <c r="E4192" s="6"/>
      <c r="F4192" s="6" t="b">
        <f t="shared" si="1"/>
        <v>0</v>
      </c>
    </row>
    <row r="4193" ht="15.75" customHeight="1">
      <c r="A4193" s="10" t="s">
        <v>7912</v>
      </c>
      <c r="B4193" s="11"/>
      <c r="C4193" s="5"/>
      <c r="D4193" s="8"/>
      <c r="E4193" s="6"/>
      <c r="F4193" s="6" t="b">
        <f t="shared" si="1"/>
        <v>0</v>
      </c>
    </row>
    <row r="4194" ht="15.75" customHeight="1">
      <c r="A4194" s="7" t="s">
        <v>7913</v>
      </c>
      <c r="B4194" s="4" t="s">
        <v>7914</v>
      </c>
      <c r="C4194" s="5" t="s">
        <v>6</v>
      </c>
      <c r="D4194" s="6" t="s">
        <v>7915</v>
      </c>
      <c r="E4194" s="6"/>
      <c r="F4194" s="6" t="b">
        <f t="shared" si="1"/>
        <v>0</v>
      </c>
    </row>
    <row r="4195" ht="15.75" customHeight="1">
      <c r="A4195" s="7" t="s">
        <v>7916</v>
      </c>
      <c r="B4195" s="4" t="s">
        <v>7917</v>
      </c>
      <c r="C4195" s="5" t="s">
        <v>6</v>
      </c>
      <c r="D4195" s="6" t="s">
        <v>1513</v>
      </c>
      <c r="E4195" s="6"/>
      <c r="F4195" s="6" t="b">
        <f t="shared" si="1"/>
        <v>0</v>
      </c>
    </row>
    <row r="4196" ht="15.75" customHeight="1">
      <c r="A4196" s="7" t="s">
        <v>7918</v>
      </c>
      <c r="B4196" s="4" t="s">
        <v>7919</v>
      </c>
      <c r="C4196" s="5" t="s">
        <v>16</v>
      </c>
      <c r="D4196" s="6" t="s">
        <v>7920</v>
      </c>
      <c r="E4196" s="6"/>
      <c r="F4196" s="6" t="b">
        <f t="shared" si="1"/>
        <v>0</v>
      </c>
    </row>
    <row r="4197" ht="15.75" customHeight="1">
      <c r="A4197" s="3" t="s">
        <v>7921</v>
      </c>
      <c r="B4197" s="4"/>
      <c r="C4197" s="5"/>
      <c r="D4197" s="5"/>
      <c r="E4197" s="6"/>
      <c r="F4197" s="6" t="b">
        <f t="shared" si="1"/>
        <v>0</v>
      </c>
    </row>
    <row r="4198" ht="15.75" customHeight="1">
      <c r="A4198" s="10" t="s">
        <v>7922</v>
      </c>
      <c r="B4198" s="11"/>
      <c r="C4198" s="5"/>
      <c r="D4198" s="8"/>
      <c r="E4198" s="6"/>
      <c r="F4198" s="6" t="b">
        <f t="shared" si="1"/>
        <v>0</v>
      </c>
    </row>
    <row r="4199" ht="15.75" customHeight="1">
      <c r="A4199" s="3" t="s">
        <v>7923</v>
      </c>
      <c r="B4199" s="4"/>
      <c r="C4199" s="5"/>
      <c r="D4199" s="5"/>
      <c r="E4199" s="6"/>
      <c r="F4199" s="6" t="b">
        <f t="shared" si="1"/>
        <v>0</v>
      </c>
    </row>
    <row r="4200" ht="15.75" customHeight="1">
      <c r="A4200" s="3" t="s">
        <v>7924</v>
      </c>
      <c r="B4200" s="4"/>
      <c r="C4200" s="5"/>
      <c r="D4200" s="5"/>
      <c r="E4200" s="6"/>
      <c r="F4200" s="6" t="b">
        <f t="shared" si="1"/>
        <v>0</v>
      </c>
    </row>
    <row r="4201" ht="15.75" customHeight="1">
      <c r="A4201" s="3" t="s">
        <v>7925</v>
      </c>
      <c r="B4201" s="4"/>
      <c r="C4201" s="5"/>
      <c r="D4201" s="5"/>
      <c r="E4201" s="6"/>
      <c r="F4201" s="6" t="b">
        <f t="shared" si="1"/>
        <v>0</v>
      </c>
    </row>
    <row r="4202" ht="15.75" customHeight="1">
      <c r="A4202" s="3" t="s">
        <v>7926</v>
      </c>
      <c r="B4202" s="4"/>
      <c r="C4202" s="5"/>
      <c r="D4202" s="5"/>
      <c r="E4202" s="6"/>
      <c r="F4202" s="6" t="b">
        <f t="shared" si="1"/>
        <v>0</v>
      </c>
    </row>
    <row r="4203" ht="15.75" customHeight="1">
      <c r="A4203" s="3" t="s">
        <v>7927</v>
      </c>
      <c r="B4203" s="4"/>
      <c r="C4203" s="5"/>
      <c r="D4203" s="5"/>
      <c r="E4203" s="6"/>
      <c r="F4203" s="6" t="b">
        <f t="shared" si="1"/>
        <v>0</v>
      </c>
    </row>
    <row r="4204" ht="15.75" customHeight="1">
      <c r="A4204" s="3" t="s">
        <v>7928</v>
      </c>
      <c r="B4204" s="4"/>
      <c r="C4204" s="5"/>
      <c r="D4204" s="5"/>
      <c r="E4204" s="6"/>
      <c r="F4204" s="6" t="b">
        <f t="shared" si="1"/>
        <v>0</v>
      </c>
    </row>
    <row r="4205" ht="15.75" customHeight="1">
      <c r="A4205" s="3" t="s">
        <v>7929</v>
      </c>
      <c r="B4205" s="4"/>
      <c r="C4205" s="5"/>
      <c r="D4205" s="5"/>
      <c r="E4205" s="6"/>
      <c r="F4205" s="6" t="b">
        <f t="shared" si="1"/>
        <v>0</v>
      </c>
    </row>
    <row r="4206" ht="15.75" customHeight="1">
      <c r="A4206" s="3" t="s">
        <v>7930</v>
      </c>
      <c r="B4206" s="4"/>
      <c r="C4206" s="5"/>
      <c r="D4206" s="5"/>
      <c r="E4206" s="6"/>
      <c r="F4206" s="6" t="b">
        <f t="shared" si="1"/>
        <v>0</v>
      </c>
    </row>
    <row r="4207" ht="15.75" customHeight="1">
      <c r="A4207" s="3" t="s">
        <v>7931</v>
      </c>
      <c r="B4207" s="4"/>
      <c r="C4207" s="5"/>
      <c r="D4207" s="5"/>
      <c r="E4207" s="6"/>
      <c r="F4207" s="6" t="b">
        <f t="shared" si="1"/>
        <v>0</v>
      </c>
    </row>
    <row r="4208" ht="15.75" customHeight="1">
      <c r="A4208" s="3" t="s">
        <v>7932</v>
      </c>
      <c r="B4208" s="4"/>
      <c r="C4208" s="5"/>
      <c r="D4208" s="5"/>
      <c r="E4208" s="6"/>
      <c r="F4208" s="6" t="b">
        <f t="shared" si="1"/>
        <v>0</v>
      </c>
    </row>
    <row r="4209" ht="15.75" customHeight="1">
      <c r="A4209" s="10" t="s">
        <v>7933</v>
      </c>
      <c r="B4209" s="11"/>
      <c r="C4209" s="5"/>
      <c r="D4209" s="8"/>
      <c r="E4209" s="6"/>
      <c r="F4209" s="6" t="b">
        <f t="shared" si="1"/>
        <v>0</v>
      </c>
    </row>
    <row r="4210" ht="15.75" customHeight="1">
      <c r="A4210" s="3" t="s">
        <v>7934</v>
      </c>
      <c r="B4210" s="4"/>
      <c r="C4210" s="5"/>
      <c r="D4210" s="5"/>
      <c r="E4210" s="6"/>
      <c r="F4210" s="6" t="b">
        <f t="shared" si="1"/>
        <v>0</v>
      </c>
    </row>
    <row r="4211" ht="15.75" customHeight="1">
      <c r="A4211" s="7" t="s">
        <v>7935</v>
      </c>
      <c r="B4211" s="4" t="s">
        <v>7936</v>
      </c>
      <c r="C4211" s="5" t="s">
        <v>16</v>
      </c>
      <c r="D4211" s="6" t="s">
        <v>7937</v>
      </c>
      <c r="E4211" s="6"/>
      <c r="F4211" s="6" t="b">
        <f t="shared" si="1"/>
        <v>0</v>
      </c>
    </row>
    <row r="4212" ht="15.75" customHeight="1">
      <c r="A4212" s="10" t="s">
        <v>7938</v>
      </c>
      <c r="B4212" s="11"/>
      <c r="C4212" s="5"/>
      <c r="D4212" s="8"/>
      <c r="E4212" s="6"/>
      <c r="F4212" s="6" t="b">
        <f t="shared" si="1"/>
        <v>0</v>
      </c>
    </row>
    <row r="4213" ht="15.75" customHeight="1">
      <c r="A4213" s="10" t="s">
        <v>7939</v>
      </c>
      <c r="B4213" s="11"/>
      <c r="C4213" s="5"/>
      <c r="D4213" s="8"/>
      <c r="E4213" s="6"/>
      <c r="F4213" s="6" t="b">
        <f t="shared" si="1"/>
        <v>0</v>
      </c>
    </row>
    <row r="4214" ht="15.75" customHeight="1">
      <c r="A4214" s="10" t="s">
        <v>7940</v>
      </c>
      <c r="B4214" s="11"/>
      <c r="C4214" s="5"/>
      <c r="D4214" s="8"/>
      <c r="E4214" s="6"/>
      <c r="F4214" s="6" t="b">
        <f t="shared" si="1"/>
        <v>0</v>
      </c>
    </row>
    <row r="4215" ht="15.75" customHeight="1">
      <c r="A4215" s="7" t="s">
        <v>7941</v>
      </c>
      <c r="B4215" s="4" t="s">
        <v>7942</v>
      </c>
      <c r="C4215" s="5" t="s">
        <v>6</v>
      </c>
      <c r="D4215" s="6" t="s">
        <v>7943</v>
      </c>
      <c r="E4215" s="6"/>
      <c r="F4215" s="6" t="b">
        <f t="shared" si="1"/>
        <v>0</v>
      </c>
    </row>
    <row r="4216" ht="15.75" customHeight="1">
      <c r="A4216" s="7" t="s">
        <v>7944</v>
      </c>
      <c r="B4216" s="4" t="s">
        <v>7945</v>
      </c>
      <c r="C4216" s="5" t="s">
        <v>6</v>
      </c>
      <c r="D4216" s="6" t="s">
        <v>7943</v>
      </c>
      <c r="E4216" s="6"/>
      <c r="F4216" s="6" t="b">
        <f t="shared" si="1"/>
        <v>0</v>
      </c>
    </row>
    <row r="4217" ht="15.75" customHeight="1">
      <c r="A4217" s="7" t="s">
        <v>7946</v>
      </c>
      <c r="B4217" s="4" t="s">
        <v>7947</v>
      </c>
      <c r="C4217" s="5" t="s">
        <v>6</v>
      </c>
      <c r="D4217" s="6" t="s">
        <v>7943</v>
      </c>
      <c r="E4217" s="6"/>
      <c r="F4217" s="6" t="b">
        <f t="shared" si="1"/>
        <v>0</v>
      </c>
    </row>
    <row r="4218" ht="15.75" customHeight="1">
      <c r="A4218" s="7" t="s">
        <v>7948</v>
      </c>
      <c r="B4218" s="4" t="s">
        <v>7949</v>
      </c>
      <c r="C4218" s="5" t="s">
        <v>6</v>
      </c>
      <c r="D4218" s="6" t="s">
        <v>7943</v>
      </c>
      <c r="E4218" s="6"/>
      <c r="F4218" s="6" t="b">
        <f t="shared" si="1"/>
        <v>0</v>
      </c>
    </row>
    <row r="4219" ht="15.75" customHeight="1">
      <c r="A4219" s="7" t="s">
        <v>7950</v>
      </c>
      <c r="B4219" s="4" t="s">
        <v>7951</v>
      </c>
      <c r="C4219" s="5" t="s">
        <v>6</v>
      </c>
      <c r="D4219" s="6" t="s">
        <v>7943</v>
      </c>
      <c r="E4219" s="6"/>
      <c r="F4219" s="6" t="b">
        <f t="shared" si="1"/>
        <v>0</v>
      </c>
    </row>
    <row r="4220" ht="15.75" customHeight="1">
      <c r="A4220" s="7" t="s">
        <v>7952</v>
      </c>
      <c r="B4220" s="4" t="s">
        <v>7953</v>
      </c>
      <c r="C4220" s="5" t="s">
        <v>16</v>
      </c>
      <c r="D4220" s="6" t="s">
        <v>7954</v>
      </c>
      <c r="E4220" s="6"/>
      <c r="F4220" s="6" t="b">
        <f t="shared" si="1"/>
        <v>0</v>
      </c>
    </row>
    <row r="4221" ht="15.75" customHeight="1">
      <c r="A4221" s="7" t="s">
        <v>7955</v>
      </c>
      <c r="B4221" s="4" t="s">
        <v>7956</v>
      </c>
      <c r="C4221" s="5" t="s">
        <v>16</v>
      </c>
      <c r="D4221" s="6" t="s">
        <v>7957</v>
      </c>
      <c r="E4221" s="6"/>
      <c r="F4221" s="6" t="b">
        <f t="shared" si="1"/>
        <v>0</v>
      </c>
    </row>
    <row r="4222" ht="15.75" customHeight="1">
      <c r="A4222" s="3" t="s">
        <v>7958</v>
      </c>
      <c r="B4222" s="4"/>
      <c r="C4222" s="5"/>
      <c r="D4222" s="5"/>
      <c r="E4222" s="6"/>
      <c r="F4222" s="6" t="b">
        <f t="shared" si="1"/>
        <v>0</v>
      </c>
    </row>
    <row r="4223" ht="15.75" customHeight="1">
      <c r="A4223" s="3" t="s">
        <v>7959</v>
      </c>
      <c r="B4223" s="4"/>
      <c r="C4223" s="5"/>
      <c r="D4223" s="5"/>
      <c r="E4223" s="6"/>
      <c r="F4223" s="6" t="b">
        <f t="shared" si="1"/>
        <v>0</v>
      </c>
    </row>
    <row r="4224" ht="15.75" customHeight="1">
      <c r="A4224" s="3" t="s">
        <v>7960</v>
      </c>
      <c r="B4224" s="4"/>
      <c r="C4224" s="5"/>
      <c r="D4224" s="5"/>
      <c r="E4224" s="6"/>
      <c r="F4224" s="6" t="b">
        <f t="shared" si="1"/>
        <v>0</v>
      </c>
    </row>
    <row r="4225" ht="15.75" customHeight="1">
      <c r="A4225" s="7" t="s">
        <v>7961</v>
      </c>
      <c r="B4225" s="4" t="s">
        <v>7962</v>
      </c>
      <c r="C4225" s="5" t="s">
        <v>16</v>
      </c>
      <c r="D4225" s="6" t="s">
        <v>17</v>
      </c>
      <c r="E4225" s="6"/>
      <c r="F4225" s="6" t="b">
        <f t="shared" si="1"/>
        <v>0</v>
      </c>
    </row>
    <row r="4226" ht="15.75" customHeight="1">
      <c r="A4226" s="7" t="s">
        <v>7963</v>
      </c>
      <c r="B4226" s="4" t="s">
        <v>7964</v>
      </c>
      <c r="C4226" s="5" t="s">
        <v>16</v>
      </c>
      <c r="D4226" s="6" t="s">
        <v>17</v>
      </c>
      <c r="E4226" s="6"/>
      <c r="F4226" s="6" t="b">
        <f t="shared" si="1"/>
        <v>0</v>
      </c>
    </row>
    <row r="4227" ht="15.75" customHeight="1">
      <c r="A4227" s="7" t="s">
        <v>7965</v>
      </c>
      <c r="B4227" s="4" t="s">
        <v>7966</v>
      </c>
      <c r="C4227" s="5" t="s">
        <v>16</v>
      </c>
      <c r="D4227" s="6" t="s">
        <v>17</v>
      </c>
      <c r="E4227" s="6"/>
      <c r="F4227" s="6" t="b">
        <f t="shared" si="1"/>
        <v>0</v>
      </c>
    </row>
    <row r="4228" ht="15.75" customHeight="1">
      <c r="A4228" s="7" t="s">
        <v>7967</v>
      </c>
      <c r="B4228" s="4" t="s">
        <v>7968</v>
      </c>
      <c r="C4228" s="5" t="s">
        <v>16</v>
      </c>
      <c r="D4228" s="6" t="s">
        <v>17</v>
      </c>
      <c r="E4228" s="6"/>
      <c r="F4228" s="6" t="b">
        <f t="shared" si="1"/>
        <v>0</v>
      </c>
    </row>
    <row r="4229" ht="15.75" customHeight="1">
      <c r="A4229" s="7" t="s">
        <v>7969</v>
      </c>
      <c r="B4229" s="4" t="s">
        <v>7970</v>
      </c>
      <c r="C4229" s="5" t="s">
        <v>16</v>
      </c>
      <c r="D4229" s="6" t="s">
        <v>17</v>
      </c>
      <c r="E4229" s="6"/>
      <c r="F4229" s="6" t="b">
        <f t="shared" si="1"/>
        <v>0</v>
      </c>
    </row>
    <row r="4230" ht="15.75" customHeight="1">
      <c r="A4230" s="7" t="s">
        <v>7971</v>
      </c>
      <c r="B4230" s="4" t="s">
        <v>7972</v>
      </c>
      <c r="C4230" s="5" t="s">
        <v>16</v>
      </c>
      <c r="D4230" s="6" t="s">
        <v>7973</v>
      </c>
      <c r="E4230" s="6"/>
      <c r="F4230" s="6" t="b">
        <f t="shared" si="1"/>
        <v>0</v>
      </c>
    </row>
    <row r="4231" ht="15.75" customHeight="1">
      <c r="A4231" s="7" t="s">
        <v>7974</v>
      </c>
      <c r="B4231" s="4" t="s">
        <v>7975</v>
      </c>
      <c r="C4231" s="5" t="s">
        <v>16</v>
      </c>
      <c r="D4231" s="6" t="s">
        <v>5224</v>
      </c>
      <c r="E4231" s="6"/>
      <c r="F4231" s="6" t="b">
        <f t="shared" si="1"/>
        <v>0</v>
      </c>
    </row>
    <row r="4232" ht="15.75" customHeight="1">
      <c r="A4232" s="7" t="s">
        <v>7976</v>
      </c>
      <c r="B4232" s="4" t="s">
        <v>7977</v>
      </c>
      <c r="C4232" s="5" t="s">
        <v>16</v>
      </c>
      <c r="D4232" s="6" t="s">
        <v>5224</v>
      </c>
      <c r="E4232" s="6"/>
      <c r="F4232" s="6" t="b">
        <f t="shared" si="1"/>
        <v>0</v>
      </c>
    </row>
    <row r="4233" ht="15.75" customHeight="1">
      <c r="A4233" s="7" t="s">
        <v>7978</v>
      </c>
      <c r="B4233" s="4" t="s">
        <v>7979</v>
      </c>
      <c r="C4233" s="5" t="s">
        <v>16</v>
      </c>
      <c r="D4233" s="6" t="s">
        <v>5224</v>
      </c>
      <c r="E4233" s="6"/>
      <c r="F4233" s="6" t="b">
        <f t="shared" si="1"/>
        <v>0</v>
      </c>
    </row>
    <row r="4234" ht="15.75" customHeight="1">
      <c r="A4234" s="3" t="s">
        <v>7980</v>
      </c>
      <c r="B4234" s="4"/>
      <c r="C4234" s="5"/>
      <c r="D4234" s="5"/>
      <c r="E4234" s="6"/>
      <c r="F4234" s="6" t="b">
        <f t="shared" si="1"/>
        <v>0</v>
      </c>
    </row>
    <row r="4235" ht="15.75" customHeight="1">
      <c r="A4235" s="7" t="s">
        <v>7981</v>
      </c>
      <c r="B4235" s="4" t="s">
        <v>7982</v>
      </c>
      <c r="C4235" s="5" t="s">
        <v>16</v>
      </c>
      <c r="D4235" s="6" t="s">
        <v>5229</v>
      </c>
      <c r="E4235" s="6"/>
      <c r="F4235" s="6" t="b">
        <f t="shared" si="1"/>
        <v>0</v>
      </c>
    </row>
    <row r="4236" ht="15.75" customHeight="1">
      <c r="A4236" s="7" t="s">
        <v>7983</v>
      </c>
      <c r="B4236" s="4" t="s">
        <v>7984</v>
      </c>
      <c r="C4236" s="5" t="s">
        <v>16</v>
      </c>
      <c r="D4236" s="6" t="s">
        <v>1916</v>
      </c>
      <c r="E4236" s="6"/>
      <c r="F4236" s="6" t="b">
        <f t="shared" si="1"/>
        <v>0</v>
      </c>
    </row>
    <row r="4237" ht="15.75" customHeight="1">
      <c r="A4237" s="7" t="s">
        <v>7985</v>
      </c>
      <c r="B4237" s="4" t="s">
        <v>7986</v>
      </c>
      <c r="C4237" s="5" t="s">
        <v>16</v>
      </c>
      <c r="D4237" s="6" t="s">
        <v>1916</v>
      </c>
      <c r="E4237" s="6"/>
      <c r="F4237" s="6" t="b">
        <f t="shared" si="1"/>
        <v>0</v>
      </c>
    </row>
    <row r="4238" ht="15.75" customHeight="1">
      <c r="A4238" s="7" t="s">
        <v>7987</v>
      </c>
      <c r="B4238" s="4" t="s">
        <v>7988</v>
      </c>
      <c r="C4238" s="5" t="s">
        <v>16</v>
      </c>
      <c r="D4238" s="6" t="s">
        <v>7989</v>
      </c>
      <c r="E4238" s="6"/>
      <c r="F4238" s="6" t="b">
        <f t="shared" si="1"/>
        <v>0</v>
      </c>
    </row>
    <row r="4239" ht="15.75" customHeight="1">
      <c r="A4239" s="7" t="s">
        <v>7990</v>
      </c>
      <c r="B4239" s="4" t="s">
        <v>7991</v>
      </c>
      <c r="C4239" s="5" t="s">
        <v>16</v>
      </c>
      <c r="D4239" s="6" t="s">
        <v>7992</v>
      </c>
      <c r="E4239" s="6"/>
      <c r="F4239" s="6" t="b">
        <f t="shared" si="1"/>
        <v>0</v>
      </c>
    </row>
    <row r="4240" ht="15.75" customHeight="1">
      <c r="A4240" s="7" t="s">
        <v>7993</v>
      </c>
      <c r="B4240" s="4" t="s">
        <v>7994</v>
      </c>
      <c r="C4240" s="5" t="s">
        <v>16</v>
      </c>
      <c r="D4240" s="6" t="s">
        <v>7995</v>
      </c>
      <c r="E4240" s="6"/>
      <c r="F4240" s="6" t="b">
        <f t="shared" si="1"/>
        <v>0</v>
      </c>
    </row>
    <row r="4241" ht="15.75" customHeight="1">
      <c r="A4241" s="7" t="s">
        <v>7996</v>
      </c>
      <c r="B4241" s="4" t="s">
        <v>7997</v>
      </c>
      <c r="C4241" s="5" t="s">
        <v>16</v>
      </c>
      <c r="D4241" s="6" t="s">
        <v>7998</v>
      </c>
      <c r="E4241" s="6"/>
      <c r="F4241" s="6" t="b">
        <f t="shared" si="1"/>
        <v>0</v>
      </c>
    </row>
    <row r="4242" ht="15.75" customHeight="1">
      <c r="A4242" s="7" t="s">
        <v>7999</v>
      </c>
      <c r="B4242" s="4" t="s">
        <v>8000</v>
      </c>
      <c r="C4242" s="5" t="s">
        <v>16</v>
      </c>
      <c r="D4242" s="6" t="s">
        <v>8001</v>
      </c>
      <c r="E4242" s="6"/>
      <c r="F4242" s="6" t="b">
        <f t="shared" si="1"/>
        <v>0</v>
      </c>
    </row>
    <row r="4243" ht="15.75" customHeight="1">
      <c r="A4243" s="7" t="s">
        <v>8002</v>
      </c>
      <c r="B4243" s="4" t="s">
        <v>8003</v>
      </c>
      <c r="C4243" s="5" t="s">
        <v>16</v>
      </c>
      <c r="D4243" s="6" t="s">
        <v>8004</v>
      </c>
      <c r="E4243" s="6"/>
      <c r="F4243" s="6" t="b">
        <f t="shared" si="1"/>
        <v>0</v>
      </c>
    </row>
    <row r="4244" ht="15.75" customHeight="1">
      <c r="A4244" s="3" t="s">
        <v>8005</v>
      </c>
      <c r="B4244" s="4"/>
      <c r="C4244" s="5"/>
      <c r="D4244" s="5"/>
      <c r="E4244" s="6"/>
      <c r="F4244" s="6" t="b">
        <f t="shared" si="1"/>
        <v>0</v>
      </c>
    </row>
    <row r="4245" ht="15.75" customHeight="1">
      <c r="A4245" s="7" t="s">
        <v>8006</v>
      </c>
      <c r="B4245" s="4" t="s">
        <v>8007</v>
      </c>
      <c r="C4245" s="5" t="s">
        <v>16</v>
      </c>
      <c r="D4245" s="6" t="s">
        <v>8008</v>
      </c>
      <c r="E4245" s="6"/>
      <c r="F4245" s="6" t="b">
        <f t="shared" si="1"/>
        <v>0</v>
      </c>
    </row>
    <row r="4246" ht="15.75" customHeight="1">
      <c r="A4246" s="7" t="s">
        <v>8009</v>
      </c>
      <c r="B4246" s="4" t="s">
        <v>8010</v>
      </c>
      <c r="C4246" s="5" t="s">
        <v>16</v>
      </c>
      <c r="D4246" s="6" t="s">
        <v>8011</v>
      </c>
      <c r="E4246" s="6"/>
      <c r="F4246" s="6" t="b">
        <f t="shared" si="1"/>
        <v>0</v>
      </c>
    </row>
    <row r="4247" ht="15.75" customHeight="1">
      <c r="A4247" s="7" t="s">
        <v>8012</v>
      </c>
      <c r="B4247" s="4" t="s">
        <v>8013</v>
      </c>
      <c r="C4247" s="5" t="s">
        <v>16</v>
      </c>
      <c r="D4247" s="6" t="s">
        <v>5184</v>
      </c>
      <c r="E4247" s="6"/>
      <c r="F4247" s="6" t="b">
        <f t="shared" si="1"/>
        <v>0</v>
      </c>
    </row>
    <row r="4248" ht="15.75" customHeight="1">
      <c r="A4248" s="7" t="s">
        <v>8014</v>
      </c>
      <c r="B4248" s="4" t="s">
        <v>8015</v>
      </c>
      <c r="C4248" s="5" t="s">
        <v>16</v>
      </c>
      <c r="D4248" s="6" t="s">
        <v>5184</v>
      </c>
      <c r="E4248" s="6"/>
      <c r="F4248" s="6" t="b">
        <f t="shared" si="1"/>
        <v>0</v>
      </c>
    </row>
    <row r="4249" ht="15.75" customHeight="1">
      <c r="A4249" s="10" t="s">
        <v>8016</v>
      </c>
      <c r="B4249" s="11"/>
      <c r="C4249" s="5"/>
      <c r="D4249" s="8"/>
      <c r="E4249" s="6"/>
      <c r="F4249" s="6" t="b">
        <f t="shared" si="1"/>
        <v>0</v>
      </c>
    </row>
    <row r="4250" ht="15.75" customHeight="1">
      <c r="A4250" s="7" t="s">
        <v>8017</v>
      </c>
      <c r="B4250" s="4" t="s">
        <v>8018</v>
      </c>
      <c r="C4250" s="5" t="s">
        <v>16</v>
      </c>
      <c r="D4250" s="6" t="s">
        <v>8008</v>
      </c>
      <c r="E4250" s="6"/>
      <c r="F4250" s="6" t="b">
        <f t="shared" si="1"/>
        <v>0</v>
      </c>
    </row>
    <row r="4251" ht="15.75" customHeight="1">
      <c r="A4251" s="7" t="s">
        <v>8019</v>
      </c>
      <c r="B4251" s="4" t="s">
        <v>8020</v>
      </c>
      <c r="C4251" s="5" t="s">
        <v>16</v>
      </c>
      <c r="D4251" s="6" t="s">
        <v>5224</v>
      </c>
      <c r="E4251" s="6"/>
      <c r="F4251" s="6" t="b">
        <f t="shared" si="1"/>
        <v>0</v>
      </c>
    </row>
    <row r="4252" ht="15.75" customHeight="1">
      <c r="A4252" s="7" t="s">
        <v>8021</v>
      </c>
      <c r="B4252" s="4" t="s">
        <v>8022</v>
      </c>
      <c r="C4252" s="5" t="s">
        <v>16</v>
      </c>
      <c r="D4252" s="6" t="s">
        <v>8023</v>
      </c>
      <c r="E4252" s="6"/>
      <c r="F4252" s="6" t="b">
        <f t="shared" si="1"/>
        <v>0</v>
      </c>
    </row>
    <row r="4253" ht="15.75" customHeight="1">
      <c r="A4253" s="7" t="s">
        <v>8024</v>
      </c>
      <c r="B4253" s="4" t="s">
        <v>8025</v>
      </c>
      <c r="C4253" s="5" t="s">
        <v>16</v>
      </c>
      <c r="D4253" s="6" t="s">
        <v>8026</v>
      </c>
      <c r="E4253" s="6"/>
      <c r="F4253" s="6" t="b">
        <f t="shared" si="1"/>
        <v>0</v>
      </c>
    </row>
    <row r="4254" ht="15.75" customHeight="1">
      <c r="A4254" s="7" t="s">
        <v>8027</v>
      </c>
      <c r="B4254" s="4" t="s">
        <v>8028</v>
      </c>
      <c r="C4254" s="5" t="s">
        <v>16</v>
      </c>
      <c r="D4254" s="6" t="s">
        <v>8029</v>
      </c>
      <c r="E4254" s="6"/>
      <c r="F4254" s="6" t="b">
        <f t="shared" si="1"/>
        <v>0</v>
      </c>
    </row>
    <row r="4255" ht="15.75" customHeight="1">
      <c r="A4255" s="3" t="s">
        <v>8030</v>
      </c>
      <c r="B4255" s="4"/>
      <c r="C4255" s="5"/>
      <c r="D4255" s="5"/>
      <c r="E4255" s="6"/>
      <c r="F4255" s="6" t="b">
        <f t="shared" si="1"/>
        <v>0</v>
      </c>
    </row>
    <row r="4256" ht="15.75" customHeight="1">
      <c r="A4256" s="7" t="s">
        <v>8031</v>
      </c>
      <c r="B4256" s="4" t="s">
        <v>8032</v>
      </c>
      <c r="C4256" s="5" t="s">
        <v>16</v>
      </c>
      <c r="D4256" s="6" t="s">
        <v>5224</v>
      </c>
      <c r="E4256" s="6"/>
      <c r="F4256" s="6" t="b">
        <f t="shared" si="1"/>
        <v>0</v>
      </c>
    </row>
    <row r="4257" ht="15.75" customHeight="1">
      <c r="A4257" s="7" t="s">
        <v>8033</v>
      </c>
      <c r="B4257" s="4" t="s">
        <v>8034</v>
      </c>
      <c r="C4257" s="5" t="s">
        <v>16</v>
      </c>
      <c r="D4257" s="6" t="s">
        <v>8035</v>
      </c>
      <c r="E4257" s="6"/>
      <c r="F4257" s="6" t="b">
        <f t="shared" si="1"/>
        <v>0</v>
      </c>
    </row>
    <row r="4258" ht="15.75" customHeight="1">
      <c r="A4258" s="7" t="s">
        <v>8036</v>
      </c>
      <c r="B4258" s="4" t="s">
        <v>8037</v>
      </c>
      <c r="C4258" s="5" t="s">
        <v>16</v>
      </c>
      <c r="D4258" s="6" t="s">
        <v>8038</v>
      </c>
      <c r="E4258" s="6"/>
      <c r="F4258" s="6" t="b">
        <f t="shared" si="1"/>
        <v>0</v>
      </c>
    </row>
    <row r="4259" ht="15.75" customHeight="1">
      <c r="A4259" s="7" t="s">
        <v>8039</v>
      </c>
      <c r="B4259" s="4" t="s">
        <v>8040</v>
      </c>
      <c r="C4259" s="5" t="s">
        <v>16</v>
      </c>
      <c r="D4259" s="6" t="s">
        <v>8041</v>
      </c>
      <c r="E4259" s="6"/>
      <c r="F4259" s="6" t="b">
        <f t="shared" si="1"/>
        <v>0</v>
      </c>
    </row>
    <row r="4260" ht="15.75" customHeight="1">
      <c r="A4260" s="10" t="s">
        <v>8042</v>
      </c>
      <c r="B4260" s="11"/>
      <c r="C4260" s="5"/>
      <c r="D4260" s="8"/>
      <c r="E4260" s="6"/>
      <c r="F4260" s="6" t="b">
        <f t="shared" si="1"/>
        <v>0</v>
      </c>
    </row>
    <row r="4261" ht="15.75" customHeight="1">
      <c r="A4261" s="10" t="s">
        <v>8043</v>
      </c>
      <c r="B4261" s="11"/>
      <c r="C4261" s="5"/>
      <c r="D4261" s="8"/>
      <c r="E4261" s="6"/>
      <c r="F4261" s="6" t="b">
        <f t="shared" si="1"/>
        <v>0</v>
      </c>
    </row>
    <row r="4262" ht="15.75" customHeight="1">
      <c r="A4262" s="10" t="s">
        <v>8044</v>
      </c>
      <c r="B4262" s="11"/>
      <c r="C4262" s="5"/>
      <c r="D4262" s="8"/>
      <c r="E4262" s="6"/>
      <c r="F4262" s="6" t="b">
        <f t="shared" si="1"/>
        <v>0</v>
      </c>
    </row>
    <row r="4263" ht="15.75" customHeight="1">
      <c r="A4263" s="10" t="s">
        <v>8045</v>
      </c>
      <c r="B4263" s="11"/>
      <c r="C4263" s="5"/>
      <c r="D4263" s="8"/>
      <c r="E4263" s="6"/>
      <c r="F4263" s="6" t="b">
        <f t="shared" si="1"/>
        <v>0</v>
      </c>
    </row>
    <row r="4264" ht="15.75" customHeight="1">
      <c r="A4264" s="10" t="s">
        <v>8046</v>
      </c>
      <c r="B4264" s="11"/>
      <c r="C4264" s="5"/>
      <c r="D4264" s="8"/>
      <c r="E4264" s="6"/>
      <c r="F4264" s="6" t="b">
        <f t="shared" si="1"/>
        <v>0</v>
      </c>
    </row>
    <row r="4265" ht="15.75" customHeight="1">
      <c r="A4265" s="7" t="s">
        <v>8047</v>
      </c>
      <c r="B4265" s="4" t="s">
        <v>8048</v>
      </c>
      <c r="C4265" s="5" t="s">
        <v>16</v>
      </c>
      <c r="D4265" s="6" t="s">
        <v>8049</v>
      </c>
      <c r="E4265" s="6"/>
      <c r="F4265" s="6" t="b">
        <f t="shared" si="1"/>
        <v>0</v>
      </c>
    </row>
    <row r="4266" ht="15.75" customHeight="1">
      <c r="A4266" s="7" t="s">
        <v>8050</v>
      </c>
      <c r="B4266" s="4" t="s">
        <v>8051</v>
      </c>
      <c r="C4266" s="5" t="s">
        <v>16</v>
      </c>
      <c r="D4266" s="6" t="s">
        <v>8052</v>
      </c>
      <c r="E4266" s="6"/>
      <c r="F4266" s="6" t="b">
        <f t="shared" si="1"/>
        <v>0</v>
      </c>
    </row>
    <row r="4267" ht="15.75" customHeight="1">
      <c r="A4267" s="7" t="s">
        <v>8053</v>
      </c>
      <c r="B4267" s="4" t="s">
        <v>8054</v>
      </c>
      <c r="C4267" s="5" t="s">
        <v>16</v>
      </c>
      <c r="D4267" s="6" t="s">
        <v>3390</v>
      </c>
      <c r="E4267" s="6"/>
      <c r="F4267" s="6" t="b">
        <f t="shared" si="1"/>
        <v>0</v>
      </c>
    </row>
    <row r="4268" ht="15.75" customHeight="1">
      <c r="A4268" s="7" t="s">
        <v>8055</v>
      </c>
      <c r="B4268" s="4" t="s">
        <v>8056</v>
      </c>
      <c r="C4268" s="5" t="s">
        <v>16</v>
      </c>
      <c r="D4268" s="6" t="s">
        <v>8057</v>
      </c>
      <c r="E4268" s="6"/>
      <c r="F4268" s="6" t="b">
        <f t="shared" si="1"/>
        <v>0</v>
      </c>
    </row>
    <row r="4269" ht="15.75" customHeight="1">
      <c r="A4269" s="7" t="s">
        <v>8058</v>
      </c>
      <c r="B4269" s="4" t="s">
        <v>8059</v>
      </c>
      <c r="C4269" s="5" t="s">
        <v>16</v>
      </c>
      <c r="D4269" s="6" t="s">
        <v>8060</v>
      </c>
      <c r="E4269" s="6"/>
      <c r="F4269" s="6" t="b">
        <f t="shared" si="1"/>
        <v>0</v>
      </c>
    </row>
    <row r="4270" ht="15.75" customHeight="1">
      <c r="A4270" s="7" t="s">
        <v>8061</v>
      </c>
      <c r="B4270" s="4" t="s">
        <v>8062</v>
      </c>
      <c r="C4270" s="5" t="s">
        <v>16</v>
      </c>
      <c r="D4270" s="6" t="s">
        <v>8063</v>
      </c>
      <c r="E4270" s="6"/>
      <c r="F4270" s="6" t="b">
        <f t="shared" si="1"/>
        <v>0</v>
      </c>
    </row>
    <row r="4271" ht="15.75" customHeight="1">
      <c r="A4271" s="7" t="s">
        <v>8064</v>
      </c>
      <c r="B4271" s="4" t="s">
        <v>8065</v>
      </c>
      <c r="C4271" s="5" t="s">
        <v>16</v>
      </c>
      <c r="D4271" s="6" t="s">
        <v>8066</v>
      </c>
      <c r="E4271" s="6"/>
      <c r="F4271" s="6" t="b">
        <f t="shared" si="1"/>
        <v>0</v>
      </c>
    </row>
    <row r="4272" ht="15.75" customHeight="1">
      <c r="A4272" s="7" t="s">
        <v>8067</v>
      </c>
      <c r="B4272" s="4" t="s">
        <v>8068</v>
      </c>
      <c r="C4272" s="5" t="s">
        <v>16</v>
      </c>
      <c r="D4272" s="6" t="s">
        <v>3403</v>
      </c>
      <c r="E4272" s="6"/>
      <c r="F4272" s="6" t="b">
        <f t="shared" si="1"/>
        <v>0</v>
      </c>
    </row>
    <row r="4273" ht="15.75" customHeight="1">
      <c r="A4273" s="7" t="s">
        <v>8069</v>
      </c>
      <c r="B4273" s="4" t="s">
        <v>8070</v>
      </c>
      <c r="C4273" s="5" t="s">
        <v>16</v>
      </c>
      <c r="D4273" s="6" t="s">
        <v>984</v>
      </c>
      <c r="E4273" s="6"/>
      <c r="F4273" s="6" t="b">
        <f t="shared" si="1"/>
        <v>0</v>
      </c>
    </row>
    <row r="4274" ht="15.75" customHeight="1">
      <c r="A4274" s="10" t="s">
        <v>8071</v>
      </c>
      <c r="B4274" s="11"/>
      <c r="C4274" s="5"/>
      <c r="D4274" s="8"/>
      <c r="E4274" s="6"/>
      <c r="F4274" s="6" t="b">
        <f t="shared" si="1"/>
        <v>0</v>
      </c>
    </row>
    <row r="4275" ht="15.75" customHeight="1">
      <c r="A4275" s="10" t="s">
        <v>8072</v>
      </c>
      <c r="B4275" s="11"/>
      <c r="C4275" s="5"/>
      <c r="D4275" s="8" t="s">
        <v>5385</v>
      </c>
      <c r="E4275" s="6"/>
      <c r="F4275" s="6" t="b">
        <f t="shared" si="1"/>
        <v>0</v>
      </c>
    </row>
    <row r="4276" ht="15.75" customHeight="1">
      <c r="A4276" s="3" t="s">
        <v>8073</v>
      </c>
      <c r="B4276" s="11"/>
      <c r="C4276" s="5"/>
      <c r="D4276" s="5"/>
      <c r="E4276" s="6"/>
      <c r="F4276" s="6" t="b">
        <f t="shared" si="1"/>
        <v>0</v>
      </c>
    </row>
    <row r="4277" ht="15.75" customHeight="1">
      <c r="A4277" s="7" t="s">
        <v>8074</v>
      </c>
      <c r="B4277" s="11"/>
      <c r="C4277" s="5"/>
      <c r="D4277" s="5"/>
      <c r="E4277" s="6"/>
      <c r="F4277" s="6" t="b">
        <f t="shared" si="1"/>
        <v>0</v>
      </c>
    </row>
    <row r="4278" ht="15.75" customHeight="1">
      <c r="A4278" s="10" t="s">
        <v>8075</v>
      </c>
      <c r="B4278" s="11"/>
      <c r="C4278" s="5"/>
      <c r="D4278" s="8"/>
      <c r="E4278" s="6"/>
      <c r="F4278" s="6" t="b">
        <f t="shared" si="1"/>
        <v>0</v>
      </c>
    </row>
    <row r="4279" ht="15.75" customHeight="1">
      <c r="A4279" s="3" t="s">
        <v>8076</v>
      </c>
      <c r="B4279" s="4"/>
      <c r="C4279" s="5"/>
      <c r="D4279" s="5"/>
      <c r="E4279" s="6"/>
      <c r="F4279" s="6" t="b">
        <f t="shared" si="1"/>
        <v>0</v>
      </c>
    </row>
    <row r="4280" ht="15.75" customHeight="1">
      <c r="A4280" s="3" t="s">
        <v>8077</v>
      </c>
      <c r="B4280" s="4"/>
      <c r="C4280" s="5"/>
      <c r="D4280" s="5"/>
      <c r="E4280" s="6"/>
      <c r="F4280" s="6" t="b">
        <f t="shared" si="1"/>
        <v>0</v>
      </c>
    </row>
    <row r="4281" ht="15.75" customHeight="1">
      <c r="A4281" s="10" t="s">
        <v>8078</v>
      </c>
      <c r="B4281" s="11"/>
      <c r="C4281" s="5"/>
      <c r="D4281" s="8"/>
      <c r="E4281" s="6"/>
      <c r="F4281" s="6" t="b">
        <f t="shared" si="1"/>
        <v>0</v>
      </c>
    </row>
    <row r="4282" ht="15.75" customHeight="1">
      <c r="A4282" s="10" t="s">
        <v>8079</v>
      </c>
      <c r="B4282" s="11"/>
      <c r="C4282" s="5"/>
      <c r="D4282" s="8"/>
      <c r="E4282" s="6"/>
      <c r="F4282" s="6" t="b">
        <f t="shared" si="1"/>
        <v>0</v>
      </c>
    </row>
    <row r="4283" ht="15.75" customHeight="1">
      <c r="A4283" s="3" t="s">
        <v>8080</v>
      </c>
      <c r="B4283" s="4"/>
      <c r="C4283" s="5"/>
      <c r="D4283" s="5"/>
      <c r="E4283" s="6"/>
      <c r="F4283" s="6" t="b">
        <f t="shared" si="1"/>
        <v>0</v>
      </c>
    </row>
    <row r="4284" ht="15.75" customHeight="1">
      <c r="A4284" s="10" t="s">
        <v>8081</v>
      </c>
      <c r="B4284" s="11"/>
      <c r="C4284" s="5"/>
      <c r="D4284" s="8"/>
      <c r="E4284" s="6"/>
      <c r="F4284" s="6" t="b">
        <f t="shared" si="1"/>
        <v>0</v>
      </c>
    </row>
    <row r="4285" ht="15.75" customHeight="1">
      <c r="A4285" s="10" t="s">
        <v>8082</v>
      </c>
      <c r="B4285" s="11"/>
      <c r="C4285" s="5"/>
      <c r="D4285" s="8"/>
      <c r="E4285" s="6"/>
      <c r="F4285" s="6" t="b">
        <f t="shared" si="1"/>
        <v>0</v>
      </c>
    </row>
    <row r="4286" ht="15.75" customHeight="1">
      <c r="A4286" s="10" t="s">
        <v>8083</v>
      </c>
      <c r="B4286" s="11"/>
      <c r="C4286" s="5"/>
      <c r="D4286" s="8"/>
      <c r="E4286" s="6"/>
      <c r="F4286" s="6" t="b">
        <f t="shared" si="1"/>
        <v>0</v>
      </c>
    </row>
    <row r="4287" ht="15.75" customHeight="1">
      <c r="A4287" s="10" t="s">
        <v>8084</v>
      </c>
      <c r="B4287" s="11"/>
      <c r="C4287" s="5"/>
      <c r="D4287" s="8"/>
      <c r="E4287" s="6"/>
      <c r="F4287" s="6" t="b">
        <f t="shared" si="1"/>
        <v>0</v>
      </c>
    </row>
    <row r="4288" ht="15.75" customHeight="1">
      <c r="A4288" s="10" t="s">
        <v>8085</v>
      </c>
      <c r="B4288" s="11"/>
      <c r="C4288" s="5"/>
      <c r="D4288" s="8"/>
      <c r="E4288" s="6"/>
      <c r="F4288" s="6" t="b">
        <f t="shared" si="1"/>
        <v>0</v>
      </c>
    </row>
    <row r="4289" ht="15.75" customHeight="1">
      <c r="A4289" s="10" t="s">
        <v>8086</v>
      </c>
      <c r="B4289" s="11"/>
      <c r="C4289" s="5"/>
      <c r="D4289" s="8"/>
      <c r="E4289" s="6"/>
      <c r="F4289" s="6" t="b">
        <f t="shared" si="1"/>
        <v>0</v>
      </c>
    </row>
    <row r="4290" ht="15.75" customHeight="1">
      <c r="A4290" s="3" t="s">
        <v>8087</v>
      </c>
      <c r="B4290" s="4"/>
      <c r="C4290" s="5"/>
      <c r="D4290" s="5"/>
      <c r="E4290" s="6"/>
      <c r="F4290" s="6" t="b">
        <f t="shared" si="1"/>
        <v>0</v>
      </c>
    </row>
    <row r="4291" ht="15.75" customHeight="1">
      <c r="A4291" s="10" t="s">
        <v>8088</v>
      </c>
      <c r="B4291" s="11"/>
      <c r="C4291" s="5"/>
      <c r="D4291" s="8"/>
      <c r="E4291" s="6"/>
      <c r="F4291" s="6" t="b">
        <f t="shared" si="1"/>
        <v>0</v>
      </c>
    </row>
    <row r="4292" ht="15.75" customHeight="1">
      <c r="A4292" s="10" t="s">
        <v>8089</v>
      </c>
      <c r="B4292" s="11"/>
      <c r="C4292" s="5"/>
      <c r="D4292" s="8"/>
      <c r="E4292" s="6"/>
      <c r="F4292" s="6" t="b">
        <f t="shared" si="1"/>
        <v>0</v>
      </c>
    </row>
    <row r="4293" ht="15.75" customHeight="1">
      <c r="A4293" s="3" t="s">
        <v>8090</v>
      </c>
      <c r="B4293" s="4"/>
      <c r="C4293" s="5"/>
      <c r="D4293" s="5"/>
      <c r="E4293" s="6"/>
      <c r="F4293" s="6" t="b">
        <f t="shared" si="1"/>
        <v>0</v>
      </c>
    </row>
    <row r="4294" ht="15.75" customHeight="1">
      <c r="A4294" s="10" t="s">
        <v>8091</v>
      </c>
      <c r="B4294" s="11"/>
      <c r="C4294" s="5"/>
      <c r="D4294" s="8"/>
      <c r="E4294" s="6"/>
      <c r="F4294" s="6" t="b">
        <f t="shared" si="1"/>
        <v>0</v>
      </c>
    </row>
    <row r="4295" ht="15.75" customHeight="1">
      <c r="A4295" s="10" t="s">
        <v>8092</v>
      </c>
      <c r="B4295" s="11"/>
      <c r="C4295" s="5"/>
      <c r="D4295" s="8"/>
      <c r="E4295" s="6"/>
      <c r="F4295" s="6" t="b">
        <f t="shared" si="1"/>
        <v>0</v>
      </c>
    </row>
    <row r="4296" ht="15.75" customHeight="1">
      <c r="A4296" s="7" t="s">
        <v>8093</v>
      </c>
      <c r="B4296" s="4" t="s">
        <v>8094</v>
      </c>
      <c r="C4296" s="5" t="s">
        <v>229</v>
      </c>
      <c r="D4296" s="6" t="s">
        <v>230</v>
      </c>
      <c r="E4296" s="6"/>
      <c r="F4296" s="6" t="b">
        <f t="shared" si="1"/>
        <v>0</v>
      </c>
    </row>
    <row r="4297" ht="15.75" customHeight="1">
      <c r="A4297" s="7" t="s">
        <v>8095</v>
      </c>
      <c r="B4297" s="4" t="s">
        <v>8096</v>
      </c>
      <c r="C4297" s="5" t="s">
        <v>229</v>
      </c>
      <c r="D4297" s="6" t="s">
        <v>6890</v>
      </c>
      <c r="E4297" s="6"/>
      <c r="F4297" s="6" t="b">
        <f t="shared" si="1"/>
        <v>0</v>
      </c>
    </row>
    <row r="4298" ht="15.75" customHeight="1">
      <c r="A4298" s="7" t="s">
        <v>8097</v>
      </c>
      <c r="B4298" s="4" t="s">
        <v>8098</v>
      </c>
      <c r="C4298" s="5" t="s">
        <v>229</v>
      </c>
      <c r="D4298" s="6" t="s">
        <v>2853</v>
      </c>
      <c r="E4298" s="6"/>
      <c r="F4298" s="6" t="b">
        <f t="shared" si="1"/>
        <v>0</v>
      </c>
    </row>
    <row r="4299" ht="15.75" customHeight="1">
      <c r="A4299" s="7" t="s">
        <v>8099</v>
      </c>
      <c r="B4299" s="4" t="s">
        <v>8100</v>
      </c>
      <c r="C4299" s="5" t="s">
        <v>229</v>
      </c>
      <c r="D4299" s="6" t="s">
        <v>6890</v>
      </c>
      <c r="E4299" s="6"/>
      <c r="F4299" s="6" t="b">
        <f t="shared" si="1"/>
        <v>0</v>
      </c>
    </row>
    <row r="4300" ht="15.75" customHeight="1">
      <c r="A4300" s="7" t="s">
        <v>8101</v>
      </c>
      <c r="B4300" s="4" t="s">
        <v>8102</v>
      </c>
      <c r="C4300" s="5" t="s">
        <v>229</v>
      </c>
      <c r="D4300" s="6" t="s">
        <v>7170</v>
      </c>
      <c r="E4300" s="6"/>
      <c r="F4300" s="6" t="b">
        <f t="shared" si="1"/>
        <v>0</v>
      </c>
    </row>
    <row r="4301" ht="15.75" customHeight="1">
      <c r="A4301" s="3" t="s">
        <v>8103</v>
      </c>
      <c r="B4301" s="4"/>
      <c r="C4301" s="5"/>
      <c r="D4301" s="5"/>
      <c r="E4301" s="6"/>
      <c r="F4301" s="6" t="b">
        <f t="shared" si="1"/>
        <v>0</v>
      </c>
    </row>
    <row r="4302" ht="15.75" customHeight="1">
      <c r="A4302" s="10" t="s">
        <v>8104</v>
      </c>
      <c r="B4302" s="11"/>
      <c r="C4302" s="5"/>
      <c r="D4302" s="8"/>
      <c r="E4302" s="6"/>
      <c r="F4302" s="6" t="b">
        <f t="shared" si="1"/>
        <v>0</v>
      </c>
    </row>
    <row r="4303" ht="15.75" customHeight="1">
      <c r="A4303" s="10" t="s">
        <v>8105</v>
      </c>
      <c r="B4303" s="11"/>
      <c r="C4303" s="5"/>
      <c r="D4303" s="8"/>
      <c r="E4303" s="6"/>
      <c r="F4303" s="6" t="b">
        <f t="shared" si="1"/>
        <v>0</v>
      </c>
    </row>
    <row r="4304" ht="15.75" customHeight="1">
      <c r="A4304" s="10" t="s">
        <v>8106</v>
      </c>
      <c r="B4304" s="11"/>
      <c r="C4304" s="5"/>
      <c r="D4304" s="8"/>
      <c r="E4304" s="6"/>
      <c r="F4304" s="6" t="b">
        <f t="shared" si="1"/>
        <v>0</v>
      </c>
    </row>
    <row r="4305" ht="15.75" customHeight="1">
      <c r="A4305" s="3" t="s">
        <v>8107</v>
      </c>
      <c r="B4305" s="4"/>
      <c r="C4305" s="5"/>
      <c r="D4305" s="5"/>
      <c r="E4305" s="6"/>
      <c r="F4305" s="6" t="b">
        <f t="shared" si="1"/>
        <v>0</v>
      </c>
    </row>
    <row r="4306" ht="15.75" customHeight="1">
      <c r="A4306" s="3" t="s">
        <v>8108</v>
      </c>
      <c r="B4306" s="4"/>
      <c r="C4306" s="5"/>
      <c r="D4306" s="5"/>
      <c r="E4306" s="6"/>
      <c r="F4306" s="6" t="b">
        <f t="shared" si="1"/>
        <v>0</v>
      </c>
    </row>
    <row r="4307" ht="15.75" customHeight="1">
      <c r="A4307" s="3" t="s">
        <v>8109</v>
      </c>
      <c r="B4307" s="4"/>
      <c r="C4307" s="5"/>
      <c r="D4307" s="5"/>
      <c r="E4307" s="6"/>
      <c r="F4307" s="6" t="b">
        <f t="shared" si="1"/>
        <v>0</v>
      </c>
    </row>
    <row r="4308" ht="15.75" customHeight="1">
      <c r="A4308" s="3" t="s">
        <v>8110</v>
      </c>
      <c r="B4308" s="4"/>
      <c r="C4308" s="5"/>
      <c r="D4308" s="5"/>
      <c r="E4308" s="6"/>
      <c r="F4308" s="6" t="b">
        <f t="shared" si="1"/>
        <v>0</v>
      </c>
    </row>
    <row r="4309" ht="15.75" customHeight="1">
      <c r="A4309" s="3" t="s">
        <v>8111</v>
      </c>
      <c r="B4309" s="4"/>
      <c r="C4309" s="5"/>
      <c r="D4309" s="5"/>
      <c r="E4309" s="6"/>
      <c r="F4309" s="6" t="b">
        <f t="shared" si="1"/>
        <v>0</v>
      </c>
    </row>
    <row r="4310" ht="15.75" customHeight="1">
      <c r="A4310" s="3" t="s">
        <v>8112</v>
      </c>
      <c r="B4310" s="4"/>
      <c r="C4310" s="5"/>
      <c r="D4310" s="5"/>
      <c r="E4310" s="6"/>
      <c r="F4310" s="6" t="b">
        <f t="shared" si="1"/>
        <v>0</v>
      </c>
    </row>
    <row r="4311" ht="15.75" customHeight="1">
      <c r="A4311" s="3" t="s">
        <v>8113</v>
      </c>
      <c r="B4311" s="4"/>
      <c r="C4311" s="5"/>
      <c r="D4311" s="5"/>
      <c r="E4311" s="6"/>
      <c r="F4311" s="6" t="b">
        <f t="shared" si="1"/>
        <v>0</v>
      </c>
    </row>
    <row r="4312" ht="15.75" customHeight="1">
      <c r="A4312" s="3" t="s">
        <v>8114</v>
      </c>
      <c r="B4312" s="4"/>
      <c r="C4312" s="5"/>
      <c r="D4312" s="5"/>
      <c r="E4312" s="6"/>
      <c r="F4312" s="6" t="b">
        <f t="shared" si="1"/>
        <v>0</v>
      </c>
    </row>
    <row r="4313" ht="15.75" customHeight="1">
      <c r="A4313" s="7" t="s">
        <v>8115</v>
      </c>
      <c r="B4313" s="4" t="s">
        <v>8116</v>
      </c>
      <c r="C4313" s="5" t="s">
        <v>6</v>
      </c>
      <c r="D4313" s="6" t="s">
        <v>8117</v>
      </c>
      <c r="E4313" s="6"/>
      <c r="F4313" s="6" t="b">
        <f t="shared" si="1"/>
        <v>0</v>
      </c>
    </row>
    <row r="4314" ht="15.75" customHeight="1">
      <c r="A4314" s="3" t="s">
        <v>8118</v>
      </c>
      <c r="B4314" s="4"/>
      <c r="C4314" s="5"/>
      <c r="D4314" s="5"/>
      <c r="E4314" s="6"/>
      <c r="F4314" s="6" t="b">
        <f t="shared" si="1"/>
        <v>0</v>
      </c>
    </row>
    <row r="4315" ht="15.75" customHeight="1">
      <c r="A4315" s="3" t="s">
        <v>8119</v>
      </c>
      <c r="B4315" s="4"/>
      <c r="C4315" s="5"/>
      <c r="D4315" s="5"/>
      <c r="E4315" s="6"/>
      <c r="F4315" s="6" t="b">
        <f t="shared" si="1"/>
        <v>0</v>
      </c>
    </row>
    <row r="4316" ht="15.75" customHeight="1">
      <c r="A4316" s="10" t="s">
        <v>8120</v>
      </c>
      <c r="B4316" s="11"/>
      <c r="C4316" s="5"/>
      <c r="D4316" s="8"/>
      <c r="E4316" s="6"/>
      <c r="F4316" s="6" t="b">
        <f t="shared" si="1"/>
        <v>0</v>
      </c>
    </row>
    <row r="4317" ht="15.75" customHeight="1">
      <c r="A4317" s="3" t="s">
        <v>8121</v>
      </c>
      <c r="B4317" s="4"/>
      <c r="C4317" s="5"/>
      <c r="D4317" s="5"/>
      <c r="E4317" s="6"/>
      <c r="F4317" s="6" t="b">
        <f t="shared" si="1"/>
        <v>0</v>
      </c>
    </row>
    <row r="4318" ht="15.75" customHeight="1">
      <c r="A4318" s="3" t="s">
        <v>8122</v>
      </c>
      <c r="B4318" s="4"/>
      <c r="C4318" s="5"/>
      <c r="D4318" s="5"/>
      <c r="E4318" s="6"/>
      <c r="F4318" s="6" t="b">
        <f t="shared" si="1"/>
        <v>0</v>
      </c>
    </row>
    <row r="4319" ht="15.75" customHeight="1">
      <c r="A4319" s="7" t="s">
        <v>8123</v>
      </c>
      <c r="B4319" s="4" t="s">
        <v>8124</v>
      </c>
      <c r="C4319" s="5" t="s">
        <v>6</v>
      </c>
      <c r="D4319" s="6" t="s">
        <v>8125</v>
      </c>
      <c r="E4319" s="6"/>
      <c r="F4319" s="6" t="b">
        <f t="shared" si="1"/>
        <v>0</v>
      </c>
    </row>
    <row r="4320" ht="15.75" customHeight="1">
      <c r="A4320" s="3" t="s">
        <v>8126</v>
      </c>
      <c r="B4320" s="4"/>
      <c r="C4320" s="5"/>
      <c r="D4320" s="5"/>
      <c r="E4320" s="6"/>
      <c r="F4320" s="6" t="b">
        <f t="shared" si="1"/>
        <v>0</v>
      </c>
    </row>
    <row r="4321" ht="15.75" customHeight="1">
      <c r="A4321" s="3" t="s">
        <v>8127</v>
      </c>
      <c r="B4321" s="4"/>
      <c r="C4321" s="5"/>
      <c r="D4321" s="5"/>
      <c r="E4321" s="6"/>
      <c r="F4321" s="6" t="b">
        <f t="shared" si="1"/>
        <v>0</v>
      </c>
    </row>
    <row r="4322" ht="15.75" customHeight="1">
      <c r="A4322" s="3" t="s">
        <v>8128</v>
      </c>
      <c r="B4322" s="4"/>
      <c r="C4322" s="5"/>
      <c r="D4322" s="5"/>
      <c r="E4322" s="6"/>
      <c r="F4322" s="6" t="b">
        <f t="shared" si="1"/>
        <v>0</v>
      </c>
    </row>
    <row r="4323" ht="15.75" customHeight="1">
      <c r="A4323" s="7" t="s">
        <v>8129</v>
      </c>
      <c r="B4323" s="4" t="s">
        <v>8130</v>
      </c>
      <c r="C4323" s="5" t="s">
        <v>6</v>
      </c>
      <c r="D4323" s="6" t="s">
        <v>689</v>
      </c>
      <c r="E4323" s="6"/>
      <c r="F4323" s="6" t="b">
        <f t="shared" si="1"/>
        <v>0</v>
      </c>
    </row>
    <row r="4324" ht="15.75" customHeight="1">
      <c r="A4324" s="7" t="s">
        <v>8131</v>
      </c>
      <c r="B4324" s="4" t="s">
        <v>8132</v>
      </c>
      <c r="C4324" s="6"/>
      <c r="D4324" s="6" t="s">
        <v>619</v>
      </c>
      <c r="E4324" s="6"/>
      <c r="F4324" s="6" t="b">
        <f t="shared" si="1"/>
        <v>0</v>
      </c>
    </row>
    <row r="4325" ht="15.75" customHeight="1">
      <c r="A4325" s="7" t="s">
        <v>8133</v>
      </c>
      <c r="B4325" s="4" t="s">
        <v>8134</v>
      </c>
      <c r="C4325" s="5" t="s">
        <v>6</v>
      </c>
      <c r="D4325" s="6" t="s">
        <v>8135</v>
      </c>
      <c r="E4325" s="6"/>
      <c r="F4325" s="6" t="b">
        <f t="shared" si="1"/>
        <v>0</v>
      </c>
    </row>
    <row r="4326" ht="15.75" customHeight="1">
      <c r="A4326" s="7" t="s">
        <v>8136</v>
      </c>
      <c r="B4326" s="4" t="s">
        <v>8137</v>
      </c>
      <c r="C4326" s="5" t="s">
        <v>16</v>
      </c>
      <c r="D4326" s="6" t="s">
        <v>4183</v>
      </c>
      <c r="E4326" s="6"/>
      <c r="F4326" s="6" t="b">
        <f t="shared" si="1"/>
        <v>0</v>
      </c>
    </row>
    <row r="4327" ht="15.75" customHeight="1">
      <c r="A4327" s="7" t="s">
        <v>8138</v>
      </c>
      <c r="B4327" s="4" t="s">
        <v>8139</v>
      </c>
      <c r="C4327" s="8"/>
      <c r="D4327" s="6" t="s">
        <v>36</v>
      </c>
      <c r="E4327" s="6"/>
      <c r="F4327" s="6" t="b">
        <f t="shared" si="1"/>
        <v>0</v>
      </c>
    </row>
    <row r="4328" ht="15.75" customHeight="1">
      <c r="A4328" s="3" t="s">
        <v>8140</v>
      </c>
      <c r="B4328" s="4"/>
      <c r="C4328" s="5"/>
      <c r="D4328" s="5"/>
      <c r="E4328" s="6"/>
      <c r="F4328" s="6" t="b">
        <f t="shared" si="1"/>
        <v>0</v>
      </c>
    </row>
    <row r="4329" ht="15.75" customHeight="1">
      <c r="A4329" s="3" t="s">
        <v>8141</v>
      </c>
      <c r="B4329" s="4"/>
      <c r="C4329" s="5"/>
      <c r="D4329" s="5"/>
      <c r="E4329" s="6"/>
      <c r="F4329" s="6" t="b">
        <f t="shared" si="1"/>
        <v>0</v>
      </c>
    </row>
    <row r="4330" ht="15.75" customHeight="1">
      <c r="A4330" s="7" t="s">
        <v>8142</v>
      </c>
      <c r="B4330" s="4" t="s">
        <v>8143</v>
      </c>
      <c r="C4330" s="6"/>
      <c r="D4330" s="6" t="s">
        <v>70</v>
      </c>
      <c r="E4330" s="6"/>
      <c r="F4330" s="6" t="b">
        <f t="shared" si="1"/>
        <v>0</v>
      </c>
    </row>
    <row r="4331" ht="15.75" customHeight="1">
      <c r="A4331" s="7" t="s">
        <v>8144</v>
      </c>
      <c r="B4331" s="4" t="s">
        <v>8145</v>
      </c>
      <c r="C4331" s="6"/>
      <c r="D4331" s="6" t="s">
        <v>70</v>
      </c>
      <c r="E4331" s="6"/>
      <c r="F4331" s="6" t="b">
        <f t="shared" si="1"/>
        <v>0</v>
      </c>
    </row>
    <row r="4332" ht="15.75" customHeight="1">
      <c r="A4332" s="7" t="s">
        <v>8146</v>
      </c>
      <c r="B4332" s="4" t="s">
        <v>8147</v>
      </c>
      <c r="C4332" s="5" t="s">
        <v>6</v>
      </c>
      <c r="D4332" s="6" t="s">
        <v>1998</v>
      </c>
      <c r="E4332" s="6"/>
      <c r="F4332" s="6" t="b">
        <f t="shared" si="1"/>
        <v>0</v>
      </c>
    </row>
    <row r="4333" ht="15.75" customHeight="1">
      <c r="A4333" s="7" t="s">
        <v>8148</v>
      </c>
      <c r="B4333" s="4" t="s">
        <v>8149</v>
      </c>
      <c r="C4333" s="6"/>
      <c r="D4333" s="6" t="s">
        <v>70</v>
      </c>
      <c r="E4333" s="6"/>
      <c r="F4333" s="6" t="b">
        <f t="shared" si="1"/>
        <v>0</v>
      </c>
    </row>
    <row r="4334" ht="15.75" customHeight="1">
      <c r="A4334" s="7" t="s">
        <v>8150</v>
      </c>
      <c r="B4334" s="4" t="s">
        <v>8151</v>
      </c>
      <c r="C4334" s="5" t="s">
        <v>6</v>
      </c>
      <c r="D4334" s="6" t="s">
        <v>2032</v>
      </c>
      <c r="E4334" s="6"/>
      <c r="F4334" s="6" t="b">
        <f t="shared" si="1"/>
        <v>0</v>
      </c>
    </row>
    <row r="4335" ht="15.75" customHeight="1">
      <c r="A4335" s="7" t="s">
        <v>8152</v>
      </c>
      <c r="B4335" s="4" t="s">
        <v>8153</v>
      </c>
      <c r="C4335" s="6"/>
      <c r="D4335" s="6" t="s">
        <v>70</v>
      </c>
      <c r="E4335" s="6"/>
      <c r="F4335" s="6" t="b">
        <f t="shared" si="1"/>
        <v>0</v>
      </c>
    </row>
    <row r="4336" ht="15.75" customHeight="1">
      <c r="A4336" s="7" t="s">
        <v>8154</v>
      </c>
      <c r="B4336" s="4" t="s">
        <v>8155</v>
      </c>
      <c r="C4336" s="5" t="s">
        <v>16</v>
      </c>
      <c r="D4336" s="6" t="s">
        <v>5150</v>
      </c>
      <c r="E4336" s="6"/>
      <c r="F4336" s="6" t="b">
        <f t="shared" si="1"/>
        <v>0</v>
      </c>
    </row>
    <row r="4337" ht="15.75" customHeight="1">
      <c r="A4337" s="7" t="s">
        <v>8156</v>
      </c>
      <c r="B4337" s="4" t="s">
        <v>8157</v>
      </c>
      <c r="C4337" s="5" t="s">
        <v>229</v>
      </c>
      <c r="D4337" s="6" t="s">
        <v>2853</v>
      </c>
      <c r="E4337" s="6"/>
      <c r="F4337" s="6" t="b">
        <f t="shared" si="1"/>
        <v>0</v>
      </c>
    </row>
    <row r="4338" ht="15.75" customHeight="1">
      <c r="A4338" s="7" t="s">
        <v>8158</v>
      </c>
      <c r="B4338" s="4" t="s">
        <v>8159</v>
      </c>
      <c r="C4338" s="5" t="s">
        <v>6</v>
      </c>
      <c r="D4338" s="6" t="s">
        <v>8160</v>
      </c>
      <c r="E4338" s="6"/>
      <c r="F4338" s="6" t="b">
        <f t="shared" si="1"/>
        <v>0</v>
      </c>
    </row>
    <row r="4339" ht="15.75" customHeight="1">
      <c r="A4339" s="7" t="s">
        <v>8161</v>
      </c>
      <c r="B4339" s="4" t="s">
        <v>8162</v>
      </c>
      <c r="C4339" s="5" t="s">
        <v>6</v>
      </c>
      <c r="D4339" s="6" t="s">
        <v>6859</v>
      </c>
      <c r="E4339" s="6"/>
      <c r="F4339" s="6" t="b">
        <f t="shared" si="1"/>
        <v>0</v>
      </c>
    </row>
    <row r="4340" ht="15.75" customHeight="1">
      <c r="A4340" s="7" t="s">
        <v>8163</v>
      </c>
      <c r="B4340" s="4" t="s">
        <v>8164</v>
      </c>
      <c r="C4340" s="6"/>
      <c r="D4340" s="6" t="s">
        <v>150</v>
      </c>
      <c r="E4340" s="6"/>
      <c r="F4340" s="6" t="b">
        <f t="shared" si="1"/>
        <v>0</v>
      </c>
    </row>
    <row r="4341" ht="15.75" customHeight="1">
      <c r="A4341" s="7" t="s">
        <v>8165</v>
      </c>
      <c r="B4341" s="4" t="s">
        <v>8166</v>
      </c>
      <c r="C4341" s="5" t="s">
        <v>6</v>
      </c>
      <c r="D4341" s="6" t="s">
        <v>2662</v>
      </c>
      <c r="E4341" s="6"/>
      <c r="F4341" s="6" t="b">
        <f t="shared" si="1"/>
        <v>0</v>
      </c>
    </row>
    <row r="4342" ht="15.75" customHeight="1">
      <c r="A4342" s="7" t="s">
        <v>8167</v>
      </c>
      <c r="B4342" s="4" t="s">
        <v>8168</v>
      </c>
      <c r="C4342" s="6"/>
      <c r="D4342" s="6" t="s">
        <v>150</v>
      </c>
      <c r="E4342" s="6"/>
      <c r="F4342" s="6" t="b">
        <f t="shared" si="1"/>
        <v>0</v>
      </c>
    </row>
    <row r="4343" ht="15.75" customHeight="1">
      <c r="A4343" s="7" t="s">
        <v>8169</v>
      </c>
      <c r="B4343" s="4" t="s">
        <v>8170</v>
      </c>
      <c r="C4343" s="5" t="s">
        <v>6</v>
      </c>
      <c r="D4343" s="6" t="s">
        <v>1741</v>
      </c>
      <c r="E4343" s="6"/>
      <c r="F4343" s="6" t="b">
        <f t="shared" si="1"/>
        <v>0</v>
      </c>
    </row>
    <row r="4344" ht="15.75" customHeight="1">
      <c r="A4344" s="7" t="s">
        <v>8171</v>
      </c>
      <c r="B4344" s="4" t="s">
        <v>8172</v>
      </c>
      <c r="C4344" s="5" t="s">
        <v>6</v>
      </c>
      <c r="D4344" s="6" t="s">
        <v>8173</v>
      </c>
      <c r="E4344" s="6"/>
      <c r="F4344" s="6" t="b">
        <f t="shared" si="1"/>
        <v>0</v>
      </c>
    </row>
    <row r="4345" ht="15.75" customHeight="1">
      <c r="A4345" s="7" t="s">
        <v>8174</v>
      </c>
      <c r="B4345" s="4" t="s">
        <v>8175</v>
      </c>
      <c r="C4345" s="6"/>
      <c r="D4345" s="6" t="s">
        <v>150</v>
      </c>
      <c r="E4345" s="6"/>
      <c r="F4345" s="6" t="b">
        <f t="shared" si="1"/>
        <v>0</v>
      </c>
    </row>
    <row r="4346" ht="15.75" customHeight="1">
      <c r="A4346" s="7" t="s">
        <v>8176</v>
      </c>
      <c r="B4346" s="4" t="s">
        <v>8177</v>
      </c>
      <c r="C4346" s="5" t="s">
        <v>6</v>
      </c>
      <c r="D4346" s="6" t="s">
        <v>8178</v>
      </c>
      <c r="E4346" s="6"/>
      <c r="F4346" s="6" t="b">
        <f t="shared" si="1"/>
        <v>0</v>
      </c>
    </row>
    <row r="4347" ht="15.75" customHeight="1">
      <c r="A4347" s="7" t="s">
        <v>8179</v>
      </c>
      <c r="B4347" s="4" t="s">
        <v>8180</v>
      </c>
      <c r="C4347" s="5" t="s">
        <v>16</v>
      </c>
      <c r="D4347" s="6" t="s">
        <v>8181</v>
      </c>
      <c r="E4347" s="6"/>
      <c r="F4347" s="6" t="b">
        <f t="shared" si="1"/>
        <v>0</v>
      </c>
    </row>
    <row r="4348" ht="15.75" customHeight="1">
      <c r="A4348" s="7" t="s">
        <v>8182</v>
      </c>
      <c r="B4348" s="4" t="s">
        <v>8183</v>
      </c>
      <c r="C4348" s="5" t="s">
        <v>16</v>
      </c>
      <c r="D4348" s="6" t="s">
        <v>1488</v>
      </c>
      <c r="E4348" s="6"/>
      <c r="F4348" s="6" t="b">
        <f t="shared" si="1"/>
        <v>0</v>
      </c>
    </row>
    <row r="4349" ht="15.75" customHeight="1">
      <c r="A4349" s="7" t="s">
        <v>8184</v>
      </c>
      <c r="B4349" s="4" t="s">
        <v>8185</v>
      </c>
      <c r="C4349" s="5" t="s">
        <v>16</v>
      </c>
      <c r="D4349" s="6" t="s">
        <v>8186</v>
      </c>
      <c r="E4349" s="6"/>
      <c r="F4349" s="6" t="b">
        <f t="shared" si="1"/>
        <v>0</v>
      </c>
    </row>
    <row r="4350" ht="15.75" customHeight="1">
      <c r="A4350" s="7" t="s">
        <v>8187</v>
      </c>
      <c r="B4350" s="4" t="s">
        <v>8188</v>
      </c>
      <c r="C4350" s="5" t="s">
        <v>16</v>
      </c>
      <c r="D4350" s="6" t="s">
        <v>8189</v>
      </c>
      <c r="E4350" s="6"/>
      <c r="F4350" s="6" t="b">
        <f t="shared" si="1"/>
        <v>0</v>
      </c>
    </row>
    <row r="4351" ht="15.75" customHeight="1">
      <c r="A4351" s="7" t="s">
        <v>8190</v>
      </c>
      <c r="B4351" s="4" t="s">
        <v>8191</v>
      </c>
      <c r="C4351" s="5" t="s">
        <v>16</v>
      </c>
      <c r="D4351" s="6" t="s">
        <v>8192</v>
      </c>
      <c r="E4351" s="6"/>
      <c r="F4351" s="6" t="b">
        <f t="shared" si="1"/>
        <v>0</v>
      </c>
    </row>
    <row r="4352" ht="15.75" customHeight="1">
      <c r="A4352" s="7" t="s">
        <v>8193</v>
      </c>
      <c r="B4352" s="4" t="s">
        <v>8194</v>
      </c>
      <c r="C4352" s="5" t="s">
        <v>16</v>
      </c>
      <c r="D4352" s="6" t="s">
        <v>8195</v>
      </c>
      <c r="E4352" s="6"/>
      <c r="F4352" s="6" t="b">
        <f t="shared" si="1"/>
        <v>0</v>
      </c>
    </row>
    <row r="4353" ht="15.75" customHeight="1">
      <c r="A4353" s="7" t="s">
        <v>8196</v>
      </c>
      <c r="B4353" s="4" t="s">
        <v>8197</v>
      </c>
      <c r="C4353" s="5" t="s">
        <v>16</v>
      </c>
      <c r="D4353" s="6" t="s">
        <v>8198</v>
      </c>
      <c r="E4353" s="6"/>
      <c r="F4353" s="6" t="b">
        <f t="shared" si="1"/>
        <v>0</v>
      </c>
    </row>
    <row r="4354" ht="15.75" customHeight="1">
      <c r="A4354" s="7" t="s">
        <v>8199</v>
      </c>
      <c r="B4354" s="4" t="s">
        <v>8200</v>
      </c>
      <c r="C4354" s="5" t="s">
        <v>16</v>
      </c>
      <c r="D4354" s="6" t="s">
        <v>8201</v>
      </c>
      <c r="E4354" s="6"/>
      <c r="F4354" s="6" t="b">
        <f t="shared" si="1"/>
        <v>0</v>
      </c>
    </row>
    <row r="4355" ht="15.75" customHeight="1">
      <c r="A4355" s="7" t="s">
        <v>8202</v>
      </c>
      <c r="B4355" s="4" t="s">
        <v>8203</v>
      </c>
      <c r="C4355" s="5" t="s">
        <v>16</v>
      </c>
      <c r="D4355" s="6" t="s">
        <v>8204</v>
      </c>
      <c r="E4355" s="6"/>
      <c r="F4355" s="6" t="b">
        <f t="shared" si="1"/>
        <v>0</v>
      </c>
    </row>
    <row r="4356" ht="15.75" customHeight="1">
      <c r="A4356" s="7" t="s">
        <v>8205</v>
      </c>
      <c r="B4356" s="4" t="s">
        <v>8206</v>
      </c>
      <c r="C4356" s="5" t="s">
        <v>16</v>
      </c>
      <c r="D4356" s="6" t="s">
        <v>8207</v>
      </c>
      <c r="E4356" s="6"/>
      <c r="F4356" s="6" t="b">
        <f t="shared" si="1"/>
        <v>0</v>
      </c>
    </row>
    <row r="4357" ht="15.75" customHeight="1">
      <c r="A4357" s="7" t="s">
        <v>8208</v>
      </c>
      <c r="B4357" s="4" t="s">
        <v>8209</v>
      </c>
      <c r="C4357" s="5" t="s">
        <v>16</v>
      </c>
      <c r="D4357" s="6" t="s">
        <v>8210</v>
      </c>
      <c r="E4357" s="6"/>
      <c r="F4357" s="6" t="b">
        <f t="shared" si="1"/>
        <v>0</v>
      </c>
    </row>
    <row r="4358" ht="15.75" customHeight="1">
      <c r="A4358" s="7" t="s">
        <v>8211</v>
      </c>
      <c r="B4358" s="4" t="s">
        <v>8212</v>
      </c>
      <c r="C4358" s="5" t="s">
        <v>16</v>
      </c>
      <c r="D4358" s="6" t="s">
        <v>8213</v>
      </c>
      <c r="E4358" s="6"/>
      <c r="F4358" s="6" t="b">
        <f t="shared" si="1"/>
        <v>0</v>
      </c>
    </row>
    <row r="4359" ht="15.75" customHeight="1">
      <c r="A4359" s="7" t="s">
        <v>8214</v>
      </c>
      <c r="B4359" s="4" t="s">
        <v>7319</v>
      </c>
      <c r="C4359" s="5" t="s">
        <v>16</v>
      </c>
      <c r="D4359" s="6" t="s">
        <v>8215</v>
      </c>
      <c r="E4359" s="6"/>
      <c r="F4359" s="6" t="b">
        <f t="shared" si="1"/>
        <v>0</v>
      </c>
    </row>
    <row r="4360" ht="15.75" customHeight="1">
      <c r="A4360" s="7" t="s">
        <v>8216</v>
      </c>
      <c r="B4360" s="4" t="s">
        <v>8217</v>
      </c>
      <c r="C4360" s="5" t="s">
        <v>16</v>
      </c>
      <c r="D4360" s="6" t="s">
        <v>8218</v>
      </c>
      <c r="E4360" s="6"/>
      <c r="F4360" s="6" t="b">
        <f t="shared" si="1"/>
        <v>0</v>
      </c>
    </row>
    <row r="4361" ht="15.75" customHeight="1">
      <c r="A4361" s="3" t="s">
        <v>8219</v>
      </c>
      <c r="B4361" s="4"/>
      <c r="C4361" s="5"/>
      <c r="D4361" s="5"/>
      <c r="E4361" s="6"/>
      <c r="F4361" s="6" t="b">
        <f t="shared" si="1"/>
        <v>0</v>
      </c>
    </row>
    <row r="4362" ht="15.75" customHeight="1">
      <c r="A4362" s="7" t="s">
        <v>8220</v>
      </c>
      <c r="B4362" s="4" t="s">
        <v>8221</v>
      </c>
      <c r="C4362" s="5" t="s">
        <v>16</v>
      </c>
      <c r="D4362" s="6" t="s">
        <v>8222</v>
      </c>
      <c r="E4362" s="6"/>
      <c r="F4362" s="6" t="b">
        <f t="shared" si="1"/>
        <v>0</v>
      </c>
    </row>
    <row r="4363" ht="15.75" customHeight="1">
      <c r="A4363" s="3" t="s">
        <v>8223</v>
      </c>
      <c r="B4363" s="4"/>
      <c r="C4363" s="5"/>
      <c r="D4363" s="5"/>
      <c r="E4363" s="6"/>
      <c r="F4363" s="6" t="b">
        <f t="shared" si="1"/>
        <v>0</v>
      </c>
    </row>
    <row r="4364" ht="15.75" customHeight="1">
      <c r="A4364" s="7" t="s">
        <v>8224</v>
      </c>
      <c r="B4364" s="4" t="s">
        <v>8225</v>
      </c>
      <c r="C4364" s="5" t="s">
        <v>16</v>
      </c>
      <c r="D4364" s="6" t="s">
        <v>8226</v>
      </c>
      <c r="E4364" s="6"/>
      <c r="F4364" s="6" t="b">
        <f t="shared" si="1"/>
        <v>0</v>
      </c>
    </row>
    <row r="4365" ht="15.75" customHeight="1">
      <c r="A4365" s="7" t="s">
        <v>8227</v>
      </c>
      <c r="B4365" s="4" t="s">
        <v>7448</v>
      </c>
      <c r="C4365" s="5" t="s">
        <v>6</v>
      </c>
      <c r="D4365" s="6" t="s">
        <v>5645</v>
      </c>
      <c r="E4365" s="6"/>
      <c r="F4365" s="6" t="b">
        <f t="shared" si="1"/>
        <v>0</v>
      </c>
    </row>
    <row r="4366" ht="15.75" customHeight="1">
      <c r="A4366" s="3" t="s">
        <v>8228</v>
      </c>
      <c r="B4366" s="4"/>
      <c r="C4366" s="5"/>
      <c r="D4366" s="5"/>
      <c r="E4366" s="6"/>
      <c r="F4366" s="6" t="b">
        <f t="shared" si="1"/>
        <v>0</v>
      </c>
    </row>
    <row r="4367" ht="15.75" customHeight="1">
      <c r="A4367" s="7" t="s">
        <v>8229</v>
      </c>
      <c r="B4367" s="4" t="s">
        <v>8230</v>
      </c>
      <c r="C4367" s="5" t="s">
        <v>6</v>
      </c>
      <c r="D4367" s="6" t="s">
        <v>5645</v>
      </c>
      <c r="E4367" s="6"/>
      <c r="F4367" s="6" t="b">
        <f t="shared" si="1"/>
        <v>0</v>
      </c>
    </row>
    <row r="4368" ht="15.75" customHeight="1">
      <c r="A4368" s="7" t="s">
        <v>8231</v>
      </c>
      <c r="B4368" s="4" t="s">
        <v>8232</v>
      </c>
      <c r="C4368" s="5" t="s">
        <v>6</v>
      </c>
      <c r="D4368" s="6" t="s">
        <v>8233</v>
      </c>
      <c r="E4368" s="6"/>
      <c r="F4368" s="6" t="b">
        <f t="shared" si="1"/>
        <v>0</v>
      </c>
    </row>
    <row r="4369" ht="15.75" customHeight="1">
      <c r="A4369" s="7" t="s">
        <v>8234</v>
      </c>
      <c r="B4369" s="4" t="s">
        <v>8235</v>
      </c>
      <c r="C4369" s="5" t="s">
        <v>6</v>
      </c>
      <c r="D4369" s="6" t="s">
        <v>6897</v>
      </c>
      <c r="E4369" s="6"/>
      <c r="F4369" s="6" t="b">
        <f t="shared" si="1"/>
        <v>0</v>
      </c>
    </row>
    <row r="4370" ht="15.75" customHeight="1">
      <c r="A4370" s="7" t="s">
        <v>8236</v>
      </c>
      <c r="B4370" s="4" t="s">
        <v>8237</v>
      </c>
      <c r="C4370" s="5" t="s">
        <v>6</v>
      </c>
      <c r="D4370" s="6" t="s">
        <v>4099</v>
      </c>
      <c r="E4370" s="6"/>
      <c r="F4370" s="6" t="b">
        <f t="shared" si="1"/>
        <v>0</v>
      </c>
    </row>
    <row r="4371" ht="15.75" customHeight="1">
      <c r="A4371" s="7" t="s">
        <v>8238</v>
      </c>
      <c r="B4371" s="4" t="s">
        <v>8239</v>
      </c>
      <c r="C4371" s="5" t="s">
        <v>16</v>
      </c>
      <c r="D4371" s="6" t="s">
        <v>5769</v>
      </c>
      <c r="E4371" s="6"/>
      <c r="F4371" s="6" t="b">
        <f t="shared" si="1"/>
        <v>0</v>
      </c>
    </row>
    <row r="4372" ht="15.75" customHeight="1">
      <c r="A4372" s="7" t="s">
        <v>8240</v>
      </c>
      <c r="B4372" s="4" t="s">
        <v>8241</v>
      </c>
      <c r="C4372" s="5" t="s">
        <v>6</v>
      </c>
      <c r="D4372" s="6" t="s">
        <v>8242</v>
      </c>
      <c r="E4372" s="6"/>
      <c r="F4372" s="6" t="b">
        <f t="shared" si="1"/>
        <v>0</v>
      </c>
    </row>
    <row r="4373" ht="15.75" customHeight="1">
      <c r="A4373" s="7" t="s">
        <v>8243</v>
      </c>
      <c r="B4373" s="4" t="s">
        <v>8244</v>
      </c>
      <c r="C4373" s="5" t="s">
        <v>6</v>
      </c>
      <c r="D4373" s="6" t="s">
        <v>6921</v>
      </c>
      <c r="E4373" s="6"/>
      <c r="F4373" s="6" t="b">
        <f t="shared" si="1"/>
        <v>0</v>
      </c>
    </row>
    <row r="4374" ht="15.75" customHeight="1">
      <c r="A4374" s="7" t="s">
        <v>8245</v>
      </c>
      <c r="B4374" s="4" t="s">
        <v>8246</v>
      </c>
      <c r="C4374" s="5" t="s">
        <v>6</v>
      </c>
      <c r="D4374" s="6" t="s">
        <v>8247</v>
      </c>
      <c r="E4374" s="6"/>
      <c r="F4374" s="6" t="b">
        <f t="shared" si="1"/>
        <v>0</v>
      </c>
    </row>
    <row r="4375" ht="15.75" customHeight="1">
      <c r="A4375" s="7" t="s">
        <v>8248</v>
      </c>
      <c r="B4375" s="4" t="s">
        <v>8249</v>
      </c>
      <c r="C4375" s="5" t="s">
        <v>6</v>
      </c>
      <c r="D4375" s="6" t="s">
        <v>8250</v>
      </c>
      <c r="E4375" s="6"/>
      <c r="F4375" s="6" t="b">
        <f t="shared" si="1"/>
        <v>0</v>
      </c>
    </row>
    <row r="4376" ht="15.75" customHeight="1">
      <c r="A4376" s="7" t="s">
        <v>8251</v>
      </c>
      <c r="B4376" s="4" t="s">
        <v>8252</v>
      </c>
      <c r="C4376" s="5" t="s">
        <v>16</v>
      </c>
      <c r="D4376" s="6" t="s">
        <v>911</v>
      </c>
      <c r="E4376" s="6"/>
      <c r="F4376" s="6" t="b">
        <f t="shared" si="1"/>
        <v>0</v>
      </c>
    </row>
    <row r="4377" ht="15.75" customHeight="1">
      <c r="A4377" s="7" t="s">
        <v>8253</v>
      </c>
      <c r="B4377" s="4" t="s">
        <v>8254</v>
      </c>
      <c r="C4377" s="6"/>
      <c r="D4377" s="6" t="s">
        <v>55</v>
      </c>
      <c r="E4377" s="6"/>
      <c r="F4377" s="6" t="b">
        <f t="shared" si="1"/>
        <v>0</v>
      </c>
    </row>
    <row r="4378" ht="15.75" customHeight="1">
      <c r="A4378" s="7" t="s">
        <v>8255</v>
      </c>
      <c r="B4378" s="4" t="s">
        <v>8256</v>
      </c>
      <c r="C4378" s="5" t="s">
        <v>6</v>
      </c>
      <c r="D4378" s="6" t="s">
        <v>6921</v>
      </c>
      <c r="E4378" s="6"/>
      <c r="F4378" s="6" t="b">
        <f t="shared" si="1"/>
        <v>0</v>
      </c>
    </row>
    <row r="4379" ht="15.75" customHeight="1">
      <c r="A4379" s="7" t="s">
        <v>8257</v>
      </c>
      <c r="B4379" s="4" t="s">
        <v>8258</v>
      </c>
      <c r="C4379" s="5" t="s">
        <v>6</v>
      </c>
      <c r="D4379" s="6" t="s">
        <v>8259</v>
      </c>
      <c r="E4379" s="6"/>
      <c r="F4379" s="6" t="b">
        <f t="shared" si="1"/>
        <v>0</v>
      </c>
    </row>
    <row r="4380" ht="15.75" customHeight="1">
      <c r="A4380" s="7" t="s">
        <v>8260</v>
      </c>
      <c r="B4380" s="4" t="s">
        <v>8261</v>
      </c>
      <c r="C4380" s="5" t="s">
        <v>6</v>
      </c>
      <c r="D4380" s="6" t="s">
        <v>6921</v>
      </c>
      <c r="E4380" s="6"/>
      <c r="F4380" s="6" t="b">
        <f t="shared" si="1"/>
        <v>0</v>
      </c>
    </row>
    <row r="4381" ht="15.75" customHeight="1">
      <c r="A4381" s="7" t="s">
        <v>8262</v>
      </c>
      <c r="B4381" s="4" t="s">
        <v>8263</v>
      </c>
      <c r="C4381" s="6"/>
      <c r="D4381" s="6" t="s">
        <v>55</v>
      </c>
      <c r="E4381" s="6"/>
      <c r="F4381" s="6" t="b">
        <f t="shared" si="1"/>
        <v>0</v>
      </c>
    </row>
    <row r="4382" ht="15.75" customHeight="1">
      <c r="A4382" s="7" t="s">
        <v>8264</v>
      </c>
      <c r="B4382" s="4" t="s">
        <v>8265</v>
      </c>
      <c r="C4382" s="5" t="s">
        <v>16</v>
      </c>
      <c r="D4382" s="6" t="s">
        <v>1087</v>
      </c>
      <c r="E4382" s="6"/>
      <c r="F4382" s="6" t="b">
        <f t="shared" si="1"/>
        <v>0</v>
      </c>
    </row>
    <row r="4383" ht="15.75" customHeight="1">
      <c r="A4383" s="7" t="s">
        <v>8266</v>
      </c>
      <c r="B4383" s="4" t="s">
        <v>8267</v>
      </c>
      <c r="C4383" s="6"/>
      <c r="D4383" s="6" t="s">
        <v>55</v>
      </c>
      <c r="E4383" s="6"/>
      <c r="F4383" s="6" t="b">
        <f t="shared" si="1"/>
        <v>0</v>
      </c>
    </row>
    <row r="4384" ht="15.75" customHeight="1">
      <c r="A4384" s="7" t="s">
        <v>8268</v>
      </c>
      <c r="B4384" s="4" t="s">
        <v>8269</v>
      </c>
      <c r="C4384" s="5" t="s">
        <v>6</v>
      </c>
      <c r="D4384" s="6" t="s">
        <v>1313</v>
      </c>
      <c r="E4384" s="6"/>
      <c r="F4384" s="6" t="b">
        <f t="shared" si="1"/>
        <v>0</v>
      </c>
    </row>
    <row r="4385" ht="15.75" customHeight="1">
      <c r="A4385" s="7" t="s">
        <v>8270</v>
      </c>
      <c r="B4385" s="4" t="s">
        <v>8271</v>
      </c>
      <c r="C4385" s="5" t="s">
        <v>6</v>
      </c>
      <c r="D4385" s="6" t="s">
        <v>2632</v>
      </c>
      <c r="E4385" s="6"/>
      <c r="F4385" s="6" t="b">
        <f t="shared" si="1"/>
        <v>0</v>
      </c>
    </row>
    <row r="4386" ht="15.75" customHeight="1">
      <c r="A4386" s="7" t="s">
        <v>8272</v>
      </c>
      <c r="B4386" s="4" t="s">
        <v>8273</v>
      </c>
      <c r="C4386" s="5" t="s">
        <v>16</v>
      </c>
      <c r="D4386" s="6" t="s">
        <v>8274</v>
      </c>
      <c r="E4386" s="6"/>
      <c r="F4386" s="6" t="b">
        <f t="shared" si="1"/>
        <v>0</v>
      </c>
    </row>
    <row r="4387" ht="15.75" customHeight="1">
      <c r="A4387" s="7" t="s">
        <v>8275</v>
      </c>
      <c r="B4387" s="4" t="s">
        <v>8276</v>
      </c>
      <c r="C4387" s="5" t="s">
        <v>6</v>
      </c>
      <c r="D4387" s="6" t="s">
        <v>8277</v>
      </c>
      <c r="E4387" s="6"/>
      <c r="F4387" s="6" t="b">
        <f t="shared" si="1"/>
        <v>0</v>
      </c>
    </row>
    <row r="4388" ht="15.75" customHeight="1">
      <c r="A4388" s="7" t="s">
        <v>8278</v>
      </c>
      <c r="B4388" s="4" t="s">
        <v>8279</v>
      </c>
      <c r="C4388" s="5" t="s">
        <v>16</v>
      </c>
      <c r="D4388" s="6" t="s">
        <v>8280</v>
      </c>
      <c r="E4388" s="6"/>
      <c r="F4388" s="6" t="b">
        <f t="shared" si="1"/>
        <v>0</v>
      </c>
    </row>
    <row r="4389" ht="15.75" customHeight="1">
      <c r="A4389" s="7" t="s">
        <v>8281</v>
      </c>
      <c r="B4389" s="4" t="s">
        <v>8282</v>
      </c>
      <c r="C4389" s="5" t="s">
        <v>16</v>
      </c>
      <c r="D4389" s="6" t="s">
        <v>8283</v>
      </c>
      <c r="E4389" s="6"/>
      <c r="F4389" s="6" t="b">
        <f t="shared" si="1"/>
        <v>0</v>
      </c>
    </row>
    <row r="4390" ht="15.75" customHeight="1">
      <c r="A4390" s="7" t="s">
        <v>8284</v>
      </c>
      <c r="B4390" s="4" t="s">
        <v>8285</v>
      </c>
      <c r="C4390" s="6"/>
      <c r="D4390" s="6" t="s">
        <v>55</v>
      </c>
      <c r="E4390" s="6"/>
      <c r="F4390" s="6" t="b">
        <f t="shared" si="1"/>
        <v>0</v>
      </c>
    </row>
    <row r="4391" ht="15.75" customHeight="1">
      <c r="A4391" s="7" t="s">
        <v>8286</v>
      </c>
      <c r="B4391" s="4" t="s">
        <v>8287</v>
      </c>
      <c r="C4391" s="6"/>
      <c r="D4391" s="6" t="s">
        <v>55</v>
      </c>
      <c r="E4391" s="6"/>
      <c r="F4391" s="6" t="b">
        <f t="shared" si="1"/>
        <v>0</v>
      </c>
    </row>
    <row r="4392" ht="15.75" customHeight="1">
      <c r="A4392" s="7" t="s">
        <v>8288</v>
      </c>
      <c r="B4392" s="4" t="s">
        <v>8289</v>
      </c>
      <c r="C4392" s="6"/>
      <c r="D4392" s="6" t="s">
        <v>55</v>
      </c>
      <c r="E4392" s="6"/>
      <c r="F4392" s="6" t="b">
        <f t="shared" si="1"/>
        <v>0</v>
      </c>
    </row>
    <row r="4393" ht="15.75" customHeight="1">
      <c r="A4393" s="7" t="s">
        <v>8290</v>
      </c>
      <c r="B4393" s="4" t="s">
        <v>8291</v>
      </c>
      <c r="C4393" s="5" t="s">
        <v>6</v>
      </c>
      <c r="D4393" s="6" t="s">
        <v>7915</v>
      </c>
      <c r="E4393" s="6"/>
      <c r="F4393" s="6" t="b">
        <f t="shared" si="1"/>
        <v>0</v>
      </c>
    </row>
    <row r="4394" ht="15.75" customHeight="1">
      <c r="A4394" s="7" t="s">
        <v>8292</v>
      </c>
      <c r="B4394" s="4" t="s">
        <v>8293</v>
      </c>
      <c r="C4394" s="5" t="s">
        <v>6</v>
      </c>
      <c r="D4394" s="6" t="s">
        <v>8294</v>
      </c>
      <c r="E4394" s="6"/>
      <c r="F4394" s="6" t="b">
        <f t="shared" si="1"/>
        <v>0</v>
      </c>
    </row>
    <row r="4395" ht="15.75" customHeight="1">
      <c r="A4395" s="7" t="s">
        <v>8295</v>
      </c>
      <c r="B4395" s="4" t="s">
        <v>8296</v>
      </c>
      <c r="C4395" s="5" t="s">
        <v>6</v>
      </c>
      <c r="D4395" s="6" t="s">
        <v>8297</v>
      </c>
      <c r="E4395" s="6"/>
      <c r="F4395" s="6" t="b">
        <f t="shared" si="1"/>
        <v>0</v>
      </c>
    </row>
    <row r="4396" ht="15.75" customHeight="1">
      <c r="A4396" s="7" t="s">
        <v>8298</v>
      </c>
      <c r="B4396" s="4" t="s">
        <v>8299</v>
      </c>
      <c r="C4396" s="5" t="s">
        <v>16</v>
      </c>
      <c r="D4396" s="6" t="s">
        <v>8300</v>
      </c>
      <c r="E4396" s="6"/>
      <c r="F4396" s="6" t="b">
        <f t="shared" si="1"/>
        <v>0</v>
      </c>
    </row>
    <row r="4397" ht="15.75" customHeight="1">
      <c r="A4397" s="7" t="s">
        <v>8301</v>
      </c>
      <c r="B4397" s="4" t="s">
        <v>8302</v>
      </c>
      <c r="C4397" s="5" t="s">
        <v>6</v>
      </c>
      <c r="D4397" s="6" t="s">
        <v>8303</v>
      </c>
      <c r="E4397" s="6"/>
      <c r="F4397" s="6" t="b">
        <f t="shared" si="1"/>
        <v>0</v>
      </c>
    </row>
    <row r="4398" ht="15.75" customHeight="1">
      <c r="A4398" s="7" t="s">
        <v>8304</v>
      </c>
      <c r="B4398" s="4" t="s">
        <v>8305</v>
      </c>
      <c r="C4398" s="5" t="s">
        <v>6</v>
      </c>
      <c r="D4398" s="6" t="s">
        <v>8306</v>
      </c>
      <c r="E4398" s="6"/>
      <c r="F4398" s="6" t="b">
        <f t="shared" si="1"/>
        <v>0</v>
      </c>
    </row>
    <row r="4399" ht="15.75" customHeight="1">
      <c r="A4399" s="7" t="s">
        <v>8307</v>
      </c>
      <c r="B4399" s="4" t="s">
        <v>8308</v>
      </c>
      <c r="C4399" s="5" t="s">
        <v>16</v>
      </c>
      <c r="D4399" s="6" t="s">
        <v>17</v>
      </c>
      <c r="E4399" s="6"/>
      <c r="F4399" s="6" t="b">
        <f t="shared" si="1"/>
        <v>0</v>
      </c>
    </row>
    <row r="4400" ht="15.75" customHeight="1">
      <c r="A4400" s="7" t="s">
        <v>8309</v>
      </c>
      <c r="B4400" s="4" t="s">
        <v>8310</v>
      </c>
      <c r="C4400" s="6"/>
      <c r="D4400" s="6" t="s">
        <v>150</v>
      </c>
      <c r="E4400" s="6"/>
      <c r="F4400" s="6" t="b">
        <f t="shared" si="1"/>
        <v>0</v>
      </c>
    </row>
    <row r="4401" ht="15.75" customHeight="1">
      <c r="A4401" s="7" t="s">
        <v>8311</v>
      </c>
      <c r="B4401" s="4" t="s">
        <v>8312</v>
      </c>
      <c r="C4401" s="5" t="s">
        <v>16</v>
      </c>
      <c r="D4401" s="6" t="s">
        <v>1087</v>
      </c>
      <c r="E4401" s="6"/>
      <c r="F4401" s="6" t="b">
        <f t="shared" si="1"/>
        <v>0</v>
      </c>
    </row>
    <row r="4402" ht="15.75" customHeight="1">
      <c r="A4402" s="7" t="s">
        <v>8313</v>
      </c>
      <c r="B4402" s="4" t="s">
        <v>8314</v>
      </c>
      <c r="C4402" s="5" t="s">
        <v>16</v>
      </c>
      <c r="D4402" s="6" t="s">
        <v>8315</v>
      </c>
      <c r="E4402" s="6"/>
      <c r="F4402" s="6" t="b">
        <f t="shared" si="1"/>
        <v>0</v>
      </c>
    </row>
    <row r="4403" ht="15.75" customHeight="1">
      <c r="A4403" s="7" t="s">
        <v>8316</v>
      </c>
      <c r="B4403" s="4" t="s">
        <v>8317</v>
      </c>
      <c r="C4403" s="6"/>
      <c r="D4403" s="6" t="s">
        <v>70</v>
      </c>
      <c r="E4403" s="6"/>
      <c r="F4403" s="6" t="b">
        <f t="shared" si="1"/>
        <v>0</v>
      </c>
    </row>
    <row r="4404" ht="15.75" customHeight="1">
      <c r="A4404" s="7" t="s">
        <v>8318</v>
      </c>
      <c r="B4404" s="4" t="s">
        <v>8319</v>
      </c>
      <c r="C4404" s="6"/>
      <c r="D4404" s="6" t="s">
        <v>55</v>
      </c>
      <c r="E4404" s="6"/>
      <c r="F4404" s="6" t="b">
        <f t="shared" si="1"/>
        <v>0</v>
      </c>
    </row>
    <row r="4405" ht="15.75" customHeight="1">
      <c r="A4405" s="7" t="s">
        <v>8320</v>
      </c>
      <c r="B4405" s="4" t="s">
        <v>8321</v>
      </c>
      <c r="C4405" s="5" t="s">
        <v>6</v>
      </c>
      <c r="D4405" s="6" t="s">
        <v>8322</v>
      </c>
      <c r="E4405" s="6"/>
      <c r="F4405" s="6" t="b">
        <f t="shared" si="1"/>
        <v>0</v>
      </c>
    </row>
    <row r="4406" ht="15.75" customHeight="1">
      <c r="A4406" s="7" t="s">
        <v>8323</v>
      </c>
      <c r="B4406" s="4" t="s">
        <v>8324</v>
      </c>
      <c r="C4406" s="5" t="s">
        <v>16</v>
      </c>
      <c r="D4406" s="6" t="s">
        <v>2560</v>
      </c>
      <c r="E4406" s="6"/>
      <c r="F4406" s="6" t="b">
        <f t="shared" si="1"/>
        <v>0</v>
      </c>
    </row>
    <row r="4407" ht="15.75" customHeight="1">
      <c r="A4407" s="7" t="s">
        <v>8325</v>
      </c>
      <c r="B4407" s="4" t="s">
        <v>8326</v>
      </c>
      <c r="C4407" s="5" t="s">
        <v>6</v>
      </c>
      <c r="D4407" s="6" t="s">
        <v>8327</v>
      </c>
      <c r="E4407" s="6"/>
      <c r="F4407" s="6" t="b">
        <f t="shared" si="1"/>
        <v>0</v>
      </c>
    </row>
    <row r="4408" ht="15.75" customHeight="1">
      <c r="A4408" s="7" t="s">
        <v>8328</v>
      </c>
      <c r="B4408" s="4" t="s">
        <v>8329</v>
      </c>
      <c r="C4408" s="8"/>
      <c r="D4408" s="6" t="s">
        <v>70</v>
      </c>
      <c r="E4408" s="6"/>
      <c r="F4408" s="6" t="b">
        <f t="shared" si="1"/>
        <v>0</v>
      </c>
    </row>
    <row r="4409" ht="15.75" customHeight="1">
      <c r="A4409" s="7" t="s">
        <v>8330</v>
      </c>
      <c r="B4409" s="4" t="s">
        <v>8331</v>
      </c>
      <c r="C4409" s="5" t="s">
        <v>6</v>
      </c>
      <c r="D4409" s="6" t="s">
        <v>8332</v>
      </c>
      <c r="E4409" s="6"/>
      <c r="F4409" s="6" t="b">
        <f t="shared" si="1"/>
        <v>0</v>
      </c>
    </row>
    <row r="4410" ht="15.75" customHeight="1">
      <c r="A4410" s="7" t="s">
        <v>8333</v>
      </c>
      <c r="B4410" s="4" t="s">
        <v>8334</v>
      </c>
      <c r="C4410" s="5" t="s">
        <v>6</v>
      </c>
      <c r="D4410" s="6" t="s">
        <v>905</v>
      </c>
      <c r="E4410" s="6"/>
      <c r="F4410" s="6" t="b">
        <f t="shared" si="1"/>
        <v>0</v>
      </c>
    </row>
    <row r="4411" ht="15.75" customHeight="1">
      <c r="A4411" s="7" t="s">
        <v>8335</v>
      </c>
      <c r="B4411" s="4" t="s">
        <v>8336</v>
      </c>
      <c r="C4411" s="5" t="s">
        <v>6</v>
      </c>
      <c r="D4411" s="6" t="s">
        <v>8337</v>
      </c>
      <c r="E4411" s="6"/>
      <c r="F4411" s="6" t="b">
        <f t="shared" si="1"/>
        <v>0</v>
      </c>
    </row>
    <row r="4412" ht="15.75" customHeight="1">
      <c r="A4412" s="7" t="s">
        <v>8338</v>
      </c>
      <c r="B4412" s="4" t="s">
        <v>8339</v>
      </c>
      <c r="C4412" s="5" t="s">
        <v>6</v>
      </c>
      <c r="D4412" s="6" t="s">
        <v>5304</v>
      </c>
      <c r="E4412" s="6"/>
      <c r="F4412" s="6" t="b">
        <f t="shared" si="1"/>
        <v>0</v>
      </c>
    </row>
    <row r="4413" ht="15.75" customHeight="1">
      <c r="A4413" s="7" t="s">
        <v>8340</v>
      </c>
      <c r="B4413" s="4" t="s">
        <v>8341</v>
      </c>
      <c r="C4413" s="5" t="s">
        <v>6</v>
      </c>
      <c r="D4413" s="6" t="s">
        <v>8342</v>
      </c>
      <c r="E4413" s="6"/>
      <c r="F4413" s="6" t="b">
        <f t="shared" si="1"/>
        <v>0</v>
      </c>
    </row>
    <row r="4414" ht="15.75" customHeight="1">
      <c r="A4414" s="7" t="s">
        <v>8343</v>
      </c>
      <c r="B4414" s="4" t="s">
        <v>8344</v>
      </c>
      <c r="C4414" s="5" t="s">
        <v>6</v>
      </c>
      <c r="D4414" s="6" t="s">
        <v>8345</v>
      </c>
      <c r="E4414" s="6"/>
      <c r="F4414" s="6" t="b">
        <f t="shared" si="1"/>
        <v>0</v>
      </c>
    </row>
    <row r="4415" ht="15.75" customHeight="1">
      <c r="A4415" s="7" t="s">
        <v>8346</v>
      </c>
      <c r="B4415" s="4" t="s">
        <v>8347</v>
      </c>
      <c r="C4415" s="5" t="s">
        <v>16</v>
      </c>
      <c r="D4415" s="6" t="s">
        <v>4688</v>
      </c>
      <c r="E4415" s="6"/>
      <c r="F4415" s="6" t="b">
        <f t="shared" si="1"/>
        <v>0</v>
      </c>
    </row>
    <row r="4416" ht="15.75" customHeight="1">
      <c r="A4416" s="12" t="s">
        <v>8348</v>
      </c>
      <c r="B4416" s="11"/>
      <c r="C4416" s="5"/>
      <c r="D4416" s="5"/>
      <c r="E4416" s="6"/>
      <c r="F4416" s="6" t="b">
        <f t="shared" si="1"/>
        <v>0</v>
      </c>
    </row>
    <row r="4417" ht="15.75" customHeight="1">
      <c r="A4417" s="10" t="s">
        <v>8349</v>
      </c>
      <c r="B4417" s="11"/>
      <c r="C4417" s="5"/>
      <c r="D4417" s="8"/>
      <c r="E4417" s="6"/>
      <c r="F4417" s="6" t="b">
        <f t="shared" si="1"/>
        <v>0</v>
      </c>
    </row>
    <row r="4418" ht="15.75" customHeight="1">
      <c r="A4418" s="10" t="s">
        <v>8350</v>
      </c>
      <c r="B4418" s="11"/>
      <c r="C4418" s="5"/>
      <c r="D4418" s="8"/>
      <c r="E4418" s="6"/>
      <c r="F4418" s="6" t="b">
        <f t="shared" si="1"/>
        <v>0</v>
      </c>
    </row>
    <row r="4419" ht="15.75" customHeight="1">
      <c r="A4419" s="7" t="s">
        <v>8351</v>
      </c>
      <c r="B4419" s="4" t="s">
        <v>8352</v>
      </c>
      <c r="C4419" s="5" t="s">
        <v>6</v>
      </c>
      <c r="D4419" s="6" t="s">
        <v>4805</v>
      </c>
      <c r="E4419" s="6"/>
      <c r="F4419" s="6" t="b">
        <f t="shared" si="1"/>
        <v>0</v>
      </c>
    </row>
    <row r="4420" ht="15.75" customHeight="1">
      <c r="A4420" s="7" t="s">
        <v>8353</v>
      </c>
      <c r="B4420" s="4" t="s">
        <v>8354</v>
      </c>
      <c r="C4420" s="5" t="s">
        <v>6</v>
      </c>
      <c r="D4420" s="6" t="s">
        <v>4805</v>
      </c>
      <c r="E4420" s="6"/>
      <c r="F4420" s="6" t="b">
        <f t="shared" si="1"/>
        <v>0</v>
      </c>
    </row>
    <row r="4421" ht="15.75" customHeight="1">
      <c r="A4421" s="7" t="s">
        <v>8355</v>
      </c>
      <c r="B4421" s="4" t="s">
        <v>8356</v>
      </c>
      <c r="C4421" s="5" t="s">
        <v>6</v>
      </c>
      <c r="D4421" s="6" t="s">
        <v>4805</v>
      </c>
      <c r="E4421" s="6"/>
      <c r="F4421" s="6" t="b">
        <f t="shared" si="1"/>
        <v>0</v>
      </c>
    </row>
    <row r="4422" ht="15.75" customHeight="1">
      <c r="A4422" s="7" t="s">
        <v>8357</v>
      </c>
      <c r="B4422" s="4" t="s">
        <v>8358</v>
      </c>
      <c r="C4422" s="5" t="s">
        <v>6</v>
      </c>
      <c r="D4422" s="6" t="s">
        <v>4805</v>
      </c>
      <c r="E4422" s="6"/>
      <c r="F4422" s="6" t="b">
        <f t="shared" si="1"/>
        <v>0</v>
      </c>
    </row>
    <row r="4423" ht="15.75" customHeight="1">
      <c r="A4423" s="7" t="s">
        <v>8359</v>
      </c>
      <c r="B4423" s="4" t="s">
        <v>8360</v>
      </c>
      <c r="C4423" s="5" t="s">
        <v>6</v>
      </c>
      <c r="D4423" s="6" t="s">
        <v>4808</v>
      </c>
      <c r="E4423" s="6"/>
      <c r="F4423" s="6" t="b">
        <f t="shared" si="1"/>
        <v>0</v>
      </c>
    </row>
    <row r="4424" ht="15.75" customHeight="1">
      <c r="A4424" s="7" t="s">
        <v>8361</v>
      </c>
      <c r="B4424" s="4" t="s">
        <v>8362</v>
      </c>
      <c r="C4424" s="5" t="s">
        <v>6</v>
      </c>
      <c r="D4424" s="6" t="s">
        <v>4808</v>
      </c>
      <c r="E4424" s="6"/>
      <c r="F4424" s="6" t="b">
        <f t="shared" si="1"/>
        <v>0</v>
      </c>
    </row>
    <row r="4425" ht="15.75" customHeight="1">
      <c r="A4425" s="7" t="s">
        <v>8363</v>
      </c>
      <c r="B4425" s="4" t="s">
        <v>8364</v>
      </c>
      <c r="C4425" s="5" t="s">
        <v>6</v>
      </c>
      <c r="D4425" s="6" t="s">
        <v>4808</v>
      </c>
      <c r="E4425" s="6"/>
      <c r="F4425" s="6" t="b">
        <f t="shared" si="1"/>
        <v>0</v>
      </c>
    </row>
    <row r="4426" ht="15.75" customHeight="1">
      <c r="A4426" s="7" t="s">
        <v>8365</v>
      </c>
      <c r="B4426" s="4" t="s">
        <v>8366</v>
      </c>
      <c r="C4426" s="5" t="s">
        <v>6</v>
      </c>
      <c r="D4426" s="6" t="s">
        <v>4808</v>
      </c>
      <c r="E4426" s="6"/>
      <c r="F4426" s="6" t="b">
        <f t="shared" si="1"/>
        <v>0</v>
      </c>
    </row>
    <row r="4427" ht="15.75" customHeight="1">
      <c r="A4427" s="7" t="s">
        <v>8367</v>
      </c>
      <c r="B4427" s="4" t="s">
        <v>8368</v>
      </c>
      <c r="C4427" s="5" t="s">
        <v>6</v>
      </c>
      <c r="D4427" s="6" t="s">
        <v>4808</v>
      </c>
      <c r="E4427" s="6"/>
      <c r="F4427" s="6" t="b">
        <f t="shared" si="1"/>
        <v>0</v>
      </c>
    </row>
    <row r="4428" ht="15.75" customHeight="1">
      <c r="A4428" s="7" t="s">
        <v>8369</v>
      </c>
      <c r="B4428" s="4" t="s">
        <v>8370</v>
      </c>
      <c r="C4428" s="5" t="s">
        <v>6</v>
      </c>
      <c r="D4428" s="6" t="s">
        <v>4808</v>
      </c>
      <c r="E4428" s="6"/>
      <c r="F4428" s="6" t="b">
        <f t="shared" si="1"/>
        <v>0</v>
      </c>
    </row>
    <row r="4429" ht="15.75" customHeight="1">
      <c r="A4429" s="7" t="s">
        <v>8371</v>
      </c>
      <c r="B4429" s="4" t="s">
        <v>4818</v>
      </c>
      <c r="C4429" s="5" t="s">
        <v>6</v>
      </c>
      <c r="D4429" s="6" t="s">
        <v>8372</v>
      </c>
      <c r="E4429" s="6"/>
      <c r="F4429" s="6" t="b">
        <f t="shared" si="1"/>
        <v>0</v>
      </c>
    </row>
    <row r="4430" ht="15.75" customHeight="1">
      <c r="A4430" s="7" t="s">
        <v>8373</v>
      </c>
      <c r="B4430" s="4" t="s">
        <v>8374</v>
      </c>
      <c r="C4430" s="6"/>
      <c r="D4430" s="6" t="s">
        <v>55</v>
      </c>
      <c r="E4430" s="6"/>
      <c r="F4430" s="6" t="b">
        <f t="shared" si="1"/>
        <v>0</v>
      </c>
    </row>
    <row r="4431" ht="15.75" customHeight="1">
      <c r="A4431" s="7" t="s">
        <v>8375</v>
      </c>
      <c r="B4431" s="4" t="s">
        <v>8376</v>
      </c>
      <c r="C4431" s="5" t="s">
        <v>6</v>
      </c>
      <c r="D4431" s="6" t="s">
        <v>1974</v>
      </c>
      <c r="E4431" s="6"/>
      <c r="F4431" s="6" t="b">
        <f t="shared" si="1"/>
        <v>0</v>
      </c>
    </row>
    <row r="4432" ht="15.75" customHeight="1">
      <c r="A4432" s="7" t="s">
        <v>8377</v>
      </c>
      <c r="B4432" s="4" t="s">
        <v>8378</v>
      </c>
      <c r="C4432" s="5" t="s">
        <v>16</v>
      </c>
      <c r="D4432" s="6" t="s">
        <v>7364</v>
      </c>
      <c r="E4432" s="6"/>
      <c r="F4432" s="6" t="b">
        <f t="shared" si="1"/>
        <v>0</v>
      </c>
    </row>
    <row r="4433" ht="15.75" customHeight="1">
      <c r="A4433" s="7" t="s">
        <v>8379</v>
      </c>
      <c r="B4433" s="4" t="s">
        <v>8380</v>
      </c>
      <c r="C4433" s="5" t="s">
        <v>16</v>
      </c>
      <c r="D4433" s="6" t="s">
        <v>7364</v>
      </c>
      <c r="E4433" s="6"/>
      <c r="F4433" s="6" t="b">
        <f t="shared" si="1"/>
        <v>0</v>
      </c>
    </row>
    <row r="4434" ht="15.75" customHeight="1">
      <c r="A4434" s="7" t="s">
        <v>8381</v>
      </c>
      <c r="B4434" s="4" t="s">
        <v>8382</v>
      </c>
      <c r="C4434" s="5" t="s">
        <v>16</v>
      </c>
      <c r="D4434" s="6" t="s">
        <v>7364</v>
      </c>
      <c r="E4434" s="6"/>
      <c r="F4434" s="6" t="b">
        <f t="shared" si="1"/>
        <v>0</v>
      </c>
    </row>
    <row r="4435" ht="15.75" customHeight="1">
      <c r="A4435" s="7" t="s">
        <v>8383</v>
      </c>
      <c r="B4435" s="4" t="s">
        <v>8384</v>
      </c>
      <c r="C4435" s="5" t="s">
        <v>6</v>
      </c>
      <c r="D4435" s="6" t="s">
        <v>8385</v>
      </c>
      <c r="E4435" s="6"/>
      <c r="F4435" s="6" t="b">
        <f t="shared" si="1"/>
        <v>0</v>
      </c>
    </row>
    <row r="4436" ht="15.75" customHeight="1">
      <c r="A4436" s="10" t="s">
        <v>8386</v>
      </c>
      <c r="B4436" s="11"/>
      <c r="C4436" s="5"/>
      <c r="D4436" s="8"/>
      <c r="E4436" s="6"/>
      <c r="F4436" s="6" t="b">
        <f t="shared" si="1"/>
        <v>0</v>
      </c>
    </row>
    <row r="4437" ht="15.75" customHeight="1">
      <c r="A4437" s="10" t="s">
        <v>8387</v>
      </c>
      <c r="B4437" s="11"/>
      <c r="C4437" s="5"/>
      <c r="D4437" s="8"/>
      <c r="E4437" s="6"/>
      <c r="F4437" s="6" t="b">
        <f t="shared" si="1"/>
        <v>0</v>
      </c>
    </row>
    <row r="4438" ht="15.75" customHeight="1">
      <c r="A4438" s="7" t="s">
        <v>8388</v>
      </c>
      <c r="B4438" s="4" t="s">
        <v>8389</v>
      </c>
      <c r="C4438" s="6"/>
      <c r="D4438" s="6" t="s">
        <v>55</v>
      </c>
      <c r="E4438" s="6"/>
      <c r="F4438" s="6" t="b">
        <f t="shared" si="1"/>
        <v>0</v>
      </c>
    </row>
    <row r="4439" ht="15.75" customHeight="1">
      <c r="A4439" s="7" t="s">
        <v>8390</v>
      </c>
      <c r="B4439" s="4" t="s">
        <v>8391</v>
      </c>
      <c r="C4439" s="8"/>
      <c r="D4439" s="6" t="s">
        <v>36</v>
      </c>
      <c r="E4439" s="6"/>
      <c r="F4439" s="6" t="b">
        <f t="shared" si="1"/>
        <v>0</v>
      </c>
    </row>
    <row r="4440" ht="15.75" customHeight="1">
      <c r="A4440" s="3" t="s">
        <v>8392</v>
      </c>
      <c r="B4440" s="4"/>
      <c r="C4440" s="5"/>
      <c r="D4440" s="5"/>
      <c r="E4440" s="6"/>
      <c r="F4440" s="6" t="b">
        <f t="shared" si="1"/>
        <v>0</v>
      </c>
    </row>
    <row r="4441" ht="15.75" customHeight="1">
      <c r="A4441" s="10" t="s">
        <v>8393</v>
      </c>
      <c r="B4441" s="11"/>
      <c r="C4441" s="5"/>
      <c r="D4441" s="8"/>
      <c r="E4441" s="6"/>
      <c r="F4441" s="6" t="b">
        <f t="shared" si="1"/>
        <v>0</v>
      </c>
    </row>
    <row r="4442" ht="15.75" customHeight="1">
      <c r="A4442" s="10" t="s">
        <v>8394</v>
      </c>
      <c r="B4442" s="11"/>
      <c r="C4442" s="5"/>
      <c r="D4442" s="8"/>
      <c r="E4442" s="6"/>
      <c r="F4442" s="6" t="b">
        <f t="shared" si="1"/>
        <v>0</v>
      </c>
    </row>
    <row r="4443" ht="15.75" customHeight="1">
      <c r="A4443" s="3" t="s">
        <v>8395</v>
      </c>
      <c r="B4443" s="4"/>
      <c r="C4443" s="5"/>
      <c r="D4443" s="5"/>
      <c r="E4443" s="6"/>
      <c r="F4443" s="6" t="b">
        <f t="shared" si="1"/>
        <v>0</v>
      </c>
    </row>
    <row r="4444" ht="15.75" customHeight="1">
      <c r="A4444" s="3" t="s">
        <v>8396</v>
      </c>
      <c r="B4444" s="4"/>
      <c r="C4444" s="5"/>
      <c r="D4444" s="5"/>
      <c r="E4444" s="6"/>
      <c r="F4444" s="6" t="b">
        <f t="shared" si="1"/>
        <v>0</v>
      </c>
    </row>
    <row r="4445" ht="15.75" customHeight="1">
      <c r="A4445" s="3" t="s">
        <v>8397</v>
      </c>
      <c r="B4445" s="4"/>
      <c r="C4445" s="5"/>
      <c r="D4445" s="5"/>
      <c r="E4445" s="6"/>
      <c r="F4445" s="6" t="b">
        <f t="shared" si="1"/>
        <v>0</v>
      </c>
    </row>
    <row r="4446" ht="15.75" customHeight="1">
      <c r="A4446" s="7" t="s">
        <v>8398</v>
      </c>
      <c r="B4446" s="4" t="s">
        <v>8399</v>
      </c>
      <c r="C4446" s="5" t="s">
        <v>6</v>
      </c>
      <c r="D4446" s="6" t="s">
        <v>8400</v>
      </c>
      <c r="E4446" s="6"/>
      <c r="F4446" s="6" t="b">
        <f t="shared" si="1"/>
        <v>0</v>
      </c>
    </row>
    <row r="4447" ht="15.75" customHeight="1">
      <c r="A4447" s="7" t="s">
        <v>8401</v>
      </c>
      <c r="B4447" s="4" t="s">
        <v>8402</v>
      </c>
      <c r="C4447" s="5" t="s">
        <v>6</v>
      </c>
      <c r="D4447" s="6" t="s">
        <v>8403</v>
      </c>
      <c r="E4447" s="6"/>
      <c r="F4447" s="6" t="b">
        <f t="shared" si="1"/>
        <v>0</v>
      </c>
    </row>
    <row r="4448" ht="15.75" customHeight="1">
      <c r="A4448" s="7" t="s">
        <v>8404</v>
      </c>
      <c r="B4448" s="4" t="s">
        <v>8405</v>
      </c>
      <c r="C4448" s="5" t="s">
        <v>6</v>
      </c>
      <c r="D4448" s="6" t="s">
        <v>8406</v>
      </c>
      <c r="E4448" s="6"/>
      <c r="F4448" s="6" t="b">
        <f t="shared" si="1"/>
        <v>0</v>
      </c>
    </row>
    <row r="4449" ht="15.75" customHeight="1">
      <c r="A4449" s="7" t="s">
        <v>8407</v>
      </c>
      <c r="B4449" s="4" t="s">
        <v>8408</v>
      </c>
      <c r="C4449" s="5" t="s">
        <v>6</v>
      </c>
      <c r="D4449" s="6" t="s">
        <v>8409</v>
      </c>
      <c r="E4449" s="6"/>
      <c r="F4449" s="6" t="b">
        <f t="shared" si="1"/>
        <v>0</v>
      </c>
    </row>
    <row r="4450" ht="15.75" customHeight="1">
      <c r="A4450" s="3" t="s">
        <v>8410</v>
      </c>
      <c r="B4450" s="4"/>
      <c r="C4450" s="5"/>
      <c r="D4450" s="5"/>
      <c r="E4450" s="6"/>
      <c r="F4450" s="6" t="b">
        <f t="shared" si="1"/>
        <v>0</v>
      </c>
    </row>
    <row r="4451" ht="15.75" customHeight="1">
      <c r="A4451" s="3" t="s">
        <v>8411</v>
      </c>
      <c r="B4451" s="4"/>
      <c r="C4451" s="5"/>
      <c r="D4451" s="5"/>
      <c r="E4451" s="6"/>
      <c r="F4451" s="6" t="b">
        <f t="shared" si="1"/>
        <v>0</v>
      </c>
    </row>
    <row r="4452" ht="15.75" customHeight="1">
      <c r="A4452" s="3" t="s">
        <v>8412</v>
      </c>
      <c r="B4452" s="4"/>
      <c r="C4452" s="5"/>
      <c r="D4452" s="5"/>
      <c r="E4452" s="6"/>
      <c r="F4452" s="6" t="b">
        <f t="shared" si="1"/>
        <v>0</v>
      </c>
    </row>
    <row r="4453" ht="15.75" customHeight="1">
      <c r="A4453" s="3" t="s">
        <v>8413</v>
      </c>
      <c r="B4453" s="4"/>
      <c r="C4453" s="5"/>
      <c r="D4453" s="5"/>
      <c r="E4453" s="6"/>
      <c r="F4453" s="6" t="b">
        <f t="shared" si="1"/>
        <v>0</v>
      </c>
    </row>
    <row r="4454" ht="15.75" customHeight="1">
      <c r="A4454" s="3" t="s">
        <v>8414</v>
      </c>
      <c r="B4454" s="4"/>
      <c r="C4454" s="5"/>
      <c r="D4454" s="5"/>
      <c r="E4454" s="6"/>
      <c r="F4454" s="6" t="b">
        <f t="shared" si="1"/>
        <v>0</v>
      </c>
    </row>
    <row r="4455" ht="15.75" customHeight="1">
      <c r="A4455" s="10" t="s">
        <v>8415</v>
      </c>
      <c r="B4455" s="11"/>
      <c r="C4455" s="5"/>
      <c r="D4455" s="8"/>
      <c r="E4455" s="6"/>
      <c r="F4455" s="6" t="b">
        <f t="shared" si="1"/>
        <v>0</v>
      </c>
    </row>
    <row r="4456" ht="15.75" customHeight="1">
      <c r="A4456" s="7" t="s">
        <v>8416</v>
      </c>
      <c r="B4456" s="4" t="s">
        <v>8417</v>
      </c>
      <c r="C4456" s="5" t="s">
        <v>6</v>
      </c>
      <c r="D4456" s="6" t="s">
        <v>547</v>
      </c>
      <c r="E4456" s="6"/>
      <c r="F4456" s="6" t="b">
        <f t="shared" si="1"/>
        <v>0</v>
      </c>
    </row>
    <row r="4457" ht="15.75" customHeight="1">
      <c r="A4457" s="10" t="s">
        <v>8418</v>
      </c>
      <c r="B4457" s="11"/>
      <c r="C4457" s="5" t="s">
        <v>8419</v>
      </c>
      <c r="D4457" s="8"/>
      <c r="E4457" s="6"/>
      <c r="F4457" s="6" t="b">
        <f t="shared" si="1"/>
        <v>0</v>
      </c>
    </row>
    <row r="4458" ht="15.75" customHeight="1">
      <c r="A4458" s="10" t="s">
        <v>8420</v>
      </c>
      <c r="B4458" s="11"/>
      <c r="C4458" s="5" t="s">
        <v>8419</v>
      </c>
      <c r="D4458" s="8"/>
      <c r="E4458" s="6"/>
      <c r="F4458" s="6" t="b">
        <f t="shared" si="1"/>
        <v>0</v>
      </c>
    </row>
    <row r="4459" ht="15.75" customHeight="1">
      <c r="A4459" s="3" t="s">
        <v>8421</v>
      </c>
      <c r="B4459" s="4"/>
      <c r="C4459" s="5"/>
      <c r="D4459" s="5"/>
      <c r="E4459" s="6"/>
      <c r="F4459" s="6" t="b">
        <f t="shared" si="1"/>
        <v>0</v>
      </c>
    </row>
    <row r="4460" ht="15.75" customHeight="1">
      <c r="A4460" s="10" t="s">
        <v>8422</v>
      </c>
      <c r="B4460" s="11"/>
      <c r="C4460" s="5" t="s">
        <v>8419</v>
      </c>
      <c r="D4460" s="8"/>
      <c r="E4460" s="6"/>
      <c r="F4460" s="6" t="b">
        <f t="shared" si="1"/>
        <v>0</v>
      </c>
    </row>
    <row r="4461" ht="15.75" customHeight="1">
      <c r="A4461" s="3" t="s">
        <v>8423</v>
      </c>
      <c r="B4461" s="4"/>
      <c r="C4461" s="5"/>
      <c r="D4461" s="5"/>
      <c r="E4461" s="6"/>
      <c r="F4461" s="6" t="b">
        <f t="shared" si="1"/>
        <v>0</v>
      </c>
    </row>
    <row r="4462" ht="15.75" customHeight="1">
      <c r="A4462" s="3" t="s">
        <v>8424</v>
      </c>
      <c r="B4462" s="4"/>
      <c r="C4462" s="5"/>
      <c r="D4462" s="5"/>
      <c r="E4462" s="6"/>
      <c r="F4462" s="6" t="b">
        <f t="shared" si="1"/>
        <v>0</v>
      </c>
    </row>
    <row r="4463" ht="15.75" customHeight="1">
      <c r="A4463" s="3" t="s">
        <v>8425</v>
      </c>
      <c r="B4463" s="4"/>
      <c r="C4463" s="5"/>
      <c r="D4463" s="5"/>
      <c r="E4463" s="6"/>
      <c r="F4463" s="6" t="b">
        <f t="shared" si="1"/>
        <v>0</v>
      </c>
    </row>
    <row r="4464" ht="15.75" customHeight="1">
      <c r="A4464" s="10" t="s">
        <v>8426</v>
      </c>
      <c r="B4464" s="11"/>
      <c r="C4464" s="5" t="s">
        <v>8419</v>
      </c>
      <c r="D4464" s="8"/>
      <c r="E4464" s="6"/>
      <c r="F4464" s="6" t="b">
        <f t="shared" si="1"/>
        <v>0</v>
      </c>
    </row>
    <row r="4465" ht="15.75" customHeight="1">
      <c r="A4465" s="3" t="s">
        <v>8427</v>
      </c>
      <c r="B4465" s="4"/>
      <c r="C4465" s="5"/>
      <c r="D4465" s="5"/>
      <c r="E4465" s="6"/>
      <c r="F4465" s="6" t="b">
        <f t="shared" si="1"/>
        <v>0</v>
      </c>
    </row>
    <row r="4466" ht="15.75" customHeight="1">
      <c r="A4466" s="3" t="s">
        <v>8428</v>
      </c>
      <c r="B4466" s="4"/>
      <c r="C4466" s="5"/>
      <c r="D4466" s="5"/>
      <c r="E4466" s="6"/>
      <c r="F4466" s="6" t="b">
        <f t="shared" si="1"/>
        <v>0</v>
      </c>
    </row>
    <row r="4467" ht="15.75" customHeight="1">
      <c r="A4467" s="3" t="s">
        <v>8429</v>
      </c>
      <c r="B4467" s="4"/>
      <c r="C4467" s="5"/>
      <c r="D4467" s="5"/>
      <c r="E4467" s="6"/>
      <c r="F4467" s="6" t="b">
        <f t="shared" si="1"/>
        <v>0</v>
      </c>
    </row>
    <row r="4468" ht="15.75" customHeight="1">
      <c r="A4468" s="10" t="s">
        <v>8430</v>
      </c>
      <c r="B4468" s="11"/>
      <c r="C4468" s="5" t="s">
        <v>8419</v>
      </c>
      <c r="D4468" s="8"/>
      <c r="E4468" s="6"/>
      <c r="F4468" s="6" t="b">
        <f t="shared" si="1"/>
        <v>0</v>
      </c>
    </row>
    <row r="4469" ht="15.75" customHeight="1">
      <c r="A4469" s="3" t="s">
        <v>8431</v>
      </c>
      <c r="B4469" s="4"/>
      <c r="C4469" s="5"/>
      <c r="D4469" s="5"/>
      <c r="E4469" s="6"/>
      <c r="F4469" s="6" t="b">
        <f t="shared" si="1"/>
        <v>0</v>
      </c>
    </row>
    <row r="4470" ht="15.75" customHeight="1">
      <c r="A4470" s="7" t="s">
        <v>8432</v>
      </c>
      <c r="B4470" s="4" t="s">
        <v>8433</v>
      </c>
      <c r="C4470" s="5" t="s">
        <v>6</v>
      </c>
      <c r="D4470" s="6" t="s">
        <v>547</v>
      </c>
      <c r="E4470" s="6"/>
      <c r="F4470" s="6" t="b">
        <f t="shared" si="1"/>
        <v>0</v>
      </c>
    </row>
    <row r="4471" ht="15.75" customHeight="1">
      <c r="A4471" s="10" t="s">
        <v>8434</v>
      </c>
      <c r="B4471" s="11"/>
      <c r="C4471" s="5" t="s">
        <v>8419</v>
      </c>
      <c r="D4471" s="8"/>
      <c r="E4471" s="6"/>
      <c r="F4471" s="6" t="b">
        <f t="shared" si="1"/>
        <v>0</v>
      </c>
    </row>
    <row r="4472" ht="15.75" customHeight="1">
      <c r="A4472" s="3" t="s">
        <v>8435</v>
      </c>
      <c r="B4472" s="4"/>
      <c r="C4472" s="5"/>
      <c r="D4472" s="5"/>
      <c r="E4472" s="6"/>
      <c r="F4472" s="6" t="b">
        <f t="shared" si="1"/>
        <v>0</v>
      </c>
    </row>
    <row r="4473" ht="15.75" customHeight="1">
      <c r="A4473" s="7" t="s">
        <v>8436</v>
      </c>
      <c r="B4473" s="4" t="s">
        <v>8437</v>
      </c>
      <c r="C4473" s="5" t="s">
        <v>6</v>
      </c>
      <c r="D4473" s="6" t="s">
        <v>547</v>
      </c>
      <c r="E4473" s="6"/>
      <c r="F4473" s="6" t="b">
        <f t="shared" si="1"/>
        <v>0</v>
      </c>
    </row>
    <row r="4474" ht="15.75" customHeight="1">
      <c r="A4474" s="7" t="s">
        <v>8438</v>
      </c>
      <c r="B4474" s="4" t="s">
        <v>8439</v>
      </c>
      <c r="C4474" s="5" t="s">
        <v>6</v>
      </c>
      <c r="D4474" s="6" t="s">
        <v>547</v>
      </c>
      <c r="E4474" s="6"/>
      <c r="F4474" s="6" t="b">
        <f t="shared" si="1"/>
        <v>0</v>
      </c>
    </row>
    <row r="4475" ht="15.75" customHeight="1">
      <c r="A4475" s="7" t="s">
        <v>8440</v>
      </c>
      <c r="B4475" s="4" t="s">
        <v>8441</v>
      </c>
      <c r="C4475" s="5" t="s">
        <v>6</v>
      </c>
      <c r="D4475" s="6" t="s">
        <v>10</v>
      </c>
      <c r="E4475" s="6"/>
      <c r="F4475" s="6" t="b">
        <f t="shared" si="1"/>
        <v>0</v>
      </c>
    </row>
    <row r="4476" ht="15.75" customHeight="1">
      <c r="A4476" s="3" t="s">
        <v>8442</v>
      </c>
      <c r="B4476" s="4"/>
      <c r="C4476" s="5"/>
      <c r="D4476" s="5"/>
      <c r="E4476" s="6"/>
      <c r="F4476" s="6" t="b">
        <f t="shared" si="1"/>
        <v>0</v>
      </c>
    </row>
    <row r="4477" ht="15.75" customHeight="1">
      <c r="A4477" s="3" t="s">
        <v>8443</v>
      </c>
      <c r="B4477" s="4"/>
      <c r="C4477" s="5"/>
      <c r="D4477" s="5"/>
      <c r="E4477" s="6"/>
      <c r="F4477" s="6" t="b">
        <f t="shared" si="1"/>
        <v>0</v>
      </c>
    </row>
    <row r="4478" ht="15.75" customHeight="1">
      <c r="A4478" s="7" t="s">
        <v>8444</v>
      </c>
      <c r="B4478" s="4" t="s">
        <v>8445</v>
      </c>
      <c r="C4478" s="5" t="s">
        <v>229</v>
      </c>
      <c r="D4478" s="6" t="s">
        <v>6890</v>
      </c>
      <c r="E4478" s="6"/>
      <c r="F4478" s="6" t="b">
        <f t="shared" si="1"/>
        <v>0</v>
      </c>
    </row>
    <row r="4479" ht="15.75" customHeight="1">
      <c r="A4479" s="7" t="s">
        <v>8446</v>
      </c>
      <c r="B4479" s="4" t="s">
        <v>8447</v>
      </c>
      <c r="C4479" s="5" t="s">
        <v>6</v>
      </c>
      <c r="D4479" s="6" t="s">
        <v>895</v>
      </c>
      <c r="E4479" s="6"/>
      <c r="F4479" s="6" t="b">
        <f t="shared" si="1"/>
        <v>0</v>
      </c>
    </row>
    <row r="4480" ht="15.75" customHeight="1">
      <c r="A4480" s="3" t="s">
        <v>8448</v>
      </c>
      <c r="B4480" s="4"/>
      <c r="C4480" s="5" t="s">
        <v>8419</v>
      </c>
      <c r="D4480" s="5"/>
      <c r="E4480" s="6"/>
      <c r="F4480" s="6" t="b">
        <f t="shared" si="1"/>
        <v>0</v>
      </c>
    </row>
    <row r="4481" ht="15.75" customHeight="1">
      <c r="A4481" s="3" t="s">
        <v>8449</v>
      </c>
      <c r="B4481" s="4"/>
      <c r="C4481" s="5" t="s">
        <v>8419</v>
      </c>
      <c r="D4481" s="5"/>
      <c r="E4481" s="6"/>
      <c r="F4481" s="6" t="b">
        <f t="shared" si="1"/>
        <v>0</v>
      </c>
    </row>
    <row r="4482" ht="15.75" customHeight="1">
      <c r="A4482" s="3" t="s">
        <v>8450</v>
      </c>
      <c r="B4482" s="4"/>
      <c r="C4482" s="5" t="s">
        <v>8419</v>
      </c>
      <c r="D4482" s="5"/>
      <c r="E4482" s="6"/>
      <c r="F4482" s="6" t="b">
        <f t="shared" si="1"/>
        <v>0</v>
      </c>
    </row>
    <row r="4483" ht="15.75" customHeight="1">
      <c r="A4483" s="3" t="s">
        <v>8451</v>
      </c>
      <c r="B4483" s="4"/>
      <c r="C4483" s="5" t="s">
        <v>8419</v>
      </c>
      <c r="D4483" s="5"/>
      <c r="E4483" s="6"/>
      <c r="F4483" s="6" t="b">
        <f t="shared" si="1"/>
        <v>0</v>
      </c>
    </row>
    <row r="4484" ht="15.75" customHeight="1">
      <c r="A4484" s="3" t="s">
        <v>8452</v>
      </c>
      <c r="B4484" s="4"/>
      <c r="C4484" s="5" t="s">
        <v>8419</v>
      </c>
      <c r="D4484" s="5"/>
      <c r="E4484" s="6"/>
      <c r="F4484" s="6" t="b">
        <f t="shared" si="1"/>
        <v>0</v>
      </c>
    </row>
    <row r="4485" ht="15.75" customHeight="1">
      <c r="A4485" s="3" t="s">
        <v>8453</v>
      </c>
      <c r="B4485" s="4"/>
      <c r="C4485" s="5" t="s">
        <v>8419</v>
      </c>
      <c r="D4485" s="5"/>
      <c r="E4485" s="6"/>
      <c r="F4485" s="6" t="b">
        <f t="shared" si="1"/>
        <v>0</v>
      </c>
    </row>
    <row r="4486" ht="15.75" customHeight="1">
      <c r="A4486" s="3" t="s">
        <v>8454</v>
      </c>
      <c r="B4486" s="4"/>
      <c r="C4486" s="5" t="s">
        <v>8419</v>
      </c>
      <c r="D4486" s="5"/>
      <c r="E4486" s="6"/>
      <c r="F4486" s="6" t="b">
        <f t="shared" si="1"/>
        <v>0</v>
      </c>
    </row>
    <row r="4487" ht="15.75" customHeight="1">
      <c r="A4487" s="3" t="s">
        <v>8455</v>
      </c>
      <c r="B4487" s="4"/>
      <c r="C4487" s="5" t="s">
        <v>8419</v>
      </c>
      <c r="D4487" s="5"/>
      <c r="E4487" s="6"/>
      <c r="F4487" s="6" t="b">
        <f t="shared" si="1"/>
        <v>0</v>
      </c>
    </row>
    <row r="4488" ht="15.75" customHeight="1">
      <c r="A4488" s="3" t="s">
        <v>8456</v>
      </c>
      <c r="B4488" s="4"/>
      <c r="C4488" s="5" t="s">
        <v>8419</v>
      </c>
      <c r="D4488" s="5"/>
      <c r="E4488" s="6"/>
      <c r="F4488" s="6" t="b">
        <f t="shared" si="1"/>
        <v>0</v>
      </c>
    </row>
    <row r="4489" ht="15.75" customHeight="1">
      <c r="A4489" s="3" t="s">
        <v>8457</v>
      </c>
      <c r="B4489" s="4"/>
      <c r="C4489" s="5" t="s">
        <v>8419</v>
      </c>
      <c r="D4489" s="5"/>
      <c r="E4489" s="6"/>
      <c r="F4489" s="6" t="b">
        <f t="shared" si="1"/>
        <v>0</v>
      </c>
    </row>
    <row r="4490" ht="15.75" customHeight="1">
      <c r="A4490" s="3" t="s">
        <v>8458</v>
      </c>
      <c r="B4490" s="4"/>
      <c r="C4490" s="5" t="s">
        <v>8419</v>
      </c>
      <c r="D4490" s="5"/>
      <c r="E4490" s="6"/>
      <c r="F4490" s="6" t="b">
        <f t="shared" si="1"/>
        <v>0</v>
      </c>
    </row>
    <row r="4491" ht="15.75" customHeight="1">
      <c r="A4491" s="7" t="s">
        <v>8459</v>
      </c>
      <c r="B4491" s="4" t="s">
        <v>8460</v>
      </c>
      <c r="C4491" s="5" t="s">
        <v>6</v>
      </c>
      <c r="D4491" s="6" t="s">
        <v>8461</v>
      </c>
      <c r="E4491" s="6"/>
      <c r="F4491" s="6" t="b">
        <f t="shared" si="1"/>
        <v>0</v>
      </c>
    </row>
    <row r="4492" ht="15.75" customHeight="1">
      <c r="A4492" s="10" t="s">
        <v>8462</v>
      </c>
      <c r="B4492" s="11"/>
      <c r="C4492" s="5" t="s">
        <v>8419</v>
      </c>
      <c r="D4492" s="8"/>
      <c r="E4492" s="6"/>
      <c r="F4492" s="6" t="b">
        <f t="shared" si="1"/>
        <v>0</v>
      </c>
    </row>
    <row r="4493" ht="15.75" customHeight="1">
      <c r="A4493" s="3" t="s">
        <v>8463</v>
      </c>
      <c r="B4493" s="4"/>
      <c r="C4493" s="5" t="s">
        <v>8419</v>
      </c>
      <c r="D4493" s="5"/>
      <c r="E4493" s="6"/>
      <c r="F4493" s="6" t="b">
        <f t="shared" si="1"/>
        <v>0</v>
      </c>
    </row>
    <row r="4494" ht="15.75" customHeight="1">
      <c r="A4494" s="3" t="s">
        <v>8464</v>
      </c>
      <c r="B4494" s="4"/>
      <c r="C4494" s="5" t="s">
        <v>8419</v>
      </c>
      <c r="D4494" s="5"/>
      <c r="E4494" s="6"/>
      <c r="F4494" s="6" t="b">
        <f t="shared" si="1"/>
        <v>0</v>
      </c>
    </row>
    <row r="4495" ht="15.75" customHeight="1">
      <c r="A4495" s="3" t="s">
        <v>8465</v>
      </c>
      <c r="B4495" s="4"/>
      <c r="C4495" s="5" t="s">
        <v>8419</v>
      </c>
      <c r="D4495" s="5"/>
      <c r="E4495" s="6"/>
      <c r="F4495" s="6" t="b">
        <f t="shared" si="1"/>
        <v>0</v>
      </c>
    </row>
    <row r="4496" ht="15.75" customHeight="1">
      <c r="A4496" s="3" t="s">
        <v>8466</v>
      </c>
      <c r="B4496" s="4"/>
      <c r="C4496" s="5" t="s">
        <v>8419</v>
      </c>
      <c r="D4496" s="5"/>
      <c r="E4496" s="6"/>
      <c r="F4496" s="6" t="b">
        <f t="shared" si="1"/>
        <v>0</v>
      </c>
    </row>
    <row r="4497" ht="15.75" customHeight="1">
      <c r="A4497" s="7" t="s">
        <v>8467</v>
      </c>
      <c r="B4497" s="4" t="s">
        <v>8468</v>
      </c>
      <c r="C4497" s="5" t="s">
        <v>6</v>
      </c>
      <c r="D4497" s="6" t="s">
        <v>853</v>
      </c>
      <c r="E4497" s="6"/>
      <c r="F4497" s="6" t="b">
        <f t="shared" si="1"/>
        <v>0</v>
      </c>
    </row>
    <row r="4498" ht="15.75" customHeight="1">
      <c r="A4498" s="3" t="s">
        <v>8469</v>
      </c>
      <c r="B4498" s="4"/>
      <c r="C4498" s="5" t="s">
        <v>8419</v>
      </c>
      <c r="D4498" s="5"/>
      <c r="E4498" s="6"/>
      <c r="F4498" s="6" t="b">
        <f t="shared" si="1"/>
        <v>0</v>
      </c>
    </row>
    <row r="4499" ht="15.75" customHeight="1">
      <c r="A4499" s="3" t="s">
        <v>8470</v>
      </c>
      <c r="B4499" s="4"/>
      <c r="C4499" s="5" t="s">
        <v>8419</v>
      </c>
      <c r="D4499" s="5"/>
      <c r="E4499" s="6"/>
      <c r="F4499" s="6" t="b">
        <f t="shared" si="1"/>
        <v>0</v>
      </c>
    </row>
    <row r="4500" ht="15.75" customHeight="1">
      <c r="A4500" s="3" t="s">
        <v>8471</v>
      </c>
      <c r="B4500" s="4"/>
      <c r="C4500" s="5" t="s">
        <v>8419</v>
      </c>
      <c r="D4500" s="5"/>
      <c r="E4500" s="6"/>
      <c r="F4500" s="6" t="b">
        <f t="shared" si="1"/>
        <v>0</v>
      </c>
    </row>
    <row r="4501" ht="15.75" customHeight="1">
      <c r="A4501" s="3" t="s">
        <v>8472</v>
      </c>
      <c r="B4501" s="4"/>
      <c r="C4501" s="5" t="s">
        <v>8419</v>
      </c>
      <c r="D4501" s="5"/>
      <c r="E4501" s="6"/>
      <c r="F4501" s="6" t="b">
        <f t="shared" si="1"/>
        <v>0</v>
      </c>
    </row>
    <row r="4502" ht="15.75" customHeight="1">
      <c r="A4502" s="3" t="s">
        <v>8473</v>
      </c>
      <c r="B4502" s="4"/>
      <c r="C4502" s="5" t="s">
        <v>8419</v>
      </c>
      <c r="D4502" s="5"/>
      <c r="E4502" s="6"/>
      <c r="F4502" s="6" t="b">
        <f t="shared" si="1"/>
        <v>0</v>
      </c>
    </row>
    <row r="4503" ht="15.75" customHeight="1">
      <c r="A4503" s="3" t="s">
        <v>8474</v>
      </c>
      <c r="B4503" s="4"/>
      <c r="C4503" s="5" t="s">
        <v>8419</v>
      </c>
      <c r="D4503" s="5"/>
      <c r="E4503" s="6"/>
      <c r="F4503" s="6" t="b">
        <f t="shared" si="1"/>
        <v>0</v>
      </c>
    </row>
    <row r="4504" ht="15.75" customHeight="1">
      <c r="A4504" s="3" t="s">
        <v>8475</v>
      </c>
      <c r="B4504" s="4"/>
      <c r="C4504" s="5" t="s">
        <v>8419</v>
      </c>
      <c r="D4504" s="5"/>
      <c r="E4504" s="6"/>
      <c r="F4504" s="6" t="b">
        <f t="shared" si="1"/>
        <v>0</v>
      </c>
    </row>
    <row r="4505" ht="15.75" customHeight="1">
      <c r="A4505" s="3" t="s">
        <v>8476</v>
      </c>
      <c r="B4505" s="4"/>
      <c r="C4505" s="5" t="s">
        <v>8419</v>
      </c>
      <c r="D4505" s="5"/>
      <c r="E4505" s="6"/>
      <c r="F4505" s="6" t="b">
        <f t="shared" si="1"/>
        <v>0</v>
      </c>
    </row>
    <row r="4506" ht="15.75" customHeight="1">
      <c r="A4506" s="3" t="s">
        <v>8477</v>
      </c>
      <c r="B4506" s="4"/>
      <c r="C4506" s="5" t="s">
        <v>8419</v>
      </c>
      <c r="D4506" s="5"/>
      <c r="E4506" s="6"/>
      <c r="F4506" s="6" t="b">
        <f t="shared" si="1"/>
        <v>0</v>
      </c>
    </row>
    <row r="4507" ht="15.75" customHeight="1">
      <c r="A4507" s="3" t="s">
        <v>8478</v>
      </c>
      <c r="B4507" s="4"/>
      <c r="C4507" s="5" t="s">
        <v>8419</v>
      </c>
      <c r="D4507" s="5"/>
      <c r="E4507" s="6"/>
      <c r="F4507" s="6" t="b">
        <f t="shared" si="1"/>
        <v>0</v>
      </c>
    </row>
    <row r="4508" ht="15.75" customHeight="1">
      <c r="A4508" s="3" t="s">
        <v>8479</v>
      </c>
      <c r="B4508" s="4"/>
      <c r="C4508" s="5" t="s">
        <v>8419</v>
      </c>
      <c r="D4508" s="5"/>
      <c r="E4508" s="6"/>
      <c r="F4508" s="6" t="b">
        <f t="shared" si="1"/>
        <v>0</v>
      </c>
    </row>
    <row r="4509" ht="15.75" customHeight="1">
      <c r="A4509" s="3" t="s">
        <v>8480</v>
      </c>
      <c r="B4509" s="4"/>
      <c r="C4509" s="5" t="s">
        <v>8419</v>
      </c>
      <c r="D4509" s="5"/>
      <c r="E4509" s="6"/>
      <c r="F4509" s="6" t="b">
        <f t="shared" si="1"/>
        <v>0</v>
      </c>
    </row>
    <row r="4510" ht="15.75" customHeight="1">
      <c r="A4510" s="3" t="s">
        <v>8481</v>
      </c>
      <c r="B4510" s="4"/>
      <c r="C4510" s="5" t="s">
        <v>8419</v>
      </c>
      <c r="D4510" s="5"/>
      <c r="E4510" s="6"/>
      <c r="F4510" s="6" t="b">
        <f t="shared" si="1"/>
        <v>0</v>
      </c>
    </row>
    <row r="4511" ht="15.75" customHeight="1">
      <c r="A4511" s="3" t="s">
        <v>8482</v>
      </c>
      <c r="B4511" s="4"/>
      <c r="C4511" s="5" t="s">
        <v>8419</v>
      </c>
      <c r="D4511" s="5"/>
      <c r="E4511" s="6"/>
      <c r="F4511" s="6" t="b">
        <f t="shared" si="1"/>
        <v>0</v>
      </c>
    </row>
    <row r="4512" ht="15.75" customHeight="1">
      <c r="A4512" s="3" t="s">
        <v>8483</v>
      </c>
      <c r="B4512" s="4"/>
      <c r="C4512" s="5" t="s">
        <v>8419</v>
      </c>
      <c r="D4512" s="5"/>
      <c r="E4512" s="6"/>
      <c r="F4512" s="6" t="b">
        <f t="shared" si="1"/>
        <v>0</v>
      </c>
    </row>
    <row r="4513" ht="15.75" customHeight="1">
      <c r="A4513" s="3" t="s">
        <v>8484</v>
      </c>
      <c r="B4513" s="4"/>
      <c r="C4513" s="5" t="s">
        <v>8419</v>
      </c>
      <c r="D4513" s="5"/>
      <c r="E4513" s="6"/>
      <c r="F4513" s="6" t="b">
        <f t="shared" si="1"/>
        <v>0</v>
      </c>
    </row>
    <row r="4514" ht="15.75" customHeight="1">
      <c r="A4514" s="3" t="s">
        <v>8485</v>
      </c>
      <c r="B4514" s="4"/>
      <c r="C4514" s="5" t="s">
        <v>8419</v>
      </c>
      <c r="D4514" s="5"/>
      <c r="E4514" s="6"/>
      <c r="F4514" s="6" t="b">
        <f t="shared" si="1"/>
        <v>0</v>
      </c>
    </row>
    <row r="4515" ht="15.75" customHeight="1">
      <c r="A4515" s="3" t="s">
        <v>8486</v>
      </c>
      <c r="B4515" s="4"/>
      <c r="C4515" s="5" t="s">
        <v>8419</v>
      </c>
      <c r="D4515" s="5"/>
      <c r="E4515" s="6"/>
      <c r="F4515" s="6" t="b">
        <f t="shared" si="1"/>
        <v>0</v>
      </c>
    </row>
    <row r="4516" ht="15.75" customHeight="1">
      <c r="A4516" s="3" t="s">
        <v>8487</v>
      </c>
      <c r="B4516" s="4"/>
      <c r="C4516" s="5" t="s">
        <v>8419</v>
      </c>
      <c r="D4516" s="5"/>
      <c r="E4516" s="6"/>
      <c r="F4516" s="6" t="b">
        <f t="shared" si="1"/>
        <v>0</v>
      </c>
    </row>
    <row r="4517" ht="15.75" customHeight="1">
      <c r="A4517" s="3" t="s">
        <v>8488</v>
      </c>
      <c r="B4517" s="4"/>
      <c r="C4517" s="5" t="s">
        <v>8419</v>
      </c>
      <c r="D4517" s="5"/>
      <c r="E4517" s="6"/>
      <c r="F4517" s="6" t="b">
        <f t="shared" si="1"/>
        <v>0</v>
      </c>
    </row>
    <row r="4518" ht="15.75" customHeight="1">
      <c r="A4518" s="3" t="s">
        <v>8489</v>
      </c>
      <c r="B4518" s="4"/>
      <c r="C4518" s="5" t="s">
        <v>8419</v>
      </c>
      <c r="D4518" s="5"/>
      <c r="E4518" s="6"/>
      <c r="F4518" s="6" t="b">
        <f t="shared" si="1"/>
        <v>0</v>
      </c>
    </row>
    <row r="4519" ht="15.75" customHeight="1">
      <c r="A4519" s="3" t="s">
        <v>8490</v>
      </c>
      <c r="B4519" s="4"/>
      <c r="C4519" s="5" t="s">
        <v>8419</v>
      </c>
      <c r="D4519" s="5"/>
      <c r="E4519" s="6"/>
      <c r="F4519" s="6" t="b">
        <f t="shared" si="1"/>
        <v>0</v>
      </c>
    </row>
    <row r="4520" ht="15.75" customHeight="1">
      <c r="A4520" s="3" t="s">
        <v>8491</v>
      </c>
      <c r="B4520" s="4"/>
      <c r="C4520" s="5" t="s">
        <v>8419</v>
      </c>
      <c r="D4520" s="5"/>
      <c r="E4520" s="6"/>
      <c r="F4520" s="6" t="b">
        <f t="shared" si="1"/>
        <v>0</v>
      </c>
    </row>
    <row r="4521" ht="15.75" customHeight="1">
      <c r="A4521" s="3" t="s">
        <v>8492</v>
      </c>
      <c r="B4521" s="4"/>
      <c r="C4521" s="5" t="s">
        <v>8419</v>
      </c>
      <c r="D4521" s="5"/>
      <c r="E4521" s="6"/>
      <c r="F4521" s="6" t="b">
        <f t="shared" si="1"/>
        <v>0</v>
      </c>
    </row>
    <row r="4522" ht="15.75" customHeight="1">
      <c r="A4522" s="3" t="s">
        <v>8493</v>
      </c>
      <c r="B4522" s="4"/>
      <c r="C4522" s="5" t="s">
        <v>8419</v>
      </c>
      <c r="D4522" s="5"/>
      <c r="E4522" s="6"/>
      <c r="F4522" s="6" t="b">
        <f t="shared" si="1"/>
        <v>0</v>
      </c>
    </row>
    <row r="4523" ht="15.75" customHeight="1">
      <c r="A4523" s="3" t="s">
        <v>8494</v>
      </c>
      <c r="B4523" s="4"/>
      <c r="C4523" s="5" t="s">
        <v>8419</v>
      </c>
      <c r="D4523" s="5"/>
      <c r="E4523" s="6"/>
      <c r="F4523" s="6" t="b">
        <f t="shared" si="1"/>
        <v>0</v>
      </c>
    </row>
    <row r="4524" ht="15.75" customHeight="1">
      <c r="A4524" s="3" t="s">
        <v>8495</v>
      </c>
      <c r="B4524" s="4"/>
      <c r="C4524" s="5" t="s">
        <v>8419</v>
      </c>
      <c r="D4524" s="5"/>
      <c r="E4524" s="6"/>
      <c r="F4524" s="6" t="b">
        <f t="shared" si="1"/>
        <v>0</v>
      </c>
    </row>
    <row r="4525" ht="15.75" customHeight="1">
      <c r="A4525" s="3" t="s">
        <v>8496</v>
      </c>
      <c r="B4525" s="4"/>
      <c r="C4525" s="5" t="s">
        <v>8419</v>
      </c>
      <c r="D4525" s="5"/>
      <c r="E4525" s="6"/>
      <c r="F4525" s="6" t="b">
        <f t="shared" si="1"/>
        <v>0</v>
      </c>
    </row>
    <row r="4526" ht="15.75" customHeight="1">
      <c r="A4526" s="3" t="s">
        <v>8497</v>
      </c>
      <c r="B4526" s="4"/>
      <c r="C4526" s="5" t="s">
        <v>8419</v>
      </c>
      <c r="D4526" s="5"/>
      <c r="E4526" s="6"/>
      <c r="F4526" s="6" t="b">
        <f t="shared" si="1"/>
        <v>0</v>
      </c>
    </row>
    <row r="4527" ht="15.75" customHeight="1">
      <c r="A4527" s="3" t="s">
        <v>8498</v>
      </c>
      <c r="B4527" s="4"/>
      <c r="C4527" s="5" t="s">
        <v>8419</v>
      </c>
      <c r="D4527" s="5"/>
      <c r="E4527" s="6"/>
      <c r="F4527" s="6" t="b">
        <f t="shared" si="1"/>
        <v>0</v>
      </c>
    </row>
    <row r="4528" ht="15.75" customHeight="1">
      <c r="A4528" s="3" t="s">
        <v>8499</v>
      </c>
      <c r="B4528" s="4"/>
      <c r="C4528" s="5" t="s">
        <v>8419</v>
      </c>
      <c r="D4528" s="5"/>
      <c r="E4528" s="6"/>
      <c r="F4528" s="6" t="b">
        <f t="shared" si="1"/>
        <v>0</v>
      </c>
    </row>
    <row r="4529" ht="15.75" customHeight="1">
      <c r="A4529" s="3" t="s">
        <v>8500</v>
      </c>
      <c r="B4529" s="4"/>
      <c r="C4529" s="5" t="s">
        <v>8419</v>
      </c>
      <c r="D4529" s="5"/>
      <c r="E4529" s="6"/>
      <c r="F4529" s="6" t="b">
        <f t="shared" si="1"/>
        <v>0</v>
      </c>
    </row>
    <row r="4530" ht="15.75" customHeight="1">
      <c r="A4530" s="3" t="s">
        <v>8501</v>
      </c>
      <c r="B4530" s="4"/>
      <c r="C4530" s="5" t="s">
        <v>8419</v>
      </c>
      <c r="D4530" s="5"/>
      <c r="E4530" s="6"/>
      <c r="F4530" s="6" t="b">
        <f t="shared" si="1"/>
        <v>0</v>
      </c>
    </row>
    <row r="4531" ht="15.75" customHeight="1">
      <c r="A4531" s="3" t="s">
        <v>8502</v>
      </c>
      <c r="B4531" s="4"/>
      <c r="C4531" s="5" t="s">
        <v>8419</v>
      </c>
      <c r="D4531" s="5"/>
      <c r="E4531" s="6"/>
      <c r="F4531" s="6" t="b">
        <f t="shared" si="1"/>
        <v>0</v>
      </c>
    </row>
    <row r="4532" ht="15.75" customHeight="1">
      <c r="A4532" s="7" t="s">
        <v>8503</v>
      </c>
      <c r="B4532" s="4" t="s">
        <v>8504</v>
      </c>
      <c r="C4532" s="5" t="s">
        <v>229</v>
      </c>
      <c r="D4532" s="6" t="s">
        <v>6698</v>
      </c>
      <c r="E4532" s="6"/>
      <c r="F4532" s="6" t="b">
        <f t="shared" si="1"/>
        <v>0</v>
      </c>
    </row>
    <row r="4533" ht="15.75" customHeight="1">
      <c r="A4533" s="3" t="s">
        <v>8505</v>
      </c>
      <c r="B4533" s="4"/>
      <c r="C4533" s="5"/>
      <c r="D4533" s="5"/>
      <c r="E4533" s="6"/>
      <c r="F4533" s="6" t="b">
        <f t="shared" si="1"/>
        <v>0</v>
      </c>
    </row>
    <row r="4534" ht="15.75" customHeight="1">
      <c r="A4534" s="3" t="s">
        <v>8506</v>
      </c>
      <c r="B4534" s="4"/>
      <c r="C4534" s="5"/>
      <c r="D4534" s="5"/>
      <c r="E4534" s="6"/>
      <c r="F4534" s="6" t="b">
        <f t="shared" si="1"/>
        <v>0</v>
      </c>
    </row>
    <row r="4535" ht="15.75" customHeight="1">
      <c r="A4535" s="3" t="s">
        <v>8507</v>
      </c>
      <c r="B4535" s="4"/>
      <c r="C4535" s="5"/>
      <c r="D4535" s="5"/>
      <c r="E4535" s="6"/>
      <c r="F4535" s="6" t="b">
        <f t="shared" si="1"/>
        <v>0</v>
      </c>
    </row>
    <row r="4536" ht="15.75" customHeight="1">
      <c r="A4536" s="7" t="s">
        <v>8508</v>
      </c>
      <c r="B4536" s="4" t="s">
        <v>8509</v>
      </c>
      <c r="C4536" s="5" t="s">
        <v>6</v>
      </c>
      <c r="D4536" s="6" t="s">
        <v>8510</v>
      </c>
      <c r="E4536" s="6"/>
      <c r="F4536" s="6" t="b">
        <f t="shared" si="1"/>
        <v>0</v>
      </c>
    </row>
    <row r="4537" ht="15.75" customHeight="1">
      <c r="A4537" s="3" t="s">
        <v>8511</v>
      </c>
      <c r="B4537" s="4"/>
      <c r="C4537" s="5"/>
      <c r="D4537" s="5"/>
      <c r="E4537" s="6"/>
      <c r="F4537" s="6" t="b">
        <f t="shared" si="1"/>
        <v>0</v>
      </c>
    </row>
    <row r="4538" ht="15.75" customHeight="1">
      <c r="A4538" s="3" t="s">
        <v>8512</v>
      </c>
      <c r="B4538" s="4"/>
      <c r="C4538" s="5"/>
      <c r="D4538" s="5"/>
      <c r="E4538" s="6"/>
      <c r="F4538" s="6" t="b">
        <f t="shared" si="1"/>
        <v>0</v>
      </c>
    </row>
    <row r="4539" ht="15.75" customHeight="1">
      <c r="A4539" s="7" t="s">
        <v>8513</v>
      </c>
      <c r="B4539" s="4" t="s">
        <v>8514</v>
      </c>
      <c r="C4539" s="5" t="s">
        <v>6</v>
      </c>
      <c r="D4539" s="6" t="s">
        <v>8515</v>
      </c>
      <c r="E4539" s="6"/>
      <c r="F4539" s="6" t="b">
        <f t="shared" si="1"/>
        <v>0</v>
      </c>
    </row>
    <row r="4540" ht="15.75" customHeight="1">
      <c r="A4540" s="12" t="s">
        <v>8516</v>
      </c>
      <c r="B4540" s="4" t="s">
        <v>8517</v>
      </c>
      <c r="C4540" s="5" t="s">
        <v>6</v>
      </c>
      <c r="D4540" s="6" t="s">
        <v>10</v>
      </c>
      <c r="E4540" s="6"/>
      <c r="F4540" s="6" t="b">
        <f t="shared" si="1"/>
        <v>0</v>
      </c>
    </row>
  </sheetData>
  <autoFilter ref="$A$1:$F$4540"/>
  <conditionalFormatting sqref="A2:A3034 B2:F4540">
    <cfRule type="expression" dxfId="0" priority="1">
      <formula>$F2</formula>
    </cfRule>
  </conditionalFormatting>
  <dataValidations>
    <dataValidation type="list" allowBlank="1" showErrorMessage="1" sqref="C2:C1897 C1899:C3611 C3613:C3638 C3640:C3803 C3805 C3807 C3811:C4056 C4058:C4059 C4062:C4540">
      <formula1>"Book,Conference,Journal,Video,Event,Paper,Search / Index List,Thesis"</formula1>
    </dataValidation>
  </dataValidations>
  <hyperlinks>
    <hyperlink r:id="rId1" ref="A6"/>
    <hyperlink r:id="rId2" ref="A7"/>
    <hyperlink r:id="rId3" ref="A8"/>
    <hyperlink r:id="rId4" ref="A9"/>
    <hyperlink r:id="rId5" ref="A10"/>
    <hyperlink r:id="rId6" ref="A11"/>
    <hyperlink r:id="rId7" ref="A12"/>
    <hyperlink r:id="rId8" ref="A13"/>
    <hyperlink r:id="rId9" ref="A14"/>
    <hyperlink r:id="rId10" ref="A15"/>
    <hyperlink r:id="rId11" ref="A16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4"/>
    <hyperlink r:id="rId20" ref="A25"/>
    <hyperlink r:id="rId21" ref="A26"/>
    <hyperlink r:id="rId22" ref="A27"/>
    <hyperlink r:id="rId23" ref="A28"/>
    <hyperlink r:id="rId24" ref="A29"/>
    <hyperlink r:id="rId25" ref="A30"/>
    <hyperlink r:id="rId26" ref="A31"/>
    <hyperlink r:id="rId27" ref="A32"/>
    <hyperlink r:id="rId28" ref="A33"/>
    <hyperlink r:id="rId29" ref="A34"/>
    <hyperlink r:id="rId30" ref="A35"/>
    <hyperlink r:id="rId31" ref="A39"/>
    <hyperlink r:id="rId32" ref="A40"/>
    <hyperlink r:id="rId33" ref="A43"/>
    <hyperlink r:id="rId34" ref="A54"/>
    <hyperlink r:id="rId35" ref="A59"/>
    <hyperlink r:id="rId36" ref="A60"/>
    <hyperlink r:id="rId37" ref="A61"/>
    <hyperlink r:id="rId38" ref="A62"/>
    <hyperlink r:id="rId39" ref="A63"/>
    <hyperlink r:id="rId40" ref="A70"/>
    <hyperlink r:id="rId41" ref="A72"/>
    <hyperlink r:id="rId42" ref="A74"/>
    <hyperlink r:id="rId43" ref="A75"/>
    <hyperlink r:id="rId44" ref="A77"/>
    <hyperlink r:id="rId45" ref="A78"/>
    <hyperlink r:id="rId46" ref="A80"/>
    <hyperlink r:id="rId47" ref="A86"/>
    <hyperlink r:id="rId48" ref="A87"/>
    <hyperlink r:id="rId49" ref="A88"/>
    <hyperlink r:id="rId50" ref="A96"/>
    <hyperlink r:id="rId51" ref="A99"/>
    <hyperlink r:id="rId52" ref="A102"/>
    <hyperlink r:id="rId53" ref="A104"/>
    <hyperlink r:id="rId54" ref="A105"/>
    <hyperlink r:id="rId55" ref="A106"/>
    <hyperlink r:id="rId56" ref="A112"/>
    <hyperlink r:id="rId57" ref="A128"/>
    <hyperlink r:id="rId58" ref="A129"/>
    <hyperlink r:id="rId59" ref="A130"/>
    <hyperlink r:id="rId60" ref="A131"/>
    <hyperlink r:id="rId61" ref="A132"/>
    <hyperlink r:id="rId62" ref="A136"/>
    <hyperlink r:id="rId63" ref="A143"/>
    <hyperlink r:id="rId64" ref="A144"/>
    <hyperlink r:id="rId65" ref="A145"/>
    <hyperlink r:id="rId66" ref="A147"/>
    <hyperlink r:id="rId67" ref="A148"/>
    <hyperlink r:id="rId68" ref="A149"/>
    <hyperlink r:id="rId69" ref="A150"/>
    <hyperlink r:id="rId70" ref="A159"/>
    <hyperlink r:id="rId71" ref="A162"/>
    <hyperlink r:id="rId72" ref="A169"/>
    <hyperlink r:id="rId73" ref="A175"/>
    <hyperlink r:id="rId74" ref="A178"/>
    <hyperlink r:id="rId75" ref="A181"/>
    <hyperlink r:id="rId76" ref="A182"/>
    <hyperlink r:id="rId77" ref="A184"/>
    <hyperlink r:id="rId78" ref="A185"/>
    <hyperlink r:id="rId79" ref="A187"/>
    <hyperlink r:id="rId80" ref="A188"/>
    <hyperlink r:id="rId81" ref="A189"/>
    <hyperlink r:id="rId82" ref="A191"/>
    <hyperlink r:id="rId83" ref="A204"/>
    <hyperlink r:id="rId84" ref="A206"/>
    <hyperlink r:id="rId85" ref="A207"/>
    <hyperlink r:id="rId86" ref="A208"/>
    <hyperlink r:id="rId87" ref="A209"/>
    <hyperlink r:id="rId88" ref="A210"/>
    <hyperlink r:id="rId89" ref="A211"/>
    <hyperlink r:id="rId90" ref="A212"/>
    <hyperlink r:id="rId91" ref="A213"/>
    <hyperlink r:id="rId92" ref="A215"/>
    <hyperlink r:id="rId93" ref="A221"/>
    <hyperlink r:id="rId94" ref="A222"/>
    <hyperlink r:id="rId95" ref="A223"/>
    <hyperlink r:id="rId96" ref="A227"/>
    <hyperlink r:id="rId97" ref="A231"/>
    <hyperlink r:id="rId98" ref="A232"/>
    <hyperlink r:id="rId99" ref="A237"/>
    <hyperlink r:id="rId100" ref="A238"/>
    <hyperlink r:id="rId101" ref="A240"/>
    <hyperlink r:id="rId102" ref="A242"/>
    <hyperlink r:id="rId103" ref="A243"/>
    <hyperlink r:id="rId104" ref="A247"/>
    <hyperlink r:id="rId105" ref="A263"/>
    <hyperlink r:id="rId106" ref="A265"/>
    <hyperlink r:id="rId107" ref="A268"/>
    <hyperlink r:id="rId108" ref="A272"/>
    <hyperlink r:id="rId109" ref="A274"/>
    <hyperlink r:id="rId110" ref="A276"/>
    <hyperlink r:id="rId111" ref="A282"/>
    <hyperlink r:id="rId112" ref="A285"/>
    <hyperlink r:id="rId113" ref="A291"/>
    <hyperlink r:id="rId114" ref="A292"/>
    <hyperlink r:id="rId115" ref="A293"/>
    <hyperlink r:id="rId116" ref="A294"/>
    <hyperlink r:id="rId117" ref="A295"/>
    <hyperlink r:id="rId118" ref="A296"/>
    <hyperlink r:id="rId119" ref="A297"/>
    <hyperlink r:id="rId120" ref="A303"/>
    <hyperlink r:id="rId121" ref="A305"/>
    <hyperlink r:id="rId122" ref="A308"/>
    <hyperlink r:id="rId123" ref="A312"/>
    <hyperlink r:id="rId124" ref="A316"/>
    <hyperlink r:id="rId125" ref="A317"/>
    <hyperlink r:id="rId126" ref="A318"/>
    <hyperlink r:id="rId127" ref="A319"/>
    <hyperlink r:id="rId128" ref="A320"/>
    <hyperlink r:id="rId129" ref="A321"/>
    <hyperlink r:id="rId130" ref="A322"/>
    <hyperlink r:id="rId131" ref="A338"/>
    <hyperlink r:id="rId132" ref="A343"/>
    <hyperlink r:id="rId133" ref="A344"/>
    <hyperlink r:id="rId134" ref="A345"/>
    <hyperlink r:id="rId135" ref="A348"/>
    <hyperlink r:id="rId136" ref="A362"/>
    <hyperlink r:id="rId137" ref="A363"/>
    <hyperlink r:id="rId138" ref="A364"/>
    <hyperlink r:id="rId139" ref="A366"/>
    <hyperlink r:id="rId140" ref="A371"/>
    <hyperlink r:id="rId141" ref="A372"/>
    <hyperlink r:id="rId142" ref="A373"/>
    <hyperlink r:id="rId143" ref="A376"/>
    <hyperlink r:id="rId144" ref="A377"/>
    <hyperlink r:id="rId145" ref="A378"/>
    <hyperlink r:id="rId146" ref="A379"/>
    <hyperlink r:id="rId147" ref="A380"/>
    <hyperlink r:id="rId148" ref="A381"/>
    <hyperlink r:id="rId149" ref="A382"/>
    <hyperlink r:id="rId150" ref="A383"/>
    <hyperlink r:id="rId151" ref="A384"/>
    <hyperlink r:id="rId152" ref="A385"/>
    <hyperlink r:id="rId153" ref="A386"/>
    <hyperlink r:id="rId154" ref="A387"/>
    <hyperlink r:id="rId155" ref="A388"/>
    <hyperlink r:id="rId156" ref="A397"/>
    <hyperlink r:id="rId157" ref="A398"/>
    <hyperlink r:id="rId158" ref="A400"/>
    <hyperlink r:id="rId159" ref="A401"/>
    <hyperlink r:id="rId160" ref="A402"/>
    <hyperlink r:id="rId161" ref="A406"/>
    <hyperlink r:id="rId162" ref="A407"/>
    <hyperlink r:id="rId163" ref="A410"/>
    <hyperlink r:id="rId164" ref="A411"/>
    <hyperlink r:id="rId165" ref="A412"/>
    <hyperlink r:id="rId166" ref="A413"/>
    <hyperlink r:id="rId167" ref="A415"/>
    <hyperlink r:id="rId168" ref="A416"/>
    <hyperlink r:id="rId169" ref="A417"/>
    <hyperlink r:id="rId170" ref="A418"/>
    <hyperlink r:id="rId171" ref="A419"/>
    <hyperlink r:id="rId172" ref="A420"/>
    <hyperlink r:id="rId173" ref="A421"/>
    <hyperlink r:id="rId174" ref="A422"/>
    <hyperlink r:id="rId175" ref="A426"/>
    <hyperlink r:id="rId176" ref="A427"/>
    <hyperlink r:id="rId177" ref="A428"/>
    <hyperlink r:id="rId178" ref="A429"/>
    <hyperlink r:id="rId179" ref="A430"/>
    <hyperlink r:id="rId180" ref="A431"/>
    <hyperlink r:id="rId181" ref="A432"/>
    <hyperlink r:id="rId182" ref="A433"/>
    <hyperlink r:id="rId183" ref="A434"/>
    <hyperlink r:id="rId184" ref="A435"/>
    <hyperlink r:id="rId185" ref="A436"/>
    <hyperlink r:id="rId186" ref="A437"/>
    <hyperlink r:id="rId187" ref="A438"/>
    <hyperlink r:id="rId188" ref="A439"/>
    <hyperlink r:id="rId189" ref="A440"/>
    <hyperlink r:id="rId190" ref="A441"/>
    <hyperlink r:id="rId191" ref="A442"/>
    <hyperlink r:id="rId192" ref="A444"/>
    <hyperlink r:id="rId193" ref="A445"/>
    <hyperlink r:id="rId194" ref="A446"/>
    <hyperlink r:id="rId195" ref="A447"/>
    <hyperlink r:id="rId196" ref="A448"/>
    <hyperlink r:id="rId197" ref="A449"/>
    <hyperlink r:id="rId198" ref="A451"/>
    <hyperlink r:id="rId199" ref="A452"/>
    <hyperlink r:id="rId200" ref="A453"/>
    <hyperlink r:id="rId201" ref="A454"/>
    <hyperlink r:id="rId202" ref="A455"/>
    <hyperlink r:id="rId203" ref="A456"/>
    <hyperlink r:id="rId204" ref="A457"/>
    <hyperlink r:id="rId205" ref="A458"/>
    <hyperlink r:id="rId206" ref="A459"/>
    <hyperlink r:id="rId207" ref="A460"/>
    <hyperlink r:id="rId208" ref="A461"/>
    <hyperlink r:id="rId209" ref="A462"/>
    <hyperlink r:id="rId210" ref="A463"/>
    <hyperlink r:id="rId211" ref="A464"/>
    <hyperlink r:id="rId212" ref="A467"/>
    <hyperlink r:id="rId213" ref="A468"/>
    <hyperlink r:id="rId214" ref="A469"/>
    <hyperlink r:id="rId215" ref="A470"/>
    <hyperlink r:id="rId216" ref="A471"/>
    <hyperlink r:id="rId217" ref="A472"/>
    <hyperlink r:id="rId218" ref="A474"/>
    <hyperlink r:id="rId219" ref="A475"/>
    <hyperlink r:id="rId220" ref="A476"/>
    <hyperlink r:id="rId221" ref="A477"/>
    <hyperlink r:id="rId222" ref="A478"/>
    <hyperlink r:id="rId223" ref="A479"/>
    <hyperlink r:id="rId224" ref="A480"/>
    <hyperlink r:id="rId225" ref="A481"/>
    <hyperlink r:id="rId226" ref="A483"/>
    <hyperlink r:id="rId227" ref="A484"/>
    <hyperlink r:id="rId228" ref="A486"/>
    <hyperlink r:id="rId229" ref="A487"/>
    <hyperlink r:id="rId230" ref="A488"/>
    <hyperlink r:id="rId231" ref="A490"/>
    <hyperlink r:id="rId232" ref="A492"/>
    <hyperlink r:id="rId233" ref="A493"/>
    <hyperlink r:id="rId234" ref="A494"/>
    <hyperlink r:id="rId235" ref="A495"/>
    <hyperlink r:id="rId236" ref="A496"/>
    <hyperlink r:id="rId237" ref="A497"/>
    <hyperlink r:id="rId238" ref="A498"/>
    <hyperlink r:id="rId239" ref="A499"/>
    <hyperlink r:id="rId240" ref="A500"/>
    <hyperlink r:id="rId241" ref="A501"/>
    <hyperlink r:id="rId242" ref="A502"/>
    <hyperlink r:id="rId243" ref="A503"/>
    <hyperlink r:id="rId244" ref="A504"/>
    <hyperlink r:id="rId245" ref="A506"/>
    <hyperlink r:id="rId246" ref="A507"/>
    <hyperlink r:id="rId247" ref="A508"/>
    <hyperlink r:id="rId248" ref="A509"/>
    <hyperlink r:id="rId249" ref="A510"/>
    <hyperlink r:id="rId250" ref="A511"/>
    <hyperlink r:id="rId251" ref="A512"/>
    <hyperlink r:id="rId252" ref="A513"/>
    <hyperlink r:id="rId253" ref="A515"/>
    <hyperlink r:id="rId254" ref="A516"/>
    <hyperlink r:id="rId255" ref="A518"/>
    <hyperlink r:id="rId256" ref="A519"/>
    <hyperlink r:id="rId257" ref="A520"/>
    <hyperlink r:id="rId258" ref="A521"/>
    <hyperlink r:id="rId259" ref="A522"/>
    <hyperlink r:id="rId260" ref="A523"/>
    <hyperlink r:id="rId261" ref="A524"/>
    <hyperlink r:id="rId262" ref="A525"/>
    <hyperlink r:id="rId263" ref="A526"/>
    <hyperlink r:id="rId264" ref="A527"/>
    <hyperlink r:id="rId265" ref="A528"/>
    <hyperlink r:id="rId266" ref="A529"/>
    <hyperlink r:id="rId267" ref="A530"/>
    <hyperlink r:id="rId268" ref="A531"/>
    <hyperlink r:id="rId269" ref="A532"/>
    <hyperlink r:id="rId270" ref="A533"/>
    <hyperlink r:id="rId271" ref="A534"/>
    <hyperlink r:id="rId272" ref="A535"/>
    <hyperlink r:id="rId273" ref="A536"/>
    <hyperlink r:id="rId274" ref="A537"/>
    <hyperlink r:id="rId275" ref="A539"/>
    <hyperlink r:id="rId276" ref="A540"/>
    <hyperlink r:id="rId277" ref="A541"/>
    <hyperlink r:id="rId278" ref="A543"/>
    <hyperlink r:id="rId279" ref="A544"/>
    <hyperlink r:id="rId280" ref="A545"/>
    <hyperlink r:id="rId281" ref="A546"/>
    <hyperlink r:id="rId282" ref="A547"/>
    <hyperlink r:id="rId283" ref="A548"/>
    <hyperlink r:id="rId284" ref="A549"/>
    <hyperlink r:id="rId285" ref="A550"/>
    <hyperlink r:id="rId286" ref="A551"/>
    <hyperlink r:id="rId287" ref="A552"/>
    <hyperlink r:id="rId288" ref="A553"/>
    <hyperlink r:id="rId289" ref="A554"/>
    <hyperlink r:id="rId290" ref="A556"/>
    <hyperlink r:id="rId291" ref="A557"/>
    <hyperlink r:id="rId292" ref="A558"/>
    <hyperlink r:id="rId293" ref="A559"/>
    <hyperlink r:id="rId294" ref="A561"/>
    <hyperlink r:id="rId295" ref="A562"/>
    <hyperlink r:id="rId296" ref="A563"/>
    <hyperlink r:id="rId297" ref="A564"/>
    <hyperlink r:id="rId298" ref="A566"/>
    <hyperlink r:id="rId299" ref="A567"/>
    <hyperlink r:id="rId300" ref="A568"/>
    <hyperlink r:id="rId301" ref="A569"/>
    <hyperlink r:id="rId302" ref="A570"/>
    <hyperlink r:id="rId303" ref="A571"/>
    <hyperlink r:id="rId304" ref="A572"/>
    <hyperlink r:id="rId305" ref="A573"/>
    <hyperlink r:id="rId306" ref="A574"/>
    <hyperlink r:id="rId307" ref="A575"/>
    <hyperlink r:id="rId308" ref="A576"/>
    <hyperlink r:id="rId309" ref="A577"/>
    <hyperlink r:id="rId310" ref="A578"/>
    <hyperlink r:id="rId311" ref="A579"/>
    <hyperlink r:id="rId312" ref="A580"/>
    <hyperlink r:id="rId313" ref="A581"/>
    <hyperlink r:id="rId314" ref="A582"/>
    <hyperlink r:id="rId315" ref="A584"/>
    <hyperlink r:id="rId316" ref="A585"/>
    <hyperlink r:id="rId317" ref="A586"/>
    <hyperlink r:id="rId318" ref="A587"/>
    <hyperlink r:id="rId319" ref="A588"/>
    <hyperlink r:id="rId320" ref="A589"/>
    <hyperlink r:id="rId321" ref="A590"/>
    <hyperlink r:id="rId322" ref="A591"/>
    <hyperlink r:id="rId323" ref="A592"/>
    <hyperlink r:id="rId324" ref="A593"/>
    <hyperlink r:id="rId325" ref="A595"/>
    <hyperlink r:id="rId326" ref="A596"/>
    <hyperlink r:id="rId327" ref="A597"/>
    <hyperlink r:id="rId328" ref="A598"/>
    <hyperlink r:id="rId329" ref="A599"/>
    <hyperlink r:id="rId330" ref="A600"/>
    <hyperlink r:id="rId331" ref="A601"/>
    <hyperlink r:id="rId332" ref="A602"/>
    <hyperlink r:id="rId333" ref="A603"/>
    <hyperlink r:id="rId334" ref="A604"/>
    <hyperlink r:id="rId335" ref="A605"/>
    <hyperlink r:id="rId336" ref="A606"/>
    <hyperlink r:id="rId337" ref="A607"/>
    <hyperlink r:id="rId338" ref="A608"/>
    <hyperlink r:id="rId339" ref="A609"/>
    <hyperlink r:id="rId340" ref="A610"/>
    <hyperlink r:id="rId341" ref="A611"/>
    <hyperlink r:id="rId342" ref="A612"/>
    <hyperlink r:id="rId343" ref="A613"/>
    <hyperlink r:id="rId344" ref="A614"/>
    <hyperlink r:id="rId345" ref="A615"/>
    <hyperlink r:id="rId346" ref="A616"/>
    <hyperlink r:id="rId347" ref="A617"/>
    <hyperlink r:id="rId348" ref="A618"/>
    <hyperlink r:id="rId349" ref="A619"/>
    <hyperlink r:id="rId350" ref="A620"/>
    <hyperlink r:id="rId351" ref="A621"/>
    <hyperlink r:id="rId352" ref="A622"/>
    <hyperlink r:id="rId353" ref="A623"/>
    <hyperlink r:id="rId354" ref="A624"/>
    <hyperlink r:id="rId355" ref="A625"/>
    <hyperlink r:id="rId356" ref="A626"/>
    <hyperlink r:id="rId357" ref="A627"/>
    <hyperlink r:id="rId358" ref="A628"/>
    <hyperlink r:id="rId359" ref="A629"/>
    <hyperlink r:id="rId360" ref="A630"/>
    <hyperlink r:id="rId361" ref="A631"/>
    <hyperlink r:id="rId362" ref="A632"/>
    <hyperlink r:id="rId363" ref="A633"/>
    <hyperlink r:id="rId364" ref="A634"/>
    <hyperlink r:id="rId365" ref="A635"/>
    <hyperlink r:id="rId366" ref="A636"/>
    <hyperlink r:id="rId367" ref="A638"/>
    <hyperlink r:id="rId368" ref="A639"/>
    <hyperlink r:id="rId369" ref="A640"/>
    <hyperlink r:id="rId370" ref="A641"/>
    <hyperlink r:id="rId371" ref="A642"/>
    <hyperlink r:id="rId372" ref="A643"/>
    <hyperlink r:id="rId373" ref="A644"/>
    <hyperlink r:id="rId374" ref="A645"/>
    <hyperlink r:id="rId375" ref="A646"/>
    <hyperlink r:id="rId376" ref="A647"/>
    <hyperlink r:id="rId377" ref="A648"/>
    <hyperlink r:id="rId378" ref="A650"/>
    <hyperlink r:id="rId379" ref="A651"/>
    <hyperlink r:id="rId380" ref="A652"/>
    <hyperlink r:id="rId381" ref="A653"/>
    <hyperlink r:id="rId382" ref="A654"/>
    <hyperlink r:id="rId383" ref="A655"/>
    <hyperlink r:id="rId384" ref="A656"/>
    <hyperlink r:id="rId385" ref="A658"/>
    <hyperlink r:id="rId386" ref="A659"/>
    <hyperlink r:id="rId387" ref="A660"/>
    <hyperlink r:id="rId388" ref="A661"/>
    <hyperlink r:id="rId389" ref="A662"/>
    <hyperlink r:id="rId390" ref="A663"/>
    <hyperlink r:id="rId391" ref="A664"/>
    <hyperlink r:id="rId392" ref="A665"/>
    <hyperlink r:id="rId393" ref="A666"/>
    <hyperlink r:id="rId394" ref="A667"/>
    <hyperlink r:id="rId395" ref="A668"/>
    <hyperlink r:id="rId396" ref="A669"/>
    <hyperlink r:id="rId397" ref="A670"/>
    <hyperlink r:id="rId398" ref="A671"/>
    <hyperlink r:id="rId399" ref="A672"/>
    <hyperlink r:id="rId400" ref="A673"/>
    <hyperlink r:id="rId401" ref="A674"/>
    <hyperlink r:id="rId402" ref="A675"/>
    <hyperlink r:id="rId403" ref="A676"/>
    <hyperlink r:id="rId404" ref="A677"/>
    <hyperlink r:id="rId405" ref="A678"/>
    <hyperlink r:id="rId406" ref="A679"/>
    <hyperlink r:id="rId407" ref="A680"/>
    <hyperlink r:id="rId408" ref="A681"/>
    <hyperlink r:id="rId409" ref="A682"/>
    <hyperlink r:id="rId410" ref="A683"/>
    <hyperlink r:id="rId411" ref="A684"/>
    <hyperlink r:id="rId412" ref="A685"/>
    <hyperlink r:id="rId413" ref="A686"/>
    <hyperlink r:id="rId414" ref="A687"/>
    <hyperlink r:id="rId415" ref="A688"/>
    <hyperlink r:id="rId416" ref="A689"/>
    <hyperlink r:id="rId417" ref="A690"/>
    <hyperlink r:id="rId418" ref="A692"/>
    <hyperlink r:id="rId419" ref="A693"/>
    <hyperlink r:id="rId420" ref="A694"/>
    <hyperlink r:id="rId421" ref="A695"/>
    <hyperlink r:id="rId422" ref="A696"/>
    <hyperlink r:id="rId423" ref="A697"/>
    <hyperlink r:id="rId424" ref="A698"/>
    <hyperlink r:id="rId425" ref="A699"/>
    <hyperlink r:id="rId426" ref="A701"/>
    <hyperlink r:id="rId427" ref="A702"/>
    <hyperlink r:id="rId428" ref="A703"/>
    <hyperlink r:id="rId429" ref="A704"/>
    <hyperlink r:id="rId430" ref="A705"/>
    <hyperlink r:id="rId431" ref="A706"/>
    <hyperlink r:id="rId432" ref="A707"/>
    <hyperlink r:id="rId433" ref="A708"/>
    <hyperlink r:id="rId434" ref="A709"/>
    <hyperlink r:id="rId435" ref="A710"/>
    <hyperlink r:id="rId436" ref="A711"/>
    <hyperlink r:id="rId437" ref="A712"/>
    <hyperlink r:id="rId438" ref="A713"/>
    <hyperlink r:id="rId439" ref="A714"/>
    <hyperlink r:id="rId440" ref="A715"/>
    <hyperlink r:id="rId441" ref="A716"/>
    <hyperlink r:id="rId442" ref="A717"/>
    <hyperlink r:id="rId443" ref="A718"/>
    <hyperlink r:id="rId444" ref="A719"/>
    <hyperlink r:id="rId445" ref="A720"/>
    <hyperlink r:id="rId446" ref="A721"/>
    <hyperlink r:id="rId447" ref="A722"/>
    <hyperlink r:id="rId448" ref="A723"/>
    <hyperlink r:id="rId449" ref="A724"/>
    <hyperlink r:id="rId450" ref="A725"/>
    <hyperlink r:id="rId451" ref="A726"/>
    <hyperlink r:id="rId452" ref="A727"/>
    <hyperlink r:id="rId453" ref="A728"/>
    <hyperlink r:id="rId454" ref="A729"/>
    <hyperlink r:id="rId455" ref="A730"/>
    <hyperlink r:id="rId456" ref="A731"/>
    <hyperlink r:id="rId457" ref="A732"/>
    <hyperlink r:id="rId458" ref="A733"/>
    <hyperlink r:id="rId459" ref="A734"/>
    <hyperlink r:id="rId460" ref="A735"/>
    <hyperlink r:id="rId461" ref="A736"/>
    <hyperlink r:id="rId462" ref="A737"/>
    <hyperlink r:id="rId463" ref="A738"/>
    <hyperlink r:id="rId464" ref="A739"/>
    <hyperlink r:id="rId465" ref="A740"/>
    <hyperlink r:id="rId466" ref="A741"/>
    <hyperlink r:id="rId467" ref="A742"/>
    <hyperlink r:id="rId468" ref="A743"/>
    <hyperlink r:id="rId469" ref="A744"/>
    <hyperlink r:id="rId470" ref="A745"/>
    <hyperlink r:id="rId471" ref="A746"/>
    <hyperlink r:id="rId472" ref="A747"/>
    <hyperlink r:id="rId473" ref="A748"/>
    <hyperlink r:id="rId474" ref="A749"/>
    <hyperlink r:id="rId475" ref="A750"/>
    <hyperlink r:id="rId476" ref="A751"/>
    <hyperlink r:id="rId477" ref="A752"/>
    <hyperlink r:id="rId478" ref="A753"/>
    <hyperlink r:id="rId479" ref="A754"/>
    <hyperlink r:id="rId480" ref="A755"/>
    <hyperlink r:id="rId481" ref="A756"/>
    <hyperlink r:id="rId482" ref="A757"/>
    <hyperlink r:id="rId483" ref="A758"/>
    <hyperlink r:id="rId484" ref="A759"/>
    <hyperlink r:id="rId485" ref="A760"/>
    <hyperlink r:id="rId486" ref="A761"/>
    <hyperlink r:id="rId487" ref="A762"/>
    <hyperlink r:id="rId488" ref="A763"/>
    <hyperlink r:id="rId489" ref="A764"/>
    <hyperlink r:id="rId490" ref="A765"/>
    <hyperlink r:id="rId491" ref="A766"/>
    <hyperlink r:id="rId492" ref="A767"/>
    <hyperlink r:id="rId493" ref="A768"/>
    <hyperlink r:id="rId494" ref="A769"/>
    <hyperlink r:id="rId495" ref="A770"/>
    <hyperlink r:id="rId496" ref="A771"/>
    <hyperlink r:id="rId497" ref="A772"/>
    <hyperlink r:id="rId498" ref="A773"/>
    <hyperlink r:id="rId499" ref="A774"/>
    <hyperlink r:id="rId500" ref="A775"/>
    <hyperlink r:id="rId501" ref="A776"/>
    <hyperlink r:id="rId502" ref="A777"/>
    <hyperlink r:id="rId503" ref="A778"/>
    <hyperlink r:id="rId504" ref="A779"/>
    <hyperlink r:id="rId505" ref="A780"/>
    <hyperlink r:id="rId506" ref="A781"/>
    <hyperlink r:id="rId507" ref="A782"/>
    <hyperlink r:id="rId508" ref="A783"/>
    <hyperlink r:id="rId509" ref="A784"/>
    <hyperlink r:id="rId510" ref="A785"/>
    <hyperlink r:id="rId511" ref="A786"/>
    <hyperlink r:id="rId512" ref="A787"/>
    <hyperlink r:id="rId513" ref="A788"/>
    <hyperlink r:id="rId514" ref="A789"/>
    <hyperlink r:id="rId515" ref="A790"/>
    <hyperlink r:id="rId516" ref="A791"/>
    <hyperlink r:id="rId517" ref="A792"/>
    <hyperlink r:id="rId518" ref="A793"/>
    <hyperlink r:id="rId519" ref="A794"/>
    <hyperlink r:id="rId520" ref="A795"/>
    <hyperlink r:id="rId521" ref="A796"/>
    <hyperlink r:id="rId522" ref="A797"/>
    <hyperlink r:id="rId523" ref="A799"/>
    <hyperlink r:id="rId524" ref="A800"/>
    <hyperlink r:id="rId525" ref="A801"/>
    <hyperlink r:id="rId526" ref="A802"/>
    <hyperlink r:id="rId527" ref="A803"/>
    <hyperlink r:id="rId528" ref="A804"/>
    <hyperlink r:id="rId529" ref="A805"/>
    <hyperlink r:id="rId530" ref="A806"/>
    <hyperlink r:id="rId531" ref="A807"/>
    <hyperlink r:id="rId532" ref="A808"/>
    <hyperlink r:id="rId533" ref="A809"/>
    <hyperlink r:id="rId534" ref="A810"/>
    <hyperlink r:id="rId535" ref="A811"/>
    <hyperlink r:id="rId536" ref="A812"/>
    <hyperlink r:id="rId537" ref="A813"/>
    <hyperlink r:id="rId538" ref="A814"/>
    <hyperlink r:id="rId539" ref="A815"/>
    <hyperlink r:id="rId540" ref="A816"/>
    <hyperlink r:id="rId541" ref="A817"/>
    <hyperlink r:id="rId542" ref="A818"/>
    <hyperlink r:id="rId543" ref="A819"/>
    <hyperlink r:id="rId544" ref="A820"/>
    <hyperlink r:id="rId545" ref="A821"/>
    <hyperlink r:id="rId546" ref="A822"/>
    <hyperlink r:id="rId547" ref="A823"/>
    <hyperlink r:id="rId548" ref="A824"/>
    <hyperlink r:id="rId549" ref="A825"/>
    <hyperlink r:id="rId550" ref="A826"/>
    <hyperlink r:id="rId551" ref="A827"/>
    <hyperlink r:id="rId552" ref="A828"/>
    <hyperlink r:id="rId553" ref="A829"/>
    <hyperlink r:id="rId554" ref="A830"/>
    <hyperlink r:id="rId555" ref="A831"/>
    <hyperlink r:id="rId556" ref="A832"/>
    <hyperlink r:id="rId557" ref="A833"/>
    <hyperlink r:id="rId558" ref="A834"/>
    <hyperlink r:id="rId559" ref="A835"/>
    <hyperlink r:id="rId560" ref="A836"/>
    <hyperlink r:id="rId561" ref="A837"/>
    <hyperlink r:id="rId562" ref="A838"/>
    <hyperlink r:id="rId563" ref="A839"/>
    <hyperlink r:id="rId564" ref="A840"/>
    <hyperlink r:id="rId565" ref="A841"/>
    <hyperlink r:id="rId566" ref="A842"/>
    <hyperlink r:id="rId567" ref="A843"/>
    <hyperlink r:id="rId568" ref="A844"/>
    <hyperlink r:id="rId569" ref="A845"/>
    <hyperlink r:id="rId570" ref="A846"/>
    <hyperlink r:id="rId571" ref="A847"/>
    <hyperlink r:id="rId572" ref="A848"/>
    <hyperlink r:id="rId573" ref="A849"/>
    <hyperlink r:id="rId574" ref="A850"/>
    <hyperlink r:id="rId575" ref="A851"/>
    <hyperlink r:id="rId576" ref="A852"/>
    <hyperlink r:id="rId577" ref="A853"/>
    <hyperlink r:id="rId578" ref="A854"/>
    <hyperlink r:id="rId579" ref="A855"/>
    <hyperlink r:id="rId580" ref="A856"/>
    <hyperlink r:id="rId581" ref="A857"/>
    <hyperlink r:id="rId582" ref="A858"/>
    <hyperlink r:id="rId583" ref="A859"/>
    <hyperlink r:id="rId584" ref="A860"/>
    <hyperlink r:id="rId585" ref="A862"/>
    <hyperlink r:id="rId586" ref="A863"/>
    <hyperlink r:id="rId587" ref="A864"/>
    <hyperlink r:id="rId588" ref="A865"/>
    <hyperlink r:id="rId589" ref="A866"/>
    <hyperlink r:id="rId590" ref="A867"/>
    <hyperlink r:id="rId591" ref="A868"/>
    <hyperlink r:id="rId592" ref="A869"/>
    <hyperlink r:id="rId593" ref="A870"/>
    <hyperlink r:id="rId594" ref="A871"/>
    <hyperlink r:id="rId595" ref="A872"/>
    <hyperlink r:id="rId596" ref="A873"/>
    <hyperlink r:id="rId597" ref="A874"/>
    <hyperlink r:id="rId598" ref="A875"/>
    <hyperlink r:id="rId599" ref="A876"/>
    <hyperlink r:id="rId600" ref="A877"/>
    <hyperlink r:id="rId601" ref="A878"/>
    <hyperlink r:id="rId602" ref="A879"/>
    <hyperlink r:id="rId603" ref="A880"/>
    <hyperlink r:id="rId604" ref="A881"/>
    <hyperlink r:id="rId605" ref="A882"/>
    <hyperlink r:id="rId606" ref="A883"/>
    <hyperlink r:id="rId607" ref="A884"/>
    <hyperlink r:id="rId608" ref="A885"/>
    <hyperlink r:id="rId609" ref="A886"/>
    <hyperlink r:id="rId610" ref="A887"/>
    <hyperlink r:id="rId611" ref="A888"/>
    <hyperlink r:id="rId612" ref="A889"/>
    <hyperlink r:id="rId613" ref="A890"/>
    <hyperlink r:id="rId614" ref="A891"/>
    <hyperlink r:id="rId615" ref="A892"/>
    <hyperlink r:id="rId616" ref="A893"/>
    <hyperlink r:id="rId617" ref="A894"/>
    <hyperlink r:id="rId618" ref="A895"/>
    <hyperlink r:id="rId619" ref="A896"/>
    <hyperlink r:id="rId620" ref="A898"/>
    <hyperlink r:id="rId621" ref="A899"/>
    <hyperlink r:id="rId622" ref="A900"/>
    <hyperlink r:id="rId623" ref="A901"/>
    <hyperlink r:id="rId624" ref="A902"/>
    <hyperlink r:id="rId625" ref="A903"/>
    <hyperlink r:id="rId626" ref="A904"/>
    <hyperlink r:id="rId627" ref="A905"/>
    <hyperlink r:id="rId628" ref="A906"/>
    <hyperlink r:id="rId629" ref="A907"/>
    <hyperlink r:id="rId630" ref="A908"/>
    <hyperlink r:id="rId631" ref="A909"/>
    <hyperlink r:id="rId632" ref="A910"/>
    <hyperlink r:id="rId633" ref="A911"/>
    <hyperlink r:id="rId634" ref="A912"/>
    <hyperlink r:id="rId635" ref="A913"/>
    <hyperlink r:id="rId636" ref="A914"/>
    <hyperlink r:id="rId637" ref="A915"/>
    <hyperlink r:id="rId638" ref="A916"/>
    <hyperlink r:id="rId639" ref="A917"/>
    <hyperlink r:id="rId640" ref="A918"/>
    <hyperlink r:id="rId641" ref="A919"/>
    <hyperlink r:id="rId642" ref="A920"/>
    <hyperlink r:id="rId643" ref="A921"/>
    <hyperlink r:id="rId644" ref="A922"/>
    <hyperlink r:id="rId645" ref="A923"/>
    <hyperlink r:id="rId646" ref="A924"/>
    <hyperlink r:id="rId647" ref="A925"/>
    <hyperlink r:id="rId648" ref="A926"/>
    <hyperlink r:id="rId649" ref="A927"/>
    <hyperlink r:id="rId650" ref="A928"/>
    <hyperlink r:id="rId651" ref="A929"/>
    <hyperlink r:id="rId652" ref="A930"/>
    <hyperlink r:id="rId653" ref="A931"/>
    <hyperlink r:id="rId654" ref="A932"/>
    <hyperlink r:id="rId655" ref="A933"/>
    <hyperlink r:id="rId656" ref="A934"/>
    <hyperlink r:id="rId657" ref="A935"/>
    <hyperlink r:id="rId658" ref="A936"/>
    <hyperlink r:id="rId659" ref="A937"/>
    <hyperlink r:id="rId660" ref="A938"/>
    <hyperlink r:id="rId661" ref="A939"/>
    <hyperlink r:id="rId662" ref="A940"/>
    <hyperlink r:id="rId663" ref="A941"/>
    <hyperlink r:id="rId664" ref="A942"/>
    <hyperlink r:id="rId665" ref="A943"/>
    <hyperlink r:id="rId666" ref="A944"/>
    <hyperlink r:id="rId667" ref="A945"/>
    <hyperlink r:id="rId668" ref="A946"/>
    <hyperlink r:id="rId669" ref="A947"/>
    <hyperlink r:id="rId670" ref="A948"/>
    <hyperlink r:id="rId671" ref="A949"/>
    <hyperlink r:id="rId672" ref="A950"/>
    <hyperlink r:id="rId673" ref="A951"/>
    <hyperlink r:id="rId674" ref="A952"/>
    <hyperlink r:id="rId675" ref="A953"/>
    <hyperlink r:id="rId676" ref="A955"/>
    <hyperlink r:id="rId677" ref="A956"/>
    <hyperlink r:id="rId678" ref="A957"/>
    <hyperlink r:id="rId679" ref="A958"/>
    <hyperlink r:id="rId680" ref="A959"/>
    <hyperlink r:id="rId681" ref="A960"/>
    <hyperlink r:id="rId682" ref="A961"/>
    <hyperlink r:id="rId683" ref="A962"/>
    <hyperlink r:id="rId684" ref="A963"/>
    <hyperlink r:id="rId685" ref="A964"/>
    <hyperlink r:id="rId686" ref="A965"/>
    <hyperlink r:id="rId687" ref="A966"/>
    <hyperlink r:id="rId688" ref="A967"/>
    <hyperlink r:id="rId689" ref="A968"/>
    <hyperlink r:id="rId690" ref="A969"/>
    <hyperlink r:id="rId691" ref="A970"/>
    <hyperlink r:id="rId692" ref="A971"/>
    <hyperlink r:id="rId693" ref="A972"/>
    <hyperlink r:id="rId694" ref="A973"/>
    <hyperlink r:id="rId695" ref="A974"/>
    <hyperlink r:id="rId696" ref="A975"/>
    <hyperlink r:id="rId697" ref="A976"/>
    <hyperlink r:id="rId698" ref="A977"/>
    <hyperlink r:id="rId699" ref="A978"/>
    <hyperlink r:id="rId700" ref="A979"/>
    <hyperlink r:id="rId701" ref="A980"/>
    <hyperlink r:id="rId702" ref="A981"/>
    <hyperlink r:id="rId703" ref="A982"/>
    <hyperlink r:id="rId704" ref="A983"/>
    <hyperlink r:id="rId705" ref="A984"/>
    <hyperlink r:id="rId706" ref="A985"/>
    <hyperlink r:id="rId707" ref="A986"/>
    <hyperlink r:id="rId708" ref="A987"/>
    <hyperlink r:id="rId709" ref="A988"/>
    <hyperlink r:id="rId710" ref="A989"/>
    <hyperlink r:id="rId711" ref="A990"/>
    <hyperlink r:id="rId712" ref="A991"/>
    <hyperlink r:id="rId713" ref="A992"/>
    <hyperlink r:id="rId714" ref="A993"/>
    <hyperlink r:id="rId715" ref="A994"/>
    <hyperlink r:id="rId716" ref="A995"/>
    <hyperlink r:id="rId717" ref="A996"/>
    <hyperlink r:id="rId718" ref="A997"/>
    <hyperlink r:id="rId719" ref="A998"/>
    <hyperlink r:id="rId720" ref="A999"/>
    <hyperlink r:id="rId721" ref="A1000"/>
    <hyperlink r:id="rId722" ref="A1001"/>
    <hyperlink r:id="rId723" ref="A1002"/>
    <hyperlink r:id="rId724" ref="A1003"/>
    <hyperlink r:id="rId725" ref="A1004"/>
    <hyperlink r:id="rId726" ref="A1005"/>
    <hyperlink r:id="rId727" ref="A1006"/>
    <hyperlink r:id="rId728" ref="A1007"/>
    <hyperlink r:id="rId729" ref="A1008"/>
    <hyperlink r:id="rId730" ref="A1009"/>
    <hyperlink r:id="rId731" ref="A1010"/>
    <hyperlink r:id="rId732" ref="A1011"/>
    <hyperlink r:id="rId733" ref="A1012"/>
    <hyperlink r:id="rId734" ref="A1013"/>
    <hyperlink r:id="rId735" ref="A1014"/>
    <hyperlink r:id="rId736" ref="A1015"/>
    <hyperlink r:id="rId737" ref="A1016"/>
    <hyperlink r:id="rId738" ref="A1017"/>
    <hyperlink r:id="rId739" ref="A1018"/>
    <hyperlink r:id="rId740" ref="A1019"/>
    <hyperlink r:id="rId741" ref="A1020"/>
    <hyperlink r:id="rId742" ref="A1021"/>
    <hyperlink r:id="rId743" ref="A1022"/>
    <hyperlink r:id="rId744" ref="A1023"/>
    <hyperlink r:id="rId745" ref="A1024"/>
    <hyperlink r:id="rId746" ref="A1025"/>
    <hyperlink r:id="rId747" ref="A1026"/>
    <hyperlink r:id="rId748" ref="A1027"/>
    <hyperlink r:id="rId749" ref="A1028"/>
    <hyperlink r:id="rId750" ref="A1029"/>
    <hyperlink r:id="rId751" ref="A1030"/>
    <hyperlink r:id="rId752" ref="A1032"/>
    <hyperlink r:id="rId753" ref="A1033"/>
    <hyperlink r:id="rId754" ref="A1034"/>
    <hyperlink r:id="rId755" ref="A1035"/>
    <hyperlink r:id="rId756" ref="A1036"/>
    <hyperlink r:id="rId757" ref="A1037"/>
    <hyperlink r:id="rId758" ref="A1038"/>
    <hyperlink r:id="rId759" ref="A1039"/>
    <hyperlink r:id="rId760" ref="A1040"/>
    <hyperlink r:id="rId761" ref="A1041"/>
    <hyperlink r:id="rId762" ref="A1042"/>
    <hyperlink r:id="rId763" ref="A1043"/>
    <hyperlink r:id="rId764" ref="A1044"/>
    <hyperlink r:id="rId765" ref="A1045"/>
    <hyperlink r:id="rId766" ref="A1046"/>
    <hyperlink r:id="rId767" ref="A1047"/>
    <hyperlink r:id="rId768" ref="A1048"/>
    <hyperlink r:id="rId769" ref="A1049"/>
    <hyperlink r:id="rId770" ref="A1050"/>
    <hyperlink r:id="rId771" ref="A1051"/>
    <hyperlink r:id="rId772" ref="A1052"/>
    <hyperlink r:id="rId773" ref="A1053"/>
    <hyperlink r:id="rId774" ref="A1054"/>
    <hyperlink r:id="rId775" ref="A1055"/>
    <hyperlink r:id="rId776" ref="A1056"/>
    <hyperlink r:id="rId777" ref="A1057"/>
    <hyperlink r:id="rId778" ref="A1058"/>
    <hyperlink r:id="rId779" ref="A1059"/>
    <hyperlink r:id="rId780" ref="A1060"/>
    <hyperlink r:id="rId781" ref="A1061"/>
    <hyperlink r:id="rId782" ref="A1062"/>
    <hyperlink r:id="rId783" ref="A1063"/>
    <hyperlink r:id="rId784" ref="A1064"/>
    <hyperlink r:id="rId785" ref="A1065"/>
    <hyperlink r:id="rId786" ref="A1066"/>
    <hyperlink r:id="rId787" ref="A1067"/>
    <hyperlink r:id="rId788" ref="A1068"/>
    <hyperlink r:id="rId789" ref="A1069"/>
    <hyperlink r:id="rId790" ref="A1070"/>
    <hyperlink r:id="rId791" ref="A1071"/>
    <hyperlink r:id="rId792" ref="A1072"/>
    <hyperlink r:id="rId793" ref="A1073"/>
    <hyperlink r:id="rId794" ref="A1074"/>
    <hyperlink r:id="rId795" ref="A1075"/>
    <hyperlink r:id="rId796" ref="A1076"/>
    <hyperlink r:id="rId797" ref="A1077"/>
    <hyperlink r:id="rId798" ref="A1078"/>
    <hyperlink r:id="rId799" ref="A1079"/>
    <hyperlink r:id="rId800" ref="A1080"/>
    <hyperlink r:id="rId801" ref="A1081"/>
    <hyperlink r:id="rId802" ref="A1082"/>
    <hyperlink r:id="rId803" ref="A1083"/>
    <hyperlink r:id="rId804" ref="A1084"/>
    <hyperlink r:id="rId805" ref="A1085"/>
    <hyperlink r:id="rId806" ref="A1086"/>
    <hyperlink r:id="rId807" ref="A1087"/>
    <hyperlink r:id="rId808" ref="A1088"/>
    <hyperlink r:id="rId809" ref="A1089"/>
    <hyperlink r:id="rId810" ref="A1090"/>
    <hyperlink r:id="rId811" ref="A1091"/>
    <hyperlink r:id="rId812" ref="A1092"/>
    <hyperlink r:id="rId813" ref="A1093"/>
    <hyperlink r:id="rId814" ref="A1094"/>
    <hyperlink r:id="rId815" ref="A1095"/>
    <hyperlink r:id="rId816" ref="A1096"/>
    <hyperlink r:id="rId817" ref="A1097"/>
    <hyperlink r:id="rId818" ref="A1098"/>
    <hyperlink r:id="rId819" ref="A1099"/>
    <hyperlink r:id="rId820" ref="A1100"/>
    <hyperlink r:id="rId821" ref="A1101"/>
    <hyperlink r:id="rId822" ref="A1102"/>
    <hyperlink r:id="rId823" ref="A1103"/>
    <hyperlink r:id="rId824" ref="A1104"/>
    <hyperlink r:id="rId825" ref="A1105"/>
    <hyperlink r:id="rId826" ref="A1106"/>
    <hyperlink r:id="rId827" ref="A1107"/>
    <hyperlink r:id="rId828" ref="A1108"/>
    <hyperlink r:id="rId829" ref="A1109"/>
    <hyperlink r:id="rId830" ref="A1110"/>
    <hyperlink r:id="rId831" ref="A1111"/>
    <hyperlink r:id="rId832" ref="A1112"/>
    <hyperlink r:id="rId833" ref="A1113"/>
    <hyperlink r:id="rId834" ref="A1114"/>
    <hyperlink r:id="rId835" ref="A1115"/>
    <hyperlink r:id="rId836" ref="A1116"/>
    <hyperlink r:id="rId837" ref="A1117"/>
    <hyperlink r:id="rId838" ref="A1118"/>
    <hyperlink r:id="rId839" ref="A1119"/>
    <hyperlink r:id="rId840" ref="A1120"/>
    <hyperlink r:id="rId841" ref="A1121"/>
    <hyperlink r:id="rId842" ref="A1122"/>
    <hyperlink r:id="rId843" ref="A1123"/>
    <hyperlink r:id="rId844" ref="A1124"/>
    <hyperlink r:id="rId845" ref="A1125"/>
    <hyperlink r:id="rId846" ref="A1126"/>
    <hyperlink r:id="rId847" ref="A1127"/>
    <hyperlink r:id="rId848" ref="A1128"/>
    <hyperlink r:id="rId849" ref="A1129"/>
    <hyperlink r:id="rId850" ref="A1130"/>
    <hyperlink r:id="rId851" ref="A1131"/>
    <hyperlink r:id="rId852" ref="A1132"/>
    <hyperlink r:id="rId853" ref="A1133"/>
    <hyperlink r:id="rId854" ref="A1134"/>
    <hyperlink r:id="rId855" ref="A1135"/>
    <hyperlink r:id="rId856" ref="A1136"/>
    <hyperlink r:id="rId857" ref="A1137"/>
    <hyperlink r:id="rId858" ref="A1138"/>
    <hyperlink r:id="rId859" ref="A1139"/>
    <hyperlink r:id="rId860" ref="A1140"/>
    <hyperlink r:id="rId861" ref="A1141"/>
    <hyperlink r:id="rId862" ref="A1142"/>
    <hyperlink r:id="rId863" ref="A1143"/>
    <hyperlink r:id="rId864" ref="A1144"/>
    <hyperlink r:id="rId865" ref="A1145"/>
    <hyperlink r:id="rId866" ref="A1146"/>
    <hyperlink r:id="rId867" ref="A1147"/>
    <hyperlink r:id="rId868" ref="A1148"/>
    <hyperlink r:id="rId869" ref="A1149"/>
    <hyperlink r:id="rId870" ref="A1150"/>
    <hyperlink r:id="rId871" ref="A1151"/>
    <hyperlink r:id="rId872" ref="A1152"/>
    <hyperlink r:id="rId873" ref="A1153"/>
    <hyperlink r:id="rId874" ref="A1154"/>
    <hyperlink r:id="rId875" ref="A1155"/>
    <hyperlink r:id="rId876" ref="A1156"/>
    <hyperlink r:id="rId877" ref="A1157"/>
    <hyperlink r:id="rId878" ref="A1158"/>
    <hyperlink r:id="rId879" ref="A1159"/>
    <hyperlink r:id="rId880" ref="A1160"/>
    <hyperlink r:id="rId881" ref="A1161"/>
    <hyperlink r:id="rId882" ref="A1162"/>
    <hyperlink r:id="rId883" ref="A1163"/>
    <hyperlink r:id="rId884" ref="A1164"/>
    <hyperlink r:id="rId885" ref="A1165"/>
    <hyperlink r:id="rId886" ref="A1166"/>
    <hyperlink r:id="rId887" ref="A1167"/>
    <hyperlink r:id="rId888" ref="A1168"/>
    <hyperlink r:id="rId889" ref="A1169"/>
    <hyperlink r:id="rId890" ref="A1170"/>
    <hyperlink r:id="rId891" ref="A1171"/>
    <hyperlink r:id="rId892" ref="A1172"/>
    <hyperlink r:id="rId893" ref="A1173"/>
    <hyperlink r:id="rId894" ref="A1174"/>
    <hyperlink r:id="rId895" ref="A1175"/>
    <hyperlink r:id="rId896" ref="A1176"/>
    <hyperlink r:id="rId897" ref="A1177"/>
    <hyperlink r:id="rId898" ref="A1178"/>
    <hyperlink r:id="rId899" ref="A1179"/>
    <hyperlink r:id="rId900" ref="A1180"/>
    <hyperlink r:id="rId901" ref="A1181"/>
    <hyperlink r:id="rId902" ref="A1182"/>
    <hyperlink r:id="rId903" ref="A1183"/>
    <hyperlink r:id="rId904" ref="A1184"/>
    <hyperlink r:id="rId905" ref="A1185"/>
    <hyperlink r:id="rId906" ref="A1186"/>
    <hyperlink r:id="rId907" ref="A1187"/>
    <hyperlink r:id="rId908" ref="A1188"/>
    <hyperlink r:id="rId909" ref="A1189"/>
    <hyperlink r:id="rId910" ref="A1190"/>
    <hyperlink r:id="rId911" ref="A1191"/>
    <hyperlink r:id="rId912" ref="A1192"/>
    <hyperlink r:id="rId913" ref="A1193"/>
    <hyperlink r:id="rId914" ref="A1194"/>
    <hyperlink r:id="rId915" ref="A1195"/>
    <hyperlink r:id="rId916" ref="A1196"/>
    <hyperlink r:id="rId917" ref="A1197"/>
    <hyperlink r:id="rId918" ref="A1198"/>
    <hyperlink r:id="rId919" ref="A1199"/>
    <hyperlink r:id="rId920" ref="A1200"/>
    <hyperlink r:id="rId921" ref="A1201"/>
    <hyperlink r:id="rId922" ref="A1202"/>
    <hyperlink r:id="rId923" ref="A1203"/>
    <hyperlink r:id="rId924" ref="A1204"/>
    <hyperlink r:id="rId925" ref="A1205"/>
    <hyperlink r:id="rId926" ref="A1206"/>
    <hyperlink r:id="rId927" ref="A1207"/>
    <hyperlink r:id="rId928" ref="A1208"/>
    <hyperlink r:id="rId929" ref="A1209"/>
    <hyperlink r:id="rId930" ref="A1210"/>
    <hyperlink r:id="rId931" ref="A1211"/>
    <hyperlink r:id="rId932" ref="A1212"/>
    <hyperlink r:id="rId933" ref="A1213"/>
    <hyperlink r:id="rId934" ref="A1214"/>
    <hyperlink r:id="rId935" ref="A1215"/>
    <hyperlink r:id="rId936" ref="A1216"/>
    <hyperlink r:id="rId937" ref="A1217"/>
    <hyperlink r:id="rId938" ref="A1218"/>
    <hyperlink r:id="rId939" ref="A1219"/>
    <hyperlink r:id="rId940" ref="A1220"/>
    <hyperlink r:id="rId941" ref="A1221"/>
    <hyperlink r:id="rId942" ref="A1231"/>
    <hyperlink r:id="rId943" ref="A1238"/>
    <hyperlink r:id="rId944" ref="A1246"/>
    <hyperlink r:id="rId945" ref="A1258"/>
    <hyperlink r:id="rId946" ref="A1259"/>
    <hyperlink r:id="rId947" ref="A1260"/>
    <hyperlink r:id="rId948" ref="A1267"/>
    <hyperlink r:id="rId949" ref="A1270"/>
    <hyperlink r:id="rId950" ref="A1276"/>
    <hyperlink r:id="rId951" ref="A1277"/>
    <hyperlink r:id="rId952" ref="A1281"/>
    <hyperlink r:id="rId953" ref="A1284"/>
    <hyperlink r:id="rId954" ref="A1286"/>
    <hyperlink r:id="rId955" ref="A1288"/>
    <hyperlink r:id="rId956" ref="A1289"/>
    <hyperlink r:id="rId957" ref="A1293"/>
    <hyperlink r:id="rId958" ref="A1303"/>
    <hyperlink r:id="rId959" ref="A1322"/>
    <hyperlink r:id="rId960" ref="A1323"/>
    <hyperlink r:id="rId961" ref="A1329"/>
    <hyperlink r:id="rId962" ref="A1330"/>
    <hyperlink r:id="rId963" ref="A1341"/>
    <hyperlink r:id="rId964" ref="A1343"/>
    <hyperlink r:id="rId965" ref="A1348"/>
    <hyperlink r:id="rId966" ref="A1349"/>
    <hyperlink r:id="rId967" ref="A1352"/>
    <hyperlink r:id="rId968" ref="A1356"/>
    <hyperlink r:id="rId969" ref="A1357"/>
    <hyperlink r:id="rId970" ref="A1358"/>
    <hyperlink r:id="rId971" ref="A1359"/>
    <hyperlink r:id="rId972" ref="A1361"/>
    <hyperlink r:id="rId973" ref="A1362"/>
    <hyperlink r:id="rId974" ref="A1363"/>
    <hyperlink r:id="rId975" ref="A1366"/>
    <hyperlink r:id="rId976" ref="A1371"/>
    <hyperlink r:id="rId977" ref="A1372"/>
    <hyperlink r:id="rId978" ref="A1378"/>
    <hyperlink r:id="rId979" ref="A1382"/>
    <hyperlink r:id="rId980" ref="A1383"/>
    <hyperlink r:id="rId981" ref="A1384"/>
    <hyperlink r:id="rId982" ref="A1385"/>
    <hyperlink r:id="rId983" ref="A1386"/>
    <hyperlink r:id="rId984" ref="A1389"/>
    <hyperlink r:id="rId985" ref="A1392"/>
    <hyperlink r:id="rId986" ref="A1395"/>
    <hyperlink r:id="rId987" ref="A1396"/>
    <hyperlink r:id="rId988" ref="A1398"/>
    <hyperlink r:id="rId989" ref="A1403"/>
    <hyperlink r:id="rId990" ref="A1405"/>
    <hyperlink r:id="rId991" ref="A1406"/>
    <hyperlink r:id="rId992" ref="A1407"/>
    <hyperlink r:id="rId993" ref="A1408"/>
    <hyperlink r:id="rId994" ref="A1409"/>
    <hyperlink r:id="rId995" ref="A1410"/>
    <hyperlink r:id="rId996" ref="A1411"/>
    <hyperlink r:id="rId997" ref="A1412"/>
    <hyperlink r:id="rId998" ref="A1414"/>
    <hyperlink r:id="rId999" ref="A1415"/>
    <hyperlink r:id="rId1000" ref="A1418"/>
    <hyperlink r:id="rId1001" ref="A1420"/>
    <hyperlink r:id="rId1002" ref="A1421"/>
    <hyperlink r:id="rId1003" ref="A1422"/>
    <hyperlink r:id="rId1004" ref="A1423"/>
    <hyperlink r:id="rId1005" ref="A1424"/>
    <hyperlink r:id="rId1006" ref="A1425"/>
    <hyperlink r:id="rId1007" ref="A1426"/>
    <hyperlink r:id="rId1008" ref="A1427"/>
    <hyperlink r:id="rId1009" ref="A1428"/>
    <hyperlink r:id="rId1010" ref="A1429"/>
    <hyperlink r:id="rId1011" ref="A1430"/>
    <hyperlink r:id="rId1012" ref="A1431"/>
    <hyperlink r:id="rId1013" ref="A1432"/>
    <hyperlink r:id="rId1014" ref="A1433"/>
    <hyperlink r:id="rId1015" ref="A1434"/>
    <hyperlink r:id="rId1016" ref="A1435"/>
    <hyperlink r:id="rId1017" ref="A1436"/>
    <hyperlink r:id="rId1018" ref="A1437"/>
    <hyperlink r:id="rId1019" ref="A1438"/>
    <hyperlink r:id="rId1020" ref="A1439"/>
    <hyperlink r:id="rId1021" ref="A1442"/>
    <hyperlink r:id="rId1022" ref="A1443"/>
    <hyperlink r:id="rId1023" ref="A1444"/>
    <hyperlink r:id="rId1024" ref="A1445"/>
    <hyperlink r:id="rId1025" ref="A1448"/>
    <hyperlink r:id="rId1026" ref="A1449"/>
    <hyperlink r:id="rId1027" ref="A1450"/>
    <hyperlink r:id="rId1028" ref="A1453"/>
    <hyperlink r:id="rId1029" ref="A1454"/>
    <hyperlink r:id="rId1030" ref="A1455"/>
    <hyperlink r:id="rId1031" ref="A1456"/>
    <hyperlink r:id="rId1032" ref="A1457"/>
    <hyperlink r:id="rId1033" ref="A1459"/>
    <hyperlink r:id="rId1034" ref="A1461"/>
    <hyperlink r:id="rId1035" ref="A1462"/>
    <hyperlink r:id="rId1036" ref="A1463"/>
    <hyperlink r:id="rId1037" ref="A1464"/>
    <hyperlink r:id="rId1038" ref="A1465"/>
    <hyperlink r:id="rId1039" ref="A1466"/>
    <hyperlink r:id="rId1040" ref="A1467"/>
    <hyperlink r:id="rId1041" ref="A1468"/>
    <hyperlink r:id="rId1042" ref="A1469"/>
    <hyperlink r:id="rId1043" ref="A1470"/>
    <hyperlink r:id="rId1044" ref="A1471"/>
    <hyperlink r:id="rId1045" ref="A1472"/>
    <hyperlink r:id="rId1046" ref="A1473"/>
    <hyperlink r:id="rId1047" ref="A1476"/>
    <hyperlink r:id="rId1048" ref="A1479"/>
    <hyperlink r:id="rId1049" ref="A1483"/>
    <hyperlink r:id="rId1050" ref="A1484"/>
    <hyperlink r:id="rId1051" ref="A1486"/>
    <hyperlink r:id="rId1052" ref="A1487"/>
    <hyperlink r:id="rId1053" ref="A1488"/>
    <hyperlink r:id="rId1054" ref="A1495"/>
    <hyperlink r:id="rId1055" ref="A1496"/>
    <hyperlink r:id="rId1056" ref="A1500"/>
    <hyperlink r:id="rId1057" ref="A1503"/>
    <hyperlink r:id="rId1058" ref="A1504"/>
    <hyperlink r:id="rId1059" ref="A1505"/>
    <hyperlink r:id="rId1060" ref="A1507"/>
    <hyperlink r:id="rId1061" ref="A1508"/>
    <hyperlink r:id="rId1062" ref="A1509"/>
    <hyperlink r:id="rId1063" ref="A1511"/>
    <hyperlink r:id="rId1064" ref="A1512"/>
    <hyperlink r:id="rId1065" ref="A1513"/>
    <hyperlink r:id="rId1066" ref="A1514"/>
    <hyperlink r:id="rId1067" ref="A1515"/>
    <hyperlink r:id="rId1068" ref="A1516"/>
    <hyperlink r:id="rId1069" ref="A1517"/>
    <hyperlink r:id="rId1070" ref="A1518"/>
    <hyperlink r:id="rId1071" ref="A1519"/>
    <hyperlink r:id="rId1072" ref="A1522"/>
    <hyperlink r:id="rId1073" ref="A1525"/>
    <hyperlink r:id="rId1074" ref="A1526"/>
    <hyperlink r:id="rId1075" ref="A1527"/>
    <hyperlink r:id="rId1076" location=".WKYj8TuFh7Y" ref="A1528"/>
    <hyperlink r:id="rId1077" ref="A1529"/>
    <hyperlink r:id="rId1078" ref="A1530"/>
    <hyperlink r:id="rId1079" ref="A1531"/>
    <hyperlink r:id="rId1080" location="gsc.tab=0&amp;gsc.q=event%20cameras&amp;gsc.page=1" ref="A1532"/>
    <hyperlink r:id="rId1081" ref="A1533"/>
    <hyperlink r:id="rId1082" ref="A1536"/>
    <hyperlink r:id="rId1083" ref="A1537"/>
    <hyperlink r:id="rId1084" ref="A1538"/>
    <hyperlink r:id="rId1085" ref="A1540"/>
    <hyperlink r:id="rId1086" ref="A1542"/>
    <hyperlink r:id="rId1087" ref="A1543"/>
    <hyperlink r:id="rId1088" ref="A1545"/>
    <hyperlink r:id="rId1089" ref="A1546"/>
    <hyperlink r:id="rId1090" ref="A1547"/>
    <hyperlink r:id="rId1091" ref="A1548"/>
    <hyperlink r:id="rId1092" ref="A1549"/>
    <hyperlink r:id="rId1093" ref="A1550"/>
    <hyperlink r:id="rId1094" ref="A1551"/>
    <hyperlink r:id="rId1095" ref="A1553"/>
    <hyperlink r:id="rId1096" ref="A1555"/>
    <hyperlink r:id="rId1097" ref="A1556"/>
    <hyperlink r:id="rId1098" ref="A1558"/>
    <hyperlink r:id="rId1099" ref="A1567"/>
    <hyperlink r:id="rId1100" ref="A1570"/>
    <hyperlink r:id="rId1101" ref="A1573"/>
    <hyperlink r:id="rId1102" ref="A1574"/>
    <hyperlink r:id="rId1103" ref="A1575"/>
    <hyperlink r:id="rId1104" ref="A1577"/>
    <hyperlink r:id="rId1105" ref="A1578"/>
    <hyperlink r:id="rId1106" ref="A1579"/>
    <hyperlink r:id="rId1107" ref="A1581"/>
    <hyperlink r:id="rId1108" ref="A1582"/>
    <hyperlink r:id="rId1109" ref="A1583"/>
    <hyperlink r:id="rId1110" ref="A1584"/>
    <hyperlink r:id="rId1111" ref="A1585"/>
    <hyperlink r:id="rId1112" ref="A1586"/>
    <hyperlink r:id="rId1113" ref="A1587"/>
    <hyperlink r:id="rId1114" ref="A1588"/>
    <hyperlink r:id="rId1115" ref="A1589"/>
    <hyperlink r:id="rId1116" ref="A1590"/>
    <hyperlink r:id="rId1117" ref="A1591"/>
    <hyperlink r:id="rId1118" ref="A1594"/>
    <hyperlink r:id="rId1119" ref="A1600"/>
    <hyperlink r:id="rId1120" ref="A1601"/>
    <hyperlink r:id="rId1121" ref="A1604"/>
    <hyperlink r:id="rId1122" ref="A1607"/>
    <hyperlink r:id="rId1123" ref="A1610"/>
    <hyperlink r:id="rId1124" ref="A1611"/>
    <hyperlink r:id="rId1125" ref="A1612"/>
    <hyperlink r:id="rId1126" ref="A1622"/>
    <hyperlink r:id="rId1127" ref="A1623"/>
    <hyperlink r:id="rId1128" ref="A1624"/>
    <hyperlink r:id="rId1129" ref="A1625"/>
    <hyperlink r:id="rId1130" ref="A1626"/>
    <hyperlink r:id="rId1131" ref="A1628"/>
    <hyperlink r:id="rId1132" ref="A1629"/>
    <hyperlink r:id="rId1133" ref="A1630"/>
    <hyperlink r:id="rId1134" ref="A1631"/>
    <hyperlink r:id="rId1135" ref="A1632"/>
    <hyperlink r:id="rId1136" ref="A1634"/>
    <hyperlink r:id="rId1137" ref="A1635"/>
    <hyperlink r:id="rId1138" ref="A1636"/>
    <hyperlink r:id="rId1139" ref="A1637"/>
    <hyperlink r:id="rId1140" ref="A1638"/>
    <hyperlink r:id="rId1141" ref="A1639"/>
    <hyperlink r:id="rId1142" ref="A1640"/>
    <hyperlink r:id="rId1143" ref="A1641"/>
    <hyperlink r:id="rId1144" ref="A1642"/>
    <hyperlink r:id="rId1145" ref="A1643"/>
    <hyperlink r:id="rId1146" ref="A1645"/>
    <hyperlink r:id="rId1147" ref="A1646"/>
    <hyperlink r:id="rId1148" ref="A1647"/>
    <hyperlink r:id="rId1149" ref="A1648"/>
    <hyperlink r:id="rId1150" ref="A1649"/>
    <hyperlink r:id="rId1151" ref="A1650"/>
    <hyperlink r:id="rId1152" ref="A1651"/>
    <hyperlink r:id="rId1153" ref="A1652"/>
    <hyperlink r:id="rId1154" ref="A1654"/>
    <hyperlink r:id="rId1155" ref="A1655"/>
    <hyperlink r:id="rId1156" ref="A1656"/>
    <hyperlink r:id="rId1157" ref="A1657"/>
    <hyperlink r:id="rId1158" ref="A1658"/>
    <hyperlink r:id="rId1159" ref="A1659"/>
    <hyperlink r:id="rId1160" ref="A1660"/>
    <hyperlink r:id="rId1161" ref="A1661"/>
    <hyperlink r:id="rId1162" ref="A1662"/>
    <hyperlink r:id="rId1163" ref="A1663"/>
    <hyperlink r:id="rId1164" ref="A1664"/>
    <hyperlink r:id="rId1165" ref="A1665"/>
    <hyperlink r:id="rId1166" ref="A1666"/>
    <hyperlink r:id="rId1167" ref="A1667"/>
    <hyperlink r:id="rId1168" ref="A1668"/>
    <hyperlink r:id="rId1169" ref="A1669"/>
    <hyperlink r:id="rId1170" ref="A1670"/>
    <hyperlink r:id="rId1171" ref="A1671"/>
    <hyperlink r:id="rId1172" ref="A1672"/>
    <hyperlink r:id="rId1173" ref="A1673"/>
    <hyperlink r:id="rId1174" ref="A1674"/>
    <hyperlink r:id="rId1175" ref="A1675"/>
    <hyperlink r:id="rId1176" ref="A1678"/>
    <hyperlink r:id="rId1177" ref="A1679"/>
    <hyperlink r:id="rId1178" ref="A1681"/>
    <hyperlink r:id="rId1179" ref="A1682"/>
    <hyperlink r:id="rId1180" ref="A1683"/>
    <hyperlink r:id="rId1181" ref="A1684"/>
    <hyperlink r:id="rId1182" ref="A1685"/>
    <hyperlink r:id="rId1183" ref="A1686"/>
    <hyperlink r:id="rId1184" ref="A1687"/>
    <hyperlink r:id="rId1185" ref="A1688"/>
    <hyperlink r:id="rId1186" ref="A1689"/>
    <hyperlink r:id="rId1187" ref="A1690"/>
    <hyperlink r:id="rId1188" ref="A1691"/>
    <hyperlink r:id="rId1189" ref="A1692"/>
    <hyperlink r:id="rId1190" ref="A1693"/>
    <hyperlink r:id="rId1191" ref="A1694"/>
    <hyperlink r:id="rId1192" ref="A1695"/>
    <hyperlink r:id="rId1193" ref="A1696"/>
    <hyperlink r:id="rId1194" ref="A1697"/>
    <hyperlink r:id="rId1195" ref="A1698"/>
    <hyperlink r:id="rId1196" ref="A1699"/>
    <hyperlink r:id="rId1197" ref="A1700"/>
    <hyperlink r:id="rId1198" ref="A1701"/>
    <hyperlink r:id="rId1199" ref="A1702"/>
    <hyperlink r:id="rId1200" ref="A1703"/>
    <hyperlink r:id="rId1201" ref="A1704"/>
    <hyperlink r:id="rId1202" ref="A1705"/>
    <hyperlink r:id="rId1203" ref="A1706"/>
    <hyperlink r:id="rId1204" ref="A1707"/>
    <hyperlink r:id="rId1205" ref="A1708"/>
    <hyperlink r:id="rId1206" ref="A1709"/>
    <hyperlink r:id="rId1207" ref="A1710"/>
    <hyperlink r:id="rId1208" ref="A1711"/>
    <hyperlink r:id="rId1209" ref="A1713"/>
    <hyperlink r:id="rId1210" ref="A1714"/>
    <hyperlink r:id="rId1211" ref="A1715"/>
    <hyperlink r:id="rId1212" ref="A1716"/>
    <hyperlink r:id="rId1213" ref="A1717"/>
    <hyperlink r:id="rId1214" ref="A1718"/>
    <hyperlink r:id="rId1215" ref="A1719"/>
    <hyperlink r:id="rId1216" ref="A1720"/>
    <hyperlink r:id="rId1217" ref="A1721"/>
    <hyperlink r:id="rId1218" ref="A1725"/>
    <hyperlink r:id="rId1219" ref="A1726"/>
    <hyperlink r:id="rId1220" ref="A1727"/>
    <hyperlink r:id="rId1221" ref="A1728"/>
    <hyperlink r:id="rId1222" ref="A1729"/>
    <hyperlink r:id="rId1223" ref="A1730"/>
    <hyperlink r:id="rId1224" ref="A1731"/>
    <hyperlink r:id="rId1225" ref="A1732"/>
    <hyperlink r:id="rId1226" ref="A1733"/>
    <hyperlink r:id="rId1227" ref="A1734"/>
    <hyperlink r:id="rId1228" ref="A1735"/>
    <hyperlink r:id="rId1229" ref="A1736"/>
    <hyperlink r:id="rId1230" ref="A1740"/>
    <hyperlink r:id="rId1231" ref="A1741"/>
    <hyperlink r:id="rId1232" ref="A1742"/>
    <hyperlink r:id="rId1233" ref="A1743"/>
    <hyperlink r:id="rId1234" ref="A1744"/>
    <hyperlink r:id="rId1235" ref="A1745"/>
    <hyperlink r:id="rId1236" ref="A1746"/>
    <hyperlink r:id="rId1237" ref="A1747"/>
    <hyperlink r:id="rId1238" ref="A1748"/>
    <hyperlink r:id="rId1239" ref="A1749"/>
    <hyperlink r:id="rId1240" ref="A1750"/>
    <hyperlink r:id="rId1241" ref="A1751"/>
    <hyperlink r:id="rId1242" ref="A1752"/>
    <hyperlink r:id="rId1243" ref="A1753"/>
    <hyperlink r:id="rId1244" ref="A1754"/>
    <hyperlink r:id="rId1245" ref="A1755"/>
    <hyperlink r:id="rId1246" ref="A1756"/>
    <hyperlink r:id="rId1247" ref="A1757"/>
    <hyperlink r:id="rId1248" ref="A1758"/>
    <hyperlink r:id="rId1249" ref="A1759"/>
    <hyperlink r:id="rId1250" ref="A1760"/>
    <hyperlink r:id="rId1251" ref="A1762"/>
    <hyperlink r:id="rId1252" ref="A1764"/>
    <hyperlink r:id="rId1253" ref="A1765"/>
    <hyperlink r:id="rId1254" ref="A1766"/>
    <hyperlink r:id="rId1255" ref="A1767"/>
    <hyperlink r:id="rId1256" ref="A1768"/>
    <hyperlink r:id="rId1257" ref="A1770"/>
    <hyperlink r:id="rId1258" ref="A1771"/>
    <hyperlink r:id="rId1259" ref="A1772"/>
    <hyperlink r:id="rId1260" ref="A1773"/>
    <hyperlink r:id="rId1261" ref="A1776"/>
    <hyperlink r:id="rId1262" ref="A1777"/>
    <hyperlink r:id="rId1263" ref="A1778"/>
    <hyperlink r:id="rId1264" ref="A1779"/>
    <hyperlink r:id="rId1265" ref="A1780"/>
    <hyperlink r:id="rId1266" ref="A1781"/>
    <hyperlink r:id="rId1267" ref="A1782"/>
    <hyperlink r:id="rId1268" ref="A1783"/>
    <hyperlink r:id="rId1269" ref="A1784"/>
    <hyperlink r:id="rId1270" ref="A1785"/>
    <hyperlink r:id="rId1271" ref="A1786"/>
    <hyperlink r:id="rId1272" ref="A1787"/>
    <hyperlink r:id="rId1273" ref="A1788"/>
    <hyperlink r:id="rId1274" ref="A1790"/>
    <hyperlink r:id="rId1275" ref="A1791"/>
    <hyperlink r:id="rId1276" ref="A1792"/>
    <hyperlink r:id="rId1277" ref="A1793"/>
    <hyperlink r:id="rId1278" ref="A1794"/>
    <hyperlink r:id="rId1279" ref="A1795"/>
    <hyperlink r:id="rId1280" ref="A1797"/>
    <hyperlink r:id="rId1281" ref="A1798"/>
    <hyperlink r:id="rId1282" ref="A1799"/>
    <hyperlink r:id="rId1283" ref="A1801"/>
    <hyperlink r:id="rId1284" ref="A1802"/>
    <hyperlink r:id="rId1285" ref="A1806"/>
    <hyperlink r:id="rId1286" ref="A1807"/>
    <hyperlink r:id="rId1287" ref="A1808"/>
    <hyperlink r:id="rId1288" ref="A1809"/>
    <hyperlink r:id="rId1289" ref="A1811"/>
    <hyperlink r:id="rId1290" ref="A1821"/>
    <hyperlink r:id="rId1291" ref="A1822"/>
    <hyperlink r:id="rId1292" ref="A1828"/>
    <hyperlink r:id="rId1293" ref="A1829"/>
    <hyperlink r:id="rId1294" ref="A1830"/>
    <hyperlink r:id="rId1295" ref="A1831"/>
    <hyperlink r:id="rId1296" ref="A1832"/>
    <hyperlink r:id="rId1297" ref="A1833"/>
    <hyperlink r:id="rId1298" ref="A1834"/>
    <hyperlink r:id="rId1299" ref="A1835"/>
    <hyperlink r:id="rId1300" ref="A1839"/>
    <hyperlink r:id="rId1301" ref="A1840"/>
    <hyperlink r:id="rId1302" ref="A1842"/>
    <hyperlink r:id="rId1303" ref="A1843"/>
    <hyperlink r:id="rId1304" ref="A1848"/>
    <hyperlink r:id="rId1305" ref="A1849"/>
    <hyperlink r:id="rId1306" ref="A1850"/>
    <hyperlink r:id="rId1307" ref="A1851"/>
    <hyperlink r:id="rId1308" ref="A1852"/>
    <hyperlink r:id="rId1309" ref="A1853"/>
    <hyperlink r:id="rId1310" ref="A1854"/>
    <hyperlink r:id="rId1311" ref="A1855"/>
    <hyperlink r:id="rId1312" ref="A1858"/>
    <hyperlink r:id="rId1313" ref="A1859"/>
    <hyperlink r:id="rId1314" ref="A1860"/>
    <hyperlink r:id="rId1315" ref="A1861"/>
    <hyperlink r:id="rId1316" ref="A1864"/>
    <hyperlink r:id="rId1317" ref="A1866"/>
    <hyperlink r:id="rId1318" ref="A1867"/>
    <hyperlink r:id="rId1319" ref="A1868"/>
    <hyperlink r:id="rId1320" ref="A1869"/>
    <hyperlink r:id="rId1321" ref="A1870"/>
    <hyperlink r:id="rId1322" ref="A1871"/>
    <hyperlink r:id="rId1323" ref="A1872"/>
    <hyperlink r:id="rId1324" ref="A1884"/>
    <hyperlink r:id="rId1325" ref="A1885"/>
    <hyperlink r:id="rId1326" ref="A1888"/>
    <hyperlink r:id="rId1327" ref="A1894"/>
    <hyperlink r:id="rId1328" ref="A1895"/>
    <hyperlink r:id="rId1329" ref="A1896"/>
    <hyperlink r:id="rId1330" ref="A1897"/>
    <hyperlink r:id="rId1331" ref="A1898"/>
    <hyperlink r:id="rId1332" ref="A1899"/>
    <hyperlink r:id="rId1333" ref="A1900"/>
    <hyperlink r:id="rId1334" ref="A1908"/>
    <hyperlink r:id="rId1335" ref="A1909"/>
    <hyperlink r:id="rId1336" ref="A1910"/>
    <hyperlink r:id="rId1337" ref="A1911"/>
    <hyperlink r:id="rId1338" ref="A1912"/>
    <hyperlink r:id="rId1339" ref="A1913"/>
    <hyperlink r:id="rId1340" ref="A1918"/>
    <hyperlink r:id="rId1341" ref="A1920"/>
    <hyperlink r:id="rId1342" ref="A1921"/>
    <hyperlink r:id="rId1343" ref="A1924"/>
    <hyperlink r:id="rId1344" ref="A1928"/>
    <hyperlink r:id="rId1345" ref="A1929"/>
    <hyperlink r:id="rId1346" ref="A1930"/>
    <hyperlink r:id="rId1347" ref="A1931"/>
    <hyperlink r:id="rId1348" ref="A1932"/>
    <hyperlink r:id="rId1349" ref="A1933"/>
    <hyperlink r:id="rId1350" ref="A1934"/>
    <hyperlink r:id="rId1351" ref="A1935"/>
    <hyperlink r:id="rId1352" ref="A1936"/>
    <hyperlink r:id="rId1353" ref="A1937"/>
    <hyperlink r:id="rId1354" ref="A1938"/>
    <hyperlink r:id="rId1355" ref="A1939"/>
    <hyperlink r:id="rId1356" ref="A1940"/>
    <hyperlink r:id="rId1357" ref="A1941"/>
    <hyperlink r:id="rId1358" ref="A1951"/>
    <hyperlink r:id="rId1359" ref="A1952"/>
    <hyperlink r:id="rId1360" ref="A1953"/>
    <hyperlink r:id="rId1361" ref="A1954"/>
    <hyperlink r:id="rId1362" ref="A1955"/>
    <hyperlink r:id="rId1363" ref="A1956"/>
    <hyperlink r:id="rId1364" ref="A1957"/>
    <hyperlink r:id="rId1365" ref="A1958"/>
    <hyperlink r:id="rId1366" ref="A1959"/>
    <hyperlink r:id="rId1367" ref="A1963"/>
    <hyperlink r:id="rId1368" ref="A1964"/>
    <hyperlink r:id="rId1369" ref="A1965"/>
    <hyperlink r:id="rId1370" ref="A1966"/>
    <hyperlink r:id="rId1371" ref="A1967"/>
    <hyperlink r:id="rId1372" ref="A1968"/>
    <hyperlink r:id="rId1373" ref="A1969"/>
    <hyperlink r:id="rId1374" ref="A1970"/>
    <hyperlink r:id="rId1375" ref="A1971"/>
    <hyperlink r:id="rId1376" ref="A1972"/>
    <hyperlink r:id="rId1377" ref="A1974"/>
    <hyperlink r:id="rId1378" ref="A1975"/>
    <hyperlink r:id="rId1379" ref="A1976"/>
    <hyperlink r:id="rId1380" ref="A1977"/>
    <hyperlink r:id="rId1381" ref="A1978"/>
    <hyperlink r:id="rId1382" ref="A1979"/>
    <hyperlink r:id="rId1383" ref="A1980"/>
    <hyperlink r:id="rId1384" ref="A1981"/>
    <hyperlink r:id="rId1385" ref="A1982"/>
    <hyperlink r:id="rId1386" ref="A1983"/>
    <hyperlink r:id="rId1387" ref="A1984"/>
    <hyperlink r:id="rId1388" ref="A1985"/>
    <hyperlink r:id="rId1389" ref="A1986"/>
    <hyperlink r:id="rId1390" ref="A1988"/>
    <hyperlink r:id="rId1391" ref="A1989"/>
    <hyperlink r:id="rId1392" ref="A1990"/>
    <hyperlink r:id="rId1393" ref="A1991"/>
    <hyperlink r:id="rId1394" ref="A1992"/>
    <hyperlink r:id="rId1395" ref="A1994"/>
    <hyperlink r:id="rId1396" ref="A1996"/>
    <hyperlink r:id="rId1397" ref="A1997"/>
    <hyperlink r:id="rId1398" ref="A1998"/>
    <hyperlink r:id="rId1399" ref="A1999"/>
    <hyperlink r:id="rId1400" ref="A2000"/>
    <hyperlink r:id="rId1401" ref="A2001"/>
    <hyperlink r:id="rId1402" ref="A2002"/>
    <hyperlink r:id="rId1403" ref="A2003"/>
    <hyperlink r:id="rId1404" ref="A2004"/>
    <hyperlink r:id="rId1405" ref="A2005"/>
    <hyperlink r:id="rId1406" ref="A2006"/>
    <hyperlink r:id="rId1407" ref="A2007"/>
    <hyperlink r:id="rId1408" ref="A2008"/>
    <hyperlink r:id="rId1409" ref="A2009"/>
    <hyperlink r:id="rId1410" ref="A2010"/>
    <hyperlink r:id="rId1411" ref="A2011"/>
    <hyperlink r:id="rId1412" ref="A2012"/>
    <hyperlink r:id="rId1413" ref="A2013"/>
    <hyperlink r:id="rId1414" ref="A2014"/>
    <hyperlink r:id="rId1415" ref="A2015"/>
    <hyperlink r:id="rId1416" ref="A2016"/>
    <hyperlink r:id="rId1417" ref="A2017"/>
    <hyperlink r:id="rId1418" ref="A2018"/>
    <hyperlink r:id="rId1419" ref="A2019"/>
    <hyperlink r:id="rId1420" ref="A2020"/>
    <hyperlink r:id="rId1421" ref="A2021"/>
    <hyperlink r:id="rId1422" ref="A2022"/>
    <hyperlink r:id="rId1423" ref="A2023"/>
    <hyperlink r:id="rId1424" ref="A2025"/>
    <hyperlink r:id="rId1425" ref="A2028"/>
    <hyperlink r:id="rId1426" ref="A2029"/>
    <hyperlink r:id="rId1427" ref="A2030"/>
    <hyperlink r:id="rId1428" ref="A2032"/>
    <hyperlink r:id="rId1429" ref="A2033"/>
    <hyperlink r:id="rId1430" ref="A2034"/>
    <hyperlink r:id="rId1431" ref="A2035"/>
    <hyperlink r:id="rId1432" ref="A2036"/>
    <hyperlink r:id="rId1433" ref="A2037"/>
    <hyperlink r:id="rId1434" ref="A2038"/>
    <hyperlink r:id="rId1435" ref="A2039"/>
    <hyperlink r:id="rId1436" ref="A2040"/>
    <hyperlink r:id="rId1437" ref="A2041"/>
    <hyperlink r:id="rId1438" ref="A2042"/>
    <hyperlink r:id="rId1439" ref="A2043"/>
    <hyperlink r:id="rId1440" ref="A2044"/>
    <hyperlink r:id="rId1441" ref="A2045"/>
    <hyperlink r:id="rId1442" ref="A2046"/>
    <hyperlink r:id="rId1443" ref="A2047"/>
    <hyperlink r:id="rId1444" ref="A2048"/>
    <hyperlink r:id="rId1445" ref="A2049"/>
    <hyperlink r:id="rId1446" ref="A2050"/>
    <hyperlink r:id="rId1447" ref="A2051"/>
    <hyperlink r:id="rId1448" ref="A2052"/>
    <hyperlink r:id="rId1449" ref="A2054"/>
    <hyperlink r:id="rId1450" ref="A2055"/>
    <hyperlink r:id="rId1451" ref="A2056"/>
    <hyperlink r:id="rId1452" ref="A2057"/>
    <hyperlink r:id="rId1453" ref="A2058"/>
    <hyperlink r:id="rId1454" ref="A2059"/>
    <hyperlink r:id="rId1455" ref="A2060"/>
    <hyperlink r:id="rId1456" ref="A2061"/>
    <hyperlink r:id="rId1457" ref="A2062"/>
    <hyperlink r:id="rId1458" ref="A2066"/>
    <hyperlink r:id="rId1459" ref="A2068"/>
    <hyperlink r:id="rId1460" ref="A2069"/>
    <hyperlink r:id="rId1461" ref="A2070"/>
    <hyperlink r:id="rId1462" ref="A2071"/>
    <hyperlink r:id="rId1463" ref="A2072"/>
    <hyperlink r:id="rId1464" ref="A2073"/>
    <hyperlink r:id="rId1465" ref="A2074"/>
    <hyperlink r:id="rId1466" ref="A2075"/>
    <hyperlink r:id="rId1467" ref="A2076"/>
    <hyperlink r:id="rId1468" ref="A2077"/>
    <hyperlink r:id="rId1469" ref="A2078"/>
    <hyperlink r:id="rId1470" ref="A2079"/>
    <hyperlink r:id="rId1471" ref="A2080"/>
    <hyperlink r:id="rId1472" ref="A2081"/>
    <hyperlink r:id="rId1473" ref="A2082"/>
    <hyperlink r:id="rId1474" ref="A2084"/>
    <hyperlink r:id="rId1475" ref="A2085"/>
    <hyperlink r:id="rId1476" ref="A2086"/>
    <hyperlink r:id="rId1477" ref="A2088"/>
    <hyperlink r:id="rId1478" ref="A2091"/>
    <hyperlink r:id="rId1479" ref="A2092"/>
    <hyperlink r:id="rId1480" ref="A2093"/>
    <hyperlink r:id="rId1481" ref="A2094"/>
    <hyperlink r:id="rId1482" ref="A2095"/>
    <hyperlink r:id="rId1483" ref="A2096"/>
    <hyperlink r:id="rId1484" ref="A2097"/>
    <hyperlink r:id="rId1485" ref="A2098"/>
    <hyperlink r:id="rId1486" ref="A2099"/>
    <hyperlink r:id="rId1487" ref="A2100"/>
    <hyperlink r:id="rId1488" ref="A2101"/>
    <hyperlink r:id="rId1489" ref="A2102"/>
    <hyperlink r:id="rId1490" ref="A2103"/>
    <hyperlink r:id="rId1491" ref="A2130"/>
    <hyperlink r:id="rId1492" ref="A2132"/>
    <hyperlink r:id="rId1493" ref="A2133"/>
    <hyperlink r:id="rId1494" ref="A2134"/>
    <hyperlink r:id="rId1495" ref="A2135"/>
    <hyperlink r:id="rId1496" ref="A2136"/>
    <hyperlink r:id="rId1497" ref="A2137"/>
    <hyperlink r:id="rId1498" ref="A2138"/>
    <hyperlink r:id="rId1499" ref="A2139"/>
    <hyperlink r:id="rId1500" ref="A2140"/>
    <hyperlink r:id="rId1501" ref="A2141"/>
    <hyperlink r:id="rId1502" ref="A2145"/>
    <hyperlink r:id="rId1503" ref="A2146"/>
    <hyperlink r:id="rId1504" ref="A2148"/>
    <hyperlink r:id="rId1505" ref="A2149"/>
    <hyperlink r:id="rId1506" ref="A2152"/>
    <hyperlink r:id="rId1507" ref="A2153"/>
    <hyperlink r:id="rId1508" ref="A2155"/>
    <hyperlink r:id="rId1509" ref="A2157"/>
    <hyperlink r:id="rId1510" ref="A2158"/>
    <hyperlink r:id="rId1511" ref="A2162"/>
    <hyperlink r:id="rId1512" ref="A2167"/>
    <hyperlink r:id="rId1513" ref="A2168"/>
    <hyperlink r:id="rId1514" ref="A2169"/>
    <hyperlink r:id="rId1515" ref="A2170"/>
    <hyperlink r:id="rId1516" ref="A2171"/>
    <hyperlink r:id="rId1517" ref="A2172"/>
    <hyperlink r:id="rId1518" ref="A2173"/>
    <hyperlink r:id="rId1519" ref="A2174"/>
    <hyperlink r:id="rId1520" ref="A2175"/>
    <hyperlink r:id="rId1521" ref="A2176"/>
    <hyperlink r:id="rId1522" ref="A2177"/>
    <hyperlink r:id="rId1523" ref="A2178"/>
    <hyperlink r:id="rId1524" ref="A2179"/>
    <hyperlink r:id="rId1525" ref="A2180"/>
    <hyperlink r:id="rId1526" ref="A2181"/>
    <hyperlink r:id="rId1527" ref="A2182"/>
    <hyperlink r:id="rId1528" ref="A2183"/>
    <hyperlink r:id="rId1529" ref="A2184"/>
    <hyperlink r:id="rId1530" ref="A2185"/>
    <hyperlink r:id="rId1531" ref="A2190"/>
    <hyperlink r:id="rId1532" ref="A2191"/>
    <hyperlink r:id="rId1533" ref="A2192"/>
    <hyperlink r:id="rId1534" ref="A2193"/>
    <hyperlink r:id="rId1535" ref="A2194"/>
    <hyperlink r:id="rId1536" ref="A2195"/>
    <hyperlink r:id="rId1537" ref="A2196"/>
    <hyperlink r:id="rId1538" ref="A2197"/>
    <hyperlink r:id="rId1539" ref="A2198"/>
    <hyperlink r:id="rId1540" ref="A2200"/>
    <hyperlink r:id="rId1541" ref="A2204"/>
    <hyperlink r:id="rId1542" ref="A2205"/>
    <hyperlink r:id="rId1543" ref="A2212"/>
    <hyperlink r:id="rId1544" ref="A2213"/>
    <hyperlink r:id="rId1545" ref="A2214"/>
    <hyperlink r:id="rId1546" ref="A2215"/>
    <hyperlink r:id="rId1547" ref="A2216"/>
    <hyperlink r:id="rId1548" ref="A2217"/>
    <hyperlink r:id="rId1549" ref="A2218"/>
    <hyperlink r:id="rId1550" ref="A2219"/>
    <hyperlink r:id="rId1551" ref="A2221"/>
    <hyperlink r:id="rId1552" ref="A2222"/>
    <hyperlink r:id="rId1553" ref="A2223"/>
    <hyperlink r:id="rId1554" ref="A2224"/>
    <hyperlink r:id="rId1555" ref="A2225"/>
    <hyperlink r:id="rId1556" ref="A2226"/>
    <hyperlink r:id="rId1557" ref="A2227"/>
    <hyperlink r:id="rId1558" ref="A2228"/>
    <hyperlink r:id="rId1559" ref="A2229"/>
    <hyperlink r:id="rId1560" ref="A2230"/>
    <hyperlink r:id="rId1561" ref="A2231"/>
    <hyperlink r:id="rId1562" ref="A2235"/>
    <hyperlink r:id="rId1563" ref="A2236"/>
    <hyperlink r:id="rId1564" ref="A2237"/>
    <hyperlink r:id="rId1565" ref="A2238"/>
    <hyperlink r:id="rId1566" ref="A2239"/>
    <hyperlink r:id="rId1567" ref="A2240"/>
    <hyperlink r:id="rId1568" ref="A2241"/>
    <hyperlink r:id="rId1569" ref="A2242"/>
    <hyperlink r:id="rId1570" ref="A2243"/>
    <hyperlink r:id="rId1571" ref="A2244"/>
    <hyperlink r:id="rId1572" ref="A2245"/>
    <hyperlink r:id="rId1573" ref="A2246"/>
    <hyperlink r:id="rId1574" ref="A2248"/>
    <hyperlink r:id="rId1575" ref="A2249"/>
    <hyperlink r:id="rId1576" ref="A2250"/>
    <hyperlink r:id="rId1577" ref="A2253"/>
    <hyperlink r:id="rId1578" ref="A2254"/>
    <hyperlink r:id="rId1579" ref="A2256"/>
    <hyperlink r:id="rId1580" ref="A2257"/>
    <hyperlink r:id="rId1581" ref="A2258"/>
    <hyperlink r:id="rId1582" ref="A2259"/>
    <hyperlink r:id="rId1583" ref="A2260"/>
    <hyperlink r:id="rId1584" ref="A2264"/>
    <hyperlink r:id="rId1585" ref="A2266"/>
    <hyperlink r:id="rId1586" ref="A2267"/>
    <hyperlink r:id="rId1587" ref="A2268"/>
    <hyperlink r:id="rId1588" ref="A2270"/>
    <hyperlink r:id="rId1589" ref="A2271"/>
    <hyperlink r:id="rId1590" ref="A2272"/>
    <hyperlink r:id="rId1591" ref="A2275"/>
    <hyperlink r:id="rId1592" ref="A2276"/>
    <hyperlink r:id="rId1593" ref="A2277"/>
    <hyperlink r:id="rId1594" ref="A2279"/>
    <hyperlink r:id="rId1595" ref="A2280"/>
    <hyperlink r:id="rId1596" ref="A2281"/>
    <hyperlink r:id="rId1597" ref="A2282"/>
    <hyperlink r:id="rId1598" ref="A2288"/>
    <hyperlink r:id="rId1599" ref="A2289"/>
    <hyperlink r:id="rId1600" ref="A2290"/>
    <hyperlink r:id="rId1601" ref="A2291"/>
    <hyperlink r:id="rId1602" ref="A2292"/>
    <hyperlink r:id="rId1603" ref="A2293"/>
    <hyperlink r:id="rId1604" ref="A2294"/>
    <hyperlink r:id="rId1605" ref="A2295"/>
    <hyperlink r:id="rId1606" ref="A2296"/>
    <hyperlink r:id="rId1607" ref="A2299"/>
    <hyperlink r:id="rId1608" ref="A2300"/>
    <hyperlink r:id="rId1609" ref="A2301"/>
    <hyperlink r:id="rId1610" ref="A2302"/>
    <hyperlink r:id="rId1611" ref="A2303"/>
    <hyperlink r:id="rId1612" ref="A2304"/>
    <hyperlink r:id="rId1613" ref="A2305"/>
    <hyperlink r:id="rId1614" ref="A2306"/>
    <hyperlink r:id="rId1615" ref="A2308"/>
    <hyperlink r:id="rId1616" ref="A2312"/>
    <hyperlink r:id="rId1617" ref="A2313"/>
    <hyperlink r:id="rId1618" ref="A2314"/>
    <hyperlink r:id="rId1619" ref="A2315"/>
    <hyperlink r:id="rId1620" ref="A2316"/>
    <hyperlink r:id="rId1621" ref="A2318"/>
    <hyperlink r:id="rId1622" ref="A2319"/>
    <hyperlink r:id="rId1623" ref="A2320"/>
    <hyperlink r:id="rId1624" ref="A2321"/>
    <hyperlink r:id="rId1625" ref="A2322"/>
    <hyperlink r:id="rId1626" ref="A2323"/>
    <hyperlink r:id="rId1627" ref="A2324"/>
    <hyperlink r:id="rId1628" ref="A2325"/>
    <hyperlink r:id="rId1629" ref="A2326"/>
    <hyperlink r:id="rId1630" ref="A2327"/>
    <hyperlink r:id="rId1631" ref="A2328"/>
    <hyperlink r:id="rId1632" ref="A2330"/>
    <hyperlink r:id="rId1633" ref="A2332"/>
    <hyperlink r:id="rId1634" ref="A2333"/>
    <hyperlink r:id="rId1635" ref="A2334"/>
    <hyperlink r:id="rId1636" ref="A2335"/>
    <hyperlink r:id="rId1637" ref="A2336"/>
    <hyperlink r:id="rId1638" ref="A2337"/>
    <hyperlink r:id="rId1639" ref="A2340"/>
    <hyperlink r:id="rId1640" ref="A2342"/>
    <hyperlink r:id="rId1641" ref="A2343"/>
    <hyperlink r:id="rId1642" ref="A2344"/>
    <hyperlink r:id="rId1643" ref="A2345"/>
    <hyperlink r:id="rId1644" ref="A2347"/>
    <hyperlink r:id="rId1645" ref="A2348"/>
    <hyperlink r:id="rId1646" ref="A2349"/>
    <hyperlink r:id="rId1647" ref="A2350"/>
    <hyperlink r:id="rId1648" ref="A2351"/>
    <hyperlink r:id="rId1649" ref="A2352"/>
    <hyperlink r:id="rId1650" ref="A2353"/>
    <hyperlink r:id="rId1651" ref="A2354"/>
    <hyperlink r:id="rId1652" ref="A2355"/>
    <hyperlink r:id="rId1653" ref="A2356"/>
    <hyperlink r:id="rId1654" ref="A2357"/>
    <hyperlink r:id="rId1655" ref="A2359"/>
    <hyperlink r:id="rId1656" ref="A2360"/>
    <hyperlink r:id="rId1657" ref="A2363"/>
    <hyperlink r:id="rId1658" ref="A2364"/>
    <hyperlink r:id="rId1659" ref="A2365"/>
    <hyperlink r:id="rId1660" ref="A2366"/>
    <hyperlink r:id="rId1661" ref="A2367"/>
    <hyperlink r:id="rId1662" ref="A2368"/>
    <hyperlink r:id="rId1663" ref="A2371"/>
    <hyperlink r:id="rId1664" ref="A2372"/>
    <hyperlink r:id="rId1665" ref="A2373"/>
    <hyperlink r:id="rId1666" ref="A2374"/>
    <hyperlink r:id="rId1667" ref="A2375"/>
    <hyperlink r:id="rId1668" ref="A2376"/>
    <hyperlink r:id="rId1669" ref="A2377"/>
    <hyperlink r:id="rId1670" ref="A2380"/>
    <hyperlink r:id="rId1671" ref="A2381"/>
    <hyperlink r:id="rId1672" ref="A2382"/>
    <hyperlink r:id="rId1673" ref="A2383"/>
    <hyperlink r:id="rId1674" ref="A2384"/>
    <hyperlink r:id="rId1675" ref="A2385"/>
    <hyperlink r:id="rId1676" ref="A2386"/>
    <hyperlink r:id="rId1677" ref="A2387"/>
    <hyperlink r:id="rId1678" ref="A2392"/>
    <hyperlink r:id="rId1679" ref="A2393"/>
    <hyperlink r:id="rId1680" ref="A2394"/>
    <hyperlink r:id="rId1681" ref="A2396"/>
    <hyperlink r:id="rId1682" ref="A2397"/>
    <hyperlink r:id="rId1683" ref="A2399"/>
    <hyperlink r:id="rId1684" ref="A2401"/>
    <hyperlink r:id="rId1685" ref="A2402"/>
    <hyperlink r:id="rId1686" ref="A2403"/>
    <hyperlink r:id="rId1687" ref="A2404"/>
    <hyperlink r:id="rId1688" ref="A2406"/>
    <hyperlink r:id="rId1689" ref="A2407"/>
    <hyperlink r:id="rId1690" ref="A2408"/>
    <hyperlink r:id="rId1691" ref="A2409"/>
    <hyperlink r:id="rId1692" ref="A2412"/>
    <hyperlink r:id="rId1693" ref="A2413"/>
    <hyperlink r:id="rId1694" ref="A2414"/>
    <hyperlink r:id="rId1695" ref="A2415"/>
    <hyperlink r:id="rId1696" ref="A2416"/>
    <hyperlink r:id="rId1697" ref="A2417"/>
    <hyperlink r:id="rId1698" ref="A2418"/>
    <hyperlink r:id="rId1699" ref="A2420"/>
    <hyperlink r:id="rId1700" ref="A2422"/>
    <hyperlink r:id="rId1701" ref="A2426"/>
    <hyperlink r:id="rId1702" ref="A2427"/>
    <hyperlink r:id="rId1703" ref="A2428"/>
    <hyperlink r:id="rId1704" ref="A2430"/>
    <hyperlink r:id="rId1705" ref="A2432"/>
    <hyperlink r:id="rId1706" ref="A2433"/>
    <hyperlink r:id="rId1707" ref="A2434"/>
    <hyperlink r:id="rId1708" ref="A2435"/>
    <hyperlink r:id="rId1709" ref="A2436"/>
    <hyperlink r:id="rId1710" ref="A2437"/>
    <hyperlink r:id="rId1711" ref="A2438"/>
    <hyperlink r:id="rId1712" ref="A2439"/>
    <hyperlink r:id="rId1713" ref="A2440"/>
    <hyperlink r:id="rId1714" ref="A2441"/>
    <hyperlink r:id="rId1715" ref="A2442"/>
    <hyperlink r:id="rId1716" ref="A2443"/>
    <hyperlink r:id="rId1717" ref="A2444"/>
    <hyperlink r:id="rId1718" ref="A2445"/>
    <hyperlink r:id="rId1719" ref="A2446"/>
    <hyperlink r:id="rId1720" ref="A2447"/>
    <hyperlink r:id="rId1721" ref="A2448"/>
    <hyperlink r:id="rId1722" ref="A2449"/>
    <hyperlink r:id="rId1723" ref="A2451"/>
    <hyperlink r:id="rId1724" ref="A2452"/>
    <hyperlink r:id="rId1725" ref="A2453"/>
    <hyperlink r:id="rId1726" ref="A2455"/>
    <hyperlink r:id="rId1727" ref="A2457"/>
    <hyperlink r:id="rId1728" ref="A2458"/>
    <hyperlink r:id="rId1729" ref="A2459"/>
    <hyperlink r:id="rId1730" ref="A2460"/>
    <hyperlink r:id="rId1731" ref="A2461"/>
    <hyperlink r:id="rId1732" ref="A2462"/>
    <hyperlink r:id="rId1733" ref="A2463"/>
    <hyperlink r:id="rId1734" ref="A2467"/>
    <hyperlink r:id="rId1735" ref="A2468"/>
    <hyperlink r:id="rId1736" ref="A2469"/>
    <hyperlink r:id="rId1737" ref="A2472"/>
    <hyperlink r:id="rId1738" ref="A2473"/>
    <hyperlink r:id="rId1739" ref="A2474"/>
    <hyperlink r:id="rId1740" ref="A2475"/>
    <hyperlink r:id="rId1741" ref="A2476"/>
    <hyperlink r:id="rId1742" ref="A2482"/>
    <hyperlink r:id="rId1743" ref="A2483"/>
    <hyperlink r:id="rId1744" ref="A2484"/>
    <hyperlink r:id="rId1745" ref="A2485"/>
    <hyperlink r:id="rId1746" ref="A2486"/>
    <hyperlink r:id="rId1747" ref="A2487"/>
    <hyperlink r:id="rId1748" ref="A2488"/>
    <hyperlink r:id="rId1749" ref="A2489"/>
    <hyperlink r:id="rId1750" ref="A2490"/>
    <hyperlink r:id="rId1751" ref="A2491"/>
    <hyperlink r:id="rId1752" ref="A2492"/>
    <hyperlink r:id="rId1753" ref="A2493"/>
    <hyperlink r:id="rId1754" ref="A2494"/>
    <hyperlink r:id="rId1755" ref="A2495"/>
    <hyperlink r:id="rId1756" ref="A2496"/>
    <hyperlink r:id="rId1757" ref="A2497"/>
    <hyperlink r:id="rId1758" ref="A2498"/>
    <hyperlink r:id="rId1759" ref="A2499"/>
    <hyperlink r:id="rId1760" ref="A2500"/>
    <hyperlink r:id="rId1761" ref="A2501"/>
    <hyperlink r:id="rId1762" ref="A2502"/>
    <hyperlink r:id="rId1763" ref="A2503"/>
    <hyperlink r:id="rId1764" ref="A2504"/>
    <hyperlink r:id="rId1765" ref="A2505"/>
    <hyperlink r:id="rId1766" ref="A2506"/>
    <hyperlink r:id="rId1767" ref="A2507"/>
    <hyperlink r:id="rId1768" ref="A2508"/>
    <hyperlink r:id="rId1769" ref="A2509"/>
    <hyperlink r:id="rId1770" ref="A2510"/>
    <hyperlink r:id="rId1771" ref="A2511"/>
    <hyperlink r:id="rId1772" ref="A2512"/>
    <hyperlink r:id="rId1773" ref="A2514"/>
    <hyperlink r:id="rId1774" ref="A2515"/>
    <hyperlink r:id="rId1775" ref="A2519"/>
    <hyperlink r:id="rId1776" ref="A2521"/>
    <hyperlink r:id="rId1777" ref="A2523"/>
    <hyperlink r:id="rId1778" ref="A2524"/>
    <hyperlink r:id="rId1779" ref="A2525"/>
    <hyperlink r:id="rId1780" ref="A2526"/>
    <hyperlink r:id="rId1781" ref="A2527"/>
    <hyperlink r:id="rId1782" ref="A2528"/>
    <hyperlink r:id="rId1783" ref="A2529"/>
    <hyperlink r:id="rId1784" ref="A2530"/>
    <hyperlink r:id="rId1785" ref="A2531"/>
    <hyperlink r:id="rId1786" ref="A2534"/>
    <hyperlink r:id="rId1787" ref="A2535"/>
    <hyperlink r:id="rId1788" ref="A2537"/>
    <hyperlink r:id="rId1789" ref="A2538"/>
    <hyperlink r:id="rId1790" ref="A2540"/>
    <hyperlink r:id="rId1791" ref="A2541"/>
    <hyperlink r:id="rId1792" ref="A2542"/>
    <hyperlink r:id="rId1793" ref="A2543"/>
    <hyperlink r:id="rId1794" ref="A2544"/>
    <hyperlink r:id="rId1795" ref="A2545"/>
    <hyperlink r:id="rId1796" ref="A2546"/>
    <hyperlink r:id="rId1797" ref="A2547"/>
    <hyperlink r:id="rId1798" ref="A2548"/>
    <hyperlink r:id="rId1799" ref="A2549"/>
    <hyperlink r:id="rId1800" ref="A2550"/>
    <hyperlink r:id="rId1801" ref="A2551"/>
    <hyperlink r:id="rId1802" ref="A2552"/>
    <hyperlink r:id="rId1803" ref="A2553"/>
    <hyperlink r:id="rId1804" ref="A2554"/>
    <hyperlink r:id="rId1805" ref="A2555"/>
    <hyperlink r:id="rId1806" ref="A2557"/>
    <hyperlink r:id="rId1807" ref="A2561"/>
    <hyperlink r:id="rId1808" ref="A2562"/>
    <hyperlink r:id="rId1809" ref="A2566"/>
    <hyperlink r:id="rId1810" ref="A2568"/>
    <hyperlink r:id="rId1811" ref="A2569"/>
    <hyperlink r:id="rId1812" ref="A2573"/>
    <hyperlink r:id="rId1813" ref="A2574"/>
    <hyperlink r:id="rId1814" ref="A2575"/>
    <hyperlink r:id="rId1815" ref="A2576"/>
    <hyperlink r:id="rId1816" ref="A2577"/>
    <hyperlink r:id="rId1817" ref="A2578"/>
    <hyperlink r:id="rId1818" ref="A2579"/>
    <hyperlink r:id="rId1819" ref="A2582"/>
    <hyperlink r:id="rId1820" ref="A2583"/>
    <hyperlink r:id="rId1821" ref="A2584"/>
    <hyperlink r:id="rId1822" ref="A2585"/>
    <hyperlink r:id="rId1823" ref="A2586"/>
    <hyperlink r:id="rId1824" ref="A2587"/>
    <hyperlink r:id="rId1825" ref="A2589"/>
    <hyperlink r:id="rId1826" ref="A2590"/>
    <hyperlink r:id="rId1827" ref="A2591"/>
    <hyperlink r:id="rId1828" ref="A2592"/>
    <hyperlink r:id="rId1829" ref="A2595"/>
    <hyperlink r:id="rId1830" ref="A2596"/>
    <hyperlink r:id="rId1831" ref="A2597"/>
    <hyperlink r:id="rId1832" ref="A2598"/>
    <hyperlink r:id="rId1833" ref="A2599"/>
    <hyperlink r:id="rId1834" ref="A2600"/>
    <hyperlink r:id="rId1835" ref="A2601"/>
    <hyperlink r:id="rId1836" ref="A2602"/>
    <hyperlink r:id="rId1837" ref="A2603"/>
    <hyperlink r:id="rId1838" ref="A2604"/>
    <hyperlink r:id="rId1839" ref="A2606"/>
    <hyperlink r:id="rId1840" ref="A2608"/>
    <hyperlink r:id="rId1841" ref="A2609"/>
    <hyperlink r:id="rId1842" ref="A2613"/>
    <hyperlink r:id="rId1843" ref="A2614"/>
    <hyperlink r:id="rId1844" ref="A2615"/>
    <hyperlink r:id="rId1845" ref="A2616"/>
    <hyperlink r:id="rId1846" ref="A2617"/>
    <hyperlink r:id="rId1847" ref="A2620"/>
    <hyperlink r:id="rId1848" ref="A2621"/>
    <hyperlink r:id="rId1849" ref="A2627"/>
    <hyperlink r:id="rId1850" ref="A2628"/>
    <hyperlink r:id="rId1851" ref="A2629"/>
    <hyperlink r:id="rId1852" ref="A2630"/>
    <hyperlink r:id="rId1853" ref="A2640"/>
    <hyperlink r:id="rId1854" ref="A2645"/>
    <hyperlink r:id="rId1855" ref="A2655"/>
    <hyperlink r:id="rId1856" ref="A2656"/>
    <hyperlink r:id="rId1857" ref="A2657"/>
    <hyperlink r:id="rId1858" ref="A2660"/>
    <hyperlink r:id="rId1859" ref="A2662"/>
    <hyperlink r:id="rId1860" ref="A2663"/>
    <hyperlink r:id="rId1861" ref="A2664"/>
    <hyperlink r:id="rId1862" ref="A2665"/>
    <hyperlink r:id="rId1863" ref="A2666"/>
    <hyperlink r:id="rId1864" ref="A2667"/>
    <hyperlink r:id="rId1865" ref="A2670"/>
    <hyperlink r:id="rId1866" ref="A2671"/>
    <hyperlink r:id="rId1867" ref="A2672"/>
    <hyperlink r:id="rId1868" ref="A2673"/>
    <hyperlink r:id="rId1869" ref="A2674"/>
    <hyperlink r:id="rId1870" ref="A2675"/>
    <hyperlink r:id="rId1871" ref="A2677"/>
    <hyperlink r:id="rId1872" ref="A2678"/>
    <hyperlink r:id="rId1873" ref="A2679"/>
    <hyperlink r:id="rId1874" ref="A2680"/>
    <hyperlink r:id="rId1875" ref="A2683"/>
    <hyperlink r:id="rId1876" ref="A2684"/>
    <hyperlink r:id="rId1877" ref="A2685"/>
    <hyperlink r:id="rId1878" ref="A2687"/>
    <hyperlink r:id="rId1879" ref="A2688"/>
    <hyperlink r:id="rId1880" ref="A2689"/>
    <hyperlink r:id="rId1881" ref="A2690"/>
    <hyperlink r:id="rId1882" ref="A2698"/>
    <hyperlink r:id="rId1883" ref="A2699"/>
    <hyperlink r:id="rId1884" ref="A2700"/>
    <hyperlink r:id="rId1885" ref="A2701"/>
    <hyperlink r:id="rId1886" ref="A2702"/>
    <hyperlink r:id="rId1887" ref="A2703"/>
    <hyperlink r:id="rId1888" ref="A2704"/>
    <hyperlink r:id="rId1889" ref="A2705"/>
    <hyperlink r:id="rId1890" ref="A2706"/>
    <hyperlink r:id="rId1891" ref="A2707"/>
    <hyperlink r:id="rId1892" ref="A2708"/>
    <hyperlink r:id="rId1893" ref="A2709"/>
    <hyperlink r:id="rId1894" ref="A2710"/>
    <hyperlink r:id="rId1895" ref="A2711"/>
    <hyperlink r:id="rId1896" ref="A2712"/>
    <hyperlink r:id="rId1897" ref="A2713"/>
    <hyperlink r:id="rId1898" ref="A2714"/>
    <hyperlink r:id="rId1899" ref="A2715"/>
    <hyperlink r:id="rId1900" ref="A2716"/>
    <hyperlink r:id="rId1901" ref="A2717"/>
    <hyperlink r:id="rId1902" ref="A2718"/>
    <hyperlink r:id="rId1903" ref="A2719"/>
    <hyperlink r:id="rId1904" ref="A2728"/>
    <hyperlink r:id="rId1905" ref="A2732"/>
    <hyperlink r:id="rId1906" ref="A2734"/>
    <hyperlink r:id="rId1907" ref="A2735"/>
    <hyperlink r:id="rId1908" ref="A2736"/>
    <hyperlink r:id="rId1909" ref="A2737"/>
    <hyperlink r:id="rId1910" ref="A2738"/>
    <hyperlink r:id="rId1911" ref="A2740"/>
    <hyperlink r:id="rId1912" ref="A2744"/>
    <hyperlink r:id="rId1913" ref="A2745"/>
    <hyperlink r:id="rId1914" ref="A2746"/>
    <hyperlink r:id="rId1915" ref="A2747"/>
    <hyperlink r:id="rId1916" ref="A2748"/>
    <hyperlink r:id="rId1917" ref="A2749"/>
    <hyperlink r:id="rId1918" ref="A2750"/>
    <hyperlink r:id="rId1919" ref="A2751"/>
    <hyperlink r:id="rId1920" ref="A2752"/>
    <hyperlink r:id="rId1921" ref="A2753"/>
    <hyperlink r:id="rId1922" ref="A2754"/>
    <hyperlink r:id="rId1923" ref="A2762"/>
    <hyperlink r:id="rId1924" ref="A2763"/>
    <hyperlink r:id="rId1925" ref="A2764"/>
    <hyperlink r:id="rId1926" ref="A2766"/>
    <hyperlink r:id="rId1927" ref="A2767"/>
    <hyperlink r:id="rId1928" ref="A2768"/>
    <hyperlink r:id="rId1929" ref="A2769"/>
    <hyperlink r:id="rId1930" ref="A2770"/>
    <hyperlink r:id="rId1931" ref="A2772"/>
    <hyperlink r:id="rId1932" ref="A2773"/>
    <hyperlink r:id="rId1933" ref="A2774"/>
    <hyperlink r:id="rId1934" ref="A2776"/>
    <hyperlink r:id="rId1935" ref="A2784"/>
    <hyperlink r:id="rId1936" ref="A2785"/>
    <hyperlink r:id="rId1937" ref="A2786"/>
    <hyperlink r:id="rId1938" ref="A2787"/>
    <hyperlink r:id="rId1939" ref="A2789"/>
    <hyperlink r:id="rId1940" ref="A2791"/>
    <hyperlink r:id="rId1941" ref="A2792"/>
    <hyperlink r:id="rId1942" ref="A2794"/>
    <hyperlink r:id="rId1943" ref="A2795"/>
    <hyperlink r:id="rId1944" ref="A2796"/>
    <hyperlink r:id="rId1945" ref="A2797"/>
    <hyperlink r:id="rId1946" ref="A2798"/>
    <hyperlink r:id="rId1947" ref="A2799"/>
    <hyperlink r:id="rId1948" ref="A2802"/>
    <hyperlink r:id="rId1949" ref="A2803"/>
    <hyperlink r:id="rId1950" ref="A2804"/>
    <hyperlink r:id="rId1951" ref="A2805"/>
    <hyperlink r:id="rId1952" ref="A2806"/>
    <hyperlink r:id="rId1953" ref="A2808"/>
    <hyperlink r:id="rId1954" ref="A2811"/>
    <hyperlink r:id="rId1955" ref="A2813"/>
    <hyperlink r:id="rId1956" ref="A2814"/>
    <hyperlink r:id="rId1957" ref="A2823"/>
    <hyperlink r:id="rId1958" ref="A2829"/>
    <hyperlink r:id="rId1959" ref="A2839"/>
    <hyperlink r:id="rId1960" ref="A2840"/>
    <hyperlink r:id="rId1961" ref="A2841"/>
    <hyperlink r:id="rId1962" ref="A2848"/>
    <hyperlink r:id="rId1963" ref="A2849"/>
    <hyperlink r:id="rId1964" ref="A2850"/>
    <hyperlink r:id="rId1965" ref="A2869"/>
    <hyperlink r:id="rId1966" ref="A2872"/>
    <hyperlink r:id="rId1967" ref="A2873"/>
    <hyperlink r:id="rId1968" ref="A2875"/>
    <hyperlink r:id="rId1969" ref="A2879"/>
    <hyperlink r:id="rId1970" ref="A2885"/>
    <hyperlink r:id="rId1971" ref="A2892"/>
    <hyperlink r:id="rId1972" ref="A2896"/>
    <hyperlink r:id="rId1973" ref="A2898"/>
    <hyperlink r:id="rId1974" ref="A2903"/>
    <hyperlink r:id="rId1975" ref="A2908"/>
    <hyperlink r:id="rId1976" ref="A2910"/>
    <hyperlink r:id="rId1977" ref="A2914"/>
    <hyperlink r:id="rId1978" ref="A2915"/>
    <hyperlink r:id="rId1979" ref="A2916"/>
    <hyperlink r:id="rId1980" ref="A2921"/>
    <hyperlink r:id="rId1981" ref="A2925"/>
    <hyperlink r:id="rId1982" ref="A2935"/>
    <hyperlink r:id="rId1983" ref="A2937"/>
    <hyperlink r:id="rId1984" ref="A2938"/>
    <hyperlink r:id="rId1985" ref="A2941"/>
    <hyperlink r:id="rId1986" ref="A2942"/>
    <hyperlink r:id="rId1987" ref="A2947"/>
    <hyperlink r:id="rId1988" ref="A2950"/>
    <hyperlink r:id="rId1989" ref="A2952"/>
    <hyperlink r:id="rId1990" ref="A2957"/>
    <hyperlink r:id="rId1991" ref="A2958"/>
    <hyperlink r:id="rId1992" ref="A2961"/>
    <hyperlink r:id="rId1993" ref="A2967"/>
    <hyperlink r:id="rId1994" ref="A2968"/>
    <hyperlink r:id="rId1995" ref="A2973"/>
    <hyperlink r:id="rId1996" ref="A2977"/>
    <hyperlink r:id="rId1997" ref="A2980"/>
    <hyperlink r:id="rId1998" ref="A2983"/>
    <hyperlink r:id="rId1999" ref="A2985"/>
    <hyperlink r:id="rId2000" ref="A2986"/>
    <hyperlink r:id="rId2001" ref="A2987"/>
    <hyperlink r:id="rId2002" ref="A2988"/>
    <hyperlink r:id="rId2003" ref="A2989"/>
    <hyperlink r:id="rId2004" ref="A2990"/>
    <hyperlink r:id="rId2005" ref="A2991"/>
    <hyperlink r:id="rId2006" ref="A2992"/>
    <hyperlink r:id="rId2007" ref="A2993"/>
    <hyperlink r:id="rId2008" ref="A2994"/>
    <hyperlink r:id="rId2009" ref="A2996"/>
    <hyperlink r:id="rId2010" ref="A2997"/>
    <hyperlink r:id="rId2011" ref="A2999"/>
    <hyperlink r:id="rId2012" ref="A3000"/>
    <hyperlink r:id="rId2013" ref="A3002"/>
    <hyperlink r:id="rId2014" ref="A3006"/>
    <hyperlink r:id="rId2015" ref="A3007"/>
    <hyperlink r:id="rId2016" ref="A3008"/>
    <hyperlink r:id="rId2017" ref="A3010"/>
    <hyperlink r:id="rId2018" ref="A3011"/>
    <hyperlink r:id="rId2019" ref="A3012"/>
    <hyperlink r:id="rId2020" ref="A3018"/>
    <hyperlink r:id="rId2021" ref="A3019"/>
    <hyperlink r:id="rId2022" ref="A3020"/>
    <hyperlink r:id="rId2023" ref="A3021"/>
    <hyperlink r:id="rId2024" ref="A3022"/>
    <hyperlink r:id="rId2025" ref="A3025"/>
    <hyperlink r:id="rId2026" ref="A3026"/>
    <hyperlink r:id="rId2027" ref="A3027"/>
    <hyperlink r:id="rId2028" ref="A3028"/>
    <hyperlink r:id="rId2029" ref="A3029"/>
    <hyperlink r:id="rId2030" ref="A3030"/>
    <hyperlink r:id="rId2031" ref="A3031"/>
    <hyperlink r:id="rId2032" ref="A3032"/>
    <hyperlink r:id="rId2033" ref="A3033"/>
    <hyperlink r:id="rId2034" ref="A3034"/>
    <hyperlink r:id="rId2035" ref="A3035"/>
    <hyperlink r:id="rId2036" ref="A3036"/>
    <hyperlink r:id="rId2037" ref="A3037"/>
    <hyperlink r:id="rId2038" ref="A3038"/>
    <hyperlink r:id="rId2039" ref="A3039"/>
    <hyperlink r:id="rId2040" ref="A3040"/>
    <hyperlink r:id="rId2041" ref="A3041"/>
    <hyperlink r:id="rId2042" ref="A3042"/>
    <hyperlink r:id="rId2043" ref="A3043"/>
    <hyperlink r:id="rId2044" ref="A3044"/>
    <hyperlink r:id="rId2045" ref="A3045"/>
    <hyperlink r:id="rId2046" ref="A3046"/>
    <hyperlink r:id="rId2047" ref="A3048"/>
    <hyperlink r:id="rId2048" ref="A3049"/>
    <hyperlink r:id="rId2049" ref="A3050"/>
    <hyperlink r:id="rId2050" ref="A3052"/>
    <hyperlink r:id="rId2051" ref="A3053"/>
    <hyperlink r:id="rId2052" ref="A3054"/>
    <hyperlink r:id="rId2053" ref="A3055"/>
    <hyperlink r:id="rId2054" ref="A3056"/>
    <hyperlink r:id="rId2055" ref="A3058"/>
    <hyperlink r:id="rId2056" ref="A3059"/>
    <hyperlink r:id="rId2057" ref="A3060"/>
    <hyperlink r:id="rId2058" ref="A3061"/>
    <hyperlink r:id="rId2059" ref="A3062"/>
    <hyperlink r:id="rId2060" ref="A3063"/>
    <hyperlink r:id="rId2061" ref="A3064"/>
    <hyperlink r:id="rId2062" ref="A3066"/>
    <hyperlink r:id="rId2063" ref="A3067"/>
    <hyperlink r:id="rId2064" ref="A3068"/>
    <hyperlink r:id="rId2065" ref="A3069"/>
    <hyperlink r:id="rId2066" ref="A3070"/>
    <hyperlink r:id="rId2067" ref="A3071"/>
    <hyperlink r:id="rId2068" ref="A3072"/>
    <hyperlink r:id="rId2069" ref="A3073"/>
    <hyperlink r:id="rId2070" ref="A3074"/>
    <hyperlink r:id="rId2071" ref="A3075"/>
    <hyperlink r:id="rId2072" ref="A3076"/>
    <hyperlink r:id="rId2073" ref="A3077"/>
    <hyperlink r:id="rId2074" ref="A3078"/>
    <hyperlink r:id="rId2075" ref="A3079"/>
    <hyperlink r:id="rId2076" ref="A3080"/>
    <hyperlink r:id="rId2077" ref="A3081"/>
    <hyperlink r:id="rId2078" ref="A3082"/>
    <hyperlink r:id="rId2079" ref="A3083"/>
    <hyperlink r:id="rId2080" ref="A3084"/>
    <hyperlink r:id="rId2081" ref="A3085"/>
    <hyperlink r:id="rId2082" ref="A3086"/>
    <hyperlink r:id="rId2083" ref="A3087"/>
    <hyperlink r:id="rId2084" ref="A3088"/>
    <hyperlink r:id="rId2085" ref="A3089"/>
    <hyperlink r:id="rId2086" ref="A3090"/>
    <hyperlink r:id="rId2087" ref="A3091"/>
    <hyperlink r:id="rId2088" ref="A3092"/>
    <hyperlink r:id="rId2089" ref="A3093"/>
    <hyperlink r:id="rId2090" ref="A3094"/>
    <hyperlink r:id="rId2091" ref="A3095"/>
    <hyperlink r:id="rId2092" ref="A3096"/>
    <hyperlink r:id="rId2093" ref="A3097"/>
    <hyperlink r:id="rId2094" ref="A3098"/>
    <hyperlink r:id="rId2095" ref="A3099"/>
    <hyperlink r:id="rId2096" ref="A3100"/>
    <hyperlink r:id="rId2097" ref="A3101"/>
    <hyperlink r:id="rId2098" ref="A3102"/>
    <hyperlink r:id="rId2099" ref="A3103"/>
    <hyperlink r:id="rId2100" ref="A3104"/>
    <hyperlink r:id="rId2101" ref="A3105"/>
    <hyperlink r:id="rId2102" ref="A3106"/>
    <hyperlink r:id="rId2103" ref="A3107"/>
    <hyperlink r:id="rId2104" ref="A3108"/>
    <hyperlink r:id="rId2105" ref="A3109"/>
    <hyperlink r:id="rId2106" ref="A3110"/>
    <hyperlink r:id="rId2107" ref="A3111"/>
    <hyperlink r:id="rId2108" ref="A3112"/>
    <hyperlink r:id="rId2109" ref="A3113"/>
    <hyperlink r:id="rId2110" ref="A3114"/>
    <hyperlink r:id="rId2111" ref="A3115"/>
    <hyperlink r:id="rId2112" ref="A3116"/>
    <hyperlink r:id="rId2113" ref="A3117"/>
    <hyperlink r:id="rId2114" ref="A3118"/>
    <hyperlink r:id="rId2115" ref="A3119"/>
    <hyperlink r:id="rId2116" ref="A3120"/>
    <hyperlink r:id="rId2117" ref="A3121"/>
    <hyperlink r:id="rId2118" ref="A3122"/>
    <hyperlink r:id="rId2119" ref="A3124"/>
    <hyperlink r:id="rId2120" ref="A3125"/>
    <hyperlink r:id="rId2121" ref="A3126"/>
    <hyperlink r:id="rId2122" ref="A3127"/>
    <hyperlink r:id="rId2123" ref="A3128"/>
    <hyperlink r:id="rId2124" ref="A3129"/>
    <hyperlink r:id="rId2125" ref="A3130"/>
    <hyperlink r:id="rId2126" ref="A3131"/>
    <hyperlink r:id="rId2127" ref="A3132"/>
    <hyperlink r:id="rId2128" ref="A3133"/>
    <hyperlink r:id="rId2129" ref="A3135"/>
    <hyperlink r:id="rId2130" ref="A3139"/>
    <hyperlink r:id="rId2131" ref="A3140"/>
    <hyperlink r:id="rId2132" ref="A3141"/>
    <hyperlink r:id="rId2133" ref="A3142"/>
    <hyperlink r:id="rId2134" ref="A3143"/>
    <hyperlink r:id="rId2135" ref="A3144"/>
    <hyperlink r:id="rId2136" ref="A3145"/>
    <hyperlink r:id="rId2137" ref="A3146"/>
    <hyperlink r:id="rId2138" ref="A3148"/>
    <hyperlink r:id="rId2139" ref="A3150"/>
    <hyperlink r:id="rId2140" ref="A3151"/>
    <hyperlink r:id="rId2141" ref="A3152"/>
    <hyperlink r:id="rId2142" ref="A3154"/>
    <hyperlink r:id="rId2143" ref="A3162"/>
    <hyperlink r:id="rId2144" ref="A3163"/>
    <hyperlink r:id="rId2145" ref="A3164"/>
    <hyperlink r:id="rId2146" ref="A3165"/>
    <hyperlink r:id="rId2147" ref="A3166"/>
    <hyperlink r:id="rId2148" ref="A3167"/>
    <hyperlink r:id="rId2149" ref="A3168"/>
    <hyperlink r:id="rId2150" ref="A3169"/>
    <hyperlink r:id="rId2151" ref="A3170"/>
    <hyperlink r:id="rId2152" ref="A3171"/>
    <hyperlink r:id="rId2153" ref="A3172"/>
    <hyperlink r:id="rId2154" ref="A3173"/>
    <hyperlink r:id="rId2155" ref="A3174"/>
    <hyperlink r:id="rId2156" ref="A3175"/>
    <hyperlink r:id="rId2157" ref="A3179"/>
    <hyperlink r:id="rId2158" ref="A3180"/>
    <hyperlink r:id="rId2159" ref="A3181"/>
    <hyperlink r:id="rId2160" ref="A3184"/>
    <hyperlink r:id="rId2161" ref="A3188"/>
    <hyperlink r:id="rId2162" ref="A3190"/>
    <hyperlink r:id="rId2163" ref="A3191"/>
    <hyperlink r:id="rId2164" ref="A3192"/>
    <hyperlink r:id="rId2165" ref="A3193"/>
    <hyperlink r:id="rId2166" ref="A3194"/>
    <hyperlink r:id="rId2167" ref="A3195"/>
    <hyperlink r:id="rId2168" ref="A3196"/>
    <hyperlink r:id="rId2169" ref="A3199"/>
    <hyperlink r:id="rId2170" ref="A3200"/>
    <hyperlink r:id="rId2171" ref="A3201"/>
    <hyperlink r:id="rId2172" ref="A3202"/>
    <hyperlink r:id="rId2173" ref="A3203"/>
    <hyperlink r:id="rId2174" ref="A3204"/>
    <hyperlink r:id="rId2175" ref="A3205"/>
    <hyperlink r:id="rId2176" ref="A3206"/>
    <hyperlink r:id="rId2177" ref="A3208"/>
    <hyperlink r:id="rId2178" ref="A3209"/>
    <hyperlink r:id="rId2179" ref="A3210"/>
    <hyperlink r:id="rId2180" ref="A3213"/>
    <hyperlink r:id="rId2181" ref="A3214"/>
    <hyperlink r:id="rId2182" ref="A3215"/>
    <hyperlink r:id="rId2183" ref="A3216"/>
    <hyperlink r:id="rId2184" ref="A3217"/>
    <hyperlink r:id="rId2185" ref="A3218"/>
    <hyperlink r:id="rId2186" ref="A3219"/>
    <hyperlink r:id="rId2187" ref="A3220"/>
    <hyperlink r:id="rId2188" ref="A3221"/>
    <hyperlink r:id="rId2189" ref="A3222"/>
    <hyperlink r:id="rId2190" ref="A3223"/>
    <hyperlink r:id="rId2191" ref="A3224"/>
    <hyperlink r:id="rId2192" ref="A3225"/>
    <hyperlink r:id="rId2193" ref="A3226"/>
    <hyperlink r:id="rId2194" ref="A3227"/>
    <hyperlink r:id="rId2195" ref="A3228"/>
    <hyperlink r:id="rId2196" ref="A3229"/>
    <hyperlink r:id="rId2197" ref="A3230"/>
    <hyperlink r:id="rId2198" ref="A3231"/>
    <hyperlink r:id="rId2199" ref="A3232"/>
    <hyperlink r:id="rId2200" ref="A3233"/>
    <hyperlink r:id="rId2201" ref="A3234"/>
    <hyperlink r:id="rId2202" ref="A3238"/>
    <hyperlink r:id="rId2203" ref="A3239"/>
    <hyperlink r:id="rId2204" ref="A3246"/>
    <hyperlink r:id="rId2205" ref="A3247"/>
    <hyperlink r:id="rId2206" ref="A3249"/>
    <hyperlink r:id="rId2207" ref="A3250"/>
    <hyperlink r:id="rId2208" ref="A3251"/>
    <hyperlink r:id="rId2209" ref="A3252"/>
    <hyperlink r:id="rId2210" ref="A3253"/>
    <hyperlink r:id="rId2211" ref="A3256"/>
    <hyperlink r:id="rId2212" ref="A3261"/>
    <hyperlink r:id="rId2213" ref="A3262"/>
    <hyperlink r:id="rId2214" ref="A3264"/>
    <hyperlink r:id="rId2215" ref="A3265"/>
    <hyperlink r:id="rId2216" ref="A3266"/>
    <hyperlink r:id="rId2217" ref="A3267"/>
    <hyperlink r:id="rId2218" ref="A3268"/>
    <hyperlink r:id="rId2219" ref="A3269"/>
    <hyperlink r:id="rId2220" ref="A3270"/>
    <hyperlink r:id="rId2221" ref="A3272"/>
    <hyperlink r:id="rId2222" ref="A3273"/>
    <hyperlink r:id="rId2223" ref="A3274"/>
    <hyperlink r:id="rId2224" ref="A3276"/>
    <hyperlink r:id="rId2225" ref="A3277"/>
    <hyperlink r:id="rId2226" ref="A3278"/>
    <hyperlink r:id="rId2227" ref="A3279"/>
    <hyperlink r:id="rId2228" ref="A3280"/>
    <hyperlink r:id="rId2229" ref="A3281"/>
    <hyperlink r:id="rId2230" ref="A3283"/>
    <hyperlink r:id="rId2231" ref="A3284"/>
    <hyperlink r:id="rId2232" ref="A3285"/>
    <hyperlink r:id="rId2233" ref="A3286"/>
    <hyperlink r:id="rId2234" ref="A3287"/>
    <hyperlink r:id="rId2235" ref="A3288"/>
    <hyperlink r:id="rId2236" ref="A3290"/>
    <hyperlink r:id="rId2237" ref="A3291"/>
    <hyperlink r:id="rId2238" ref="A3292"/>
    <hyperlink r:id="rId2239" ref="A3293"/>
    <hyperlink r:id="rId2240" ref="A3294"/>
    <hyperlink r:id="rId2241" ref="A3295"/>
    <hyperlink r:id="rId2242" ref="A3296"/>
    <hyperlink r:id="rId2243" ref="A3297"/>
    <hyperlink r:id="rId2244" ref="A3298"/>
    <hyperlink r:id="rId2245" ref="A3299"/>
    <hyperlink r:id="rId2246" ref="A3300"/>
    <hyperlink r:id="rId2247" ref="A3301"/>
    <hyperlink r:id="rId2248" ref="A3302"/>
    <hyperlink r:id="rId2249" ref="A3303"/>
    <hyperlink r:id="rId2250" ref="A3304"/>
    <hyperlink r:id="rId2251" ref="A3305"/>
    <hyperlink r:id="rId2252" ref="A3306"/>
    <hyperlink r:id="rId2253" ref="A3307"/>
    <hyperlink r:id="rId2254" ref="A3308"/>
    <hyperlink r:id="rId2255" ref="A3309"/>
    <hyperlink r:id="rId2256" ref="A3310"/>
    <hyperlink r:id="rId2257" ref="A3311"/>
    <hyperlink r:id="rId2258" ref="A3312"/>
    <hyperlink r:id="rId2259" ref="A3314"/>
    <hyperlink r:id="rId2260" ref="A3315"/>
    <hyperlink r:id="rId2261" ref="A3316"/>
    <hyperlink r:id="rId2262" ref="A3319"/>
    <hyperlink r:id="rId2263" ref="A3330"/>
    <hyperlink r:id="rId2264" ref="A3333"/>
    <hyperlink r:id="rId2265" ref="A3346"/>
    <hyperlink r:id="rId2266" ref="A3348"/>
    <hyperlink r:id="rId2267" ref="A3350"/>
    <hyperlink r:id="rId2268" ref="A3354"/>
    <hyperlink r:id="rId2269" ref="A3355"/>
    <hyperlink r:id="rId2270" ref="A3356"/>
    <hyperlink r:id="rId2271" ref="A3357"/>
    <hyperlink r:id="rId2272" ref="A3358"/>
    <hyperlink r:id="rId2273" ref="A3359"/>
    <hyperlink r:id="rId2274" ref="A3360"/>
    <hyperlink r:id="rId2275" ref="A3362"/>
    <hyperlink r:id="rId2276" ref="A3363"/>
    <hyperlink r:id="rId2277" ref="A3364"/>
    <hyperlink r:id="rId2278" ref="A3365"/>
    <hyperlink r:id="rId2279" ref="A3372"/>
    <hyperlink r:id="rId2280" ref="A3373"/>
    <hyperlink r:id="rId2281" ref="A3374"/>
    <hyperlink r:id="rId2282" ref="A3375"/>
    <hyperlink r:id="rId2283" ref="A3376"/>
    <hyperlink r:id="rId2284" ref="A3379"/>
    <hyperlink r:id="rId2285" ref="A3380"/>
    <hyperlink r:id="rId2286" ref="A3381"/>
    <hyperlink r:id="rId2287" ref="A3382"/>
    <hyperlink r:id="rId2288" ref="A3383"/>
    <hyperlink r:id="rId2289" ref="A3384"/>
    <hyperlink r:id="rId2290" ref="A3385"/>
    <hyperlink r:id="rId2291" ref="A3386"/>
    <hyperlink r:id="rId2292" ref="A3387"/>
    <hyperlink r:id="rId2293" ref="A3388"/>
    <hyperlink r:id="rId2294" ref="A3389"/>
    <hyperlink r:id="rId2295" ref="A3390"/>
    <hyperlink r:id="rId2296" ref="A3391"/>
    <hyperlink r:id="rId2297" ref="A3392"/>
    <hyperlink r:id="rId2298" ref="A3393"/>
    <hyperlink r:id="rId2299" ref="A3394"/>
    <hyperlink r:id="rId2300" ref="A3399"/>
    <hyperlink r:id="rId2301" ref="A3400"/>
    <hyperlink r:id="rId2302" ref="A3401"/>
    <hyperlink r:id="rId2303" ref="A3402"/>
    <hyperlink r:id="rId2304" ref="A3403"/>
    <hyperlink r:id="rId2305" ref="A3404"/>
    <hyperlink r:id="rId2306" ref="A3405"/>
    <hyperlink r:id="rId2307" ref="A3407"/>
    <hyperlink r:id="rId2308" ref="A3408"/>
    <hyperlink r:id="rId2309" ref="A3409"/>
    <hyperlink r:id="rId2310" ref="A3410"/>
    <hyperlink r:id="rId2311" ref="A3411"/>
    <hyperlink r:id="rId2312" ref="A3412"/>
    <hyperlink r:id="rId2313" ref="A3413"/>
    <hyperlink r:id="rId2314" ref="A3414"/>
    <hyperlink r:id="rId2315" ref="A3422"/>
    <hyperlink r:id="rId2316" ref="A3423"/>
    <hyperlink r:id="rId2317" ref="A3424"/>
    <hyperlink r:id="rId2318" ref="A3425"/>
    <hyperlink r:id="rId2319" ref="A3426"/>
    <hyperlink r:id="rId2320" ref="A3427"/>
    <hyperlink r:id="rId2321" ref="A3428"/>
    <hyperlink r:id="rId2322" ref="A3429"/>
    <hyperlink r:id="rId2323" ref="A3430"/>
    <hyperlink r:id="rId2324" ref="A3431"/>
    <hyperlink r:id="rId2325" ref="A3432"/>
    <hyperlink r:id="rId2326" ref="A3433"/>
    <hyperlink r:id="rId2327" ref="A3434"/>
    <hyperlink r:id="rId2328" ref="A3435"/>
    <hyperlink r:id="rId2329" ref="A3436"/>
    <hyperlink r:id="rId2330" ref="A3437"/>
    <hyperlink r:id="rId2331" ref="A3442"/>
    <hyperlink r:id="rId2332" ref="A3443"/>
    <hyperlink r:id="rId2333" ref="A3444"/>
    <hyperlink r:id="rId2334" ref="A3446"/>
    <hyperlink r:id="rId2335" ref="A3447"/>
    <hyperlink r:id="rId2336" ref="A3448"/>
    <hyperlink r:id="rId2337" ref="A3449"/>
    <hyperlink r:id="rId2338" ref="A3451"/>
    <hyperlink r:id="rId2339" ref="A3453"/>
    <hyperlink r:id="rId2340" ref="A3456"/>
    <hyperlink r:id="rId2341" ref="A3457"/>
    <hyperlink r:id="rId2342" ref="A3458"/>
    <hyperlink r:id="rId2343" ref="A3459"/>
    <hyperlink r:id="rId2344" ref="A3460"/>
    <hyperlink r:id="rId2345" ref="A3461"/>
    <hyperlink r:id="rId2346" ref="A3462"/>
    <hyperlink r:id="rId2347" ref="A3463"/>
    <hyperlink r:id="rId2348" ref="A3464"/>
    <hyperlink r:id="rId2349" ref="A3466"/>
    <hyperlink r:id="rId2350" ref="A3467"/>
    <hyperlink r:id="rId2351" ref="A3468"/>
    <hyperlink r:id="rId2352" ref="A3469"/>
    <hyperlink r:id="rId2353" ref="A3470"/>
    <hyperlink r:id="rId2354" ref="A3471"/>
    <hyperlink r:id="rId2355" ref="A3472"/>
    <hyperlink r:id="rId2356" ref="A3473"/>
    <hyperlink r:id="rId2357" ref="A3474"/>
    <hyperlink r:id="rId2358" ref="A3475"/>
    <hyperlink r:id="rId2359" ref="A3476"/>
    <hyperlink r:id="rId2360" ref="A3477"/>
    <hyperlink r:id="rId2361" ref="A3479"/>
    <hyperlink r:id="rId2362" ref="A3480"/>
    <hyperlink r:id="rId2363" ref="A3481"/>
    <hyperlink r:id="rId2364" ref="A3483"/>
    <hyperlink r:id="rId2365" ref="A3485"/>
    <hyperlink r:id="rId2366" ref="A3486"/>
    <hyperlink r:id="rId2367" ref="A3489"/>
    <hyperlink r:id="rId2368" ref="A3490"/>
    <hyperlink r:id="rId2369" ref="A3491"/>
    <hyperlink r:id="rId2370" ref="A3492"/>
    <hyperlink r:id="rId2371" ref="A3493"/>
    <hyperlink r:id="rId2372" ref="A3494"/>
    <hyperlink r:id="rId2373" ref="A3495"/>
    <hyperlink r:id="rId2374" ref="A3496"/>
    <hyperlink r:id="rId2375" ref="A3497"/>
    <hyperlink r:id="rId2376" ref="A3498"/>
    <hyperlink r:id="rId2377" ref="A3499"/>
    <hyperlink r:id="rId2378" ref="A3500"/>
    <hyperlink r:id="rId2379" ref="A3501"/>
    <hyperlink r:id="rId2380" ref="A3502"/>
    <hyperlink r:id="rId2381" ref="A3503"/>
    <hyperlink r:id="rId2382" ref="A3504"/>
    <hyperlink r:id="rId2383" ref="A3505"/>
    <hyperlink r:id="rId2384" ref="A3506"/>
    <hyperlink r:id="rId2385" ref="A3507"/>
    <hyperlink r:id="rId2386" ref="A3508"/>
    <hyperlink r:id="rId2387" ref="A3509"/>
    <hyperlink r:id="rId2388" ref="A3510"/>
    <hyperlink r:id="rId2389" ref="A3511"/>
    <hyperlink r:id="rId2390" ref="A3512"/>
    <hyperlink r:id="rId2391" ref="A3513"/>
    <hyperlink r:id="rId2392" ref="A3514"/>
    <hyperlink r:id="rId2393" ref="A3516"/>
    <hyperlink r:id="rId2394" ref="A3517"/>
    <hyperlink r:id="rId2395" ref="A3518"/>
    <hyperlink r:id="rId2396" ref="A3519"/>
    <hyperlink r:id="rId2397" ref="A3520"/>
    <hyperlink r:id="rId2398" ref="A3521"/>
    <hyperlink r:id="rId2399" ref="A3522"/>
    <hyperlink r:id="rId2400" ref="A3526"/>
    <hyperlink r:id="rId2401" ref="A3528"/>
    <hyperlink r:id="rId2402" ref="A3531"/>
    <hyperlink r:id="rId2403" ref="A3537"/>
    <hyperlink r:id="rId2404" ref="A3538"/>
    <hyperlink r:id="rId2405" ref="A3539"/>
    <hyperlink r:id="rId2406" ref="A3540"/>
    <hyperlink r:id="rId2407" ref="A3541"/>
    <hyperlink r:id="rId2408" ref="A3542"/>
    <hyperlink r:id="rId2409" ref="A3543"/>
    <hyperlink r:id="rId2410" ref="A3544"/>
    <hyperlink r:id="rId2411" ref="A3545"/>
    <hyperlink r:id="rId2412" ref="A3547"/>
    <hyperlink r:id="rId2413" ref="A3548"/>
    <hyperlink r:id="rId2414" ref="A3549"/>
    <hyperlink r:id="rId2415" ref="A3551"/>
    <hyperlink r:id="rId2416" ref="A3552"/>
    <hyperlink r:id="rId2417" ref="A3553"/>
    <hyperlink r:id="rId2418" ref="A3556"/>
    <hyperlink r:id="rId2419" ref="A3558"/>
    <hyperlink r:id="rId2420" ref="A3560"/>
    <hyperlink r:id="rId2421" ref="A3561"/>
    <hyperlink r:id="rId2422" ref="A3562"/>
    <hyperlink r:id="rId2423" ref="A3563"/>
    <hyperlink r:id="rId2424" ref="A3564"/>
    <hyperlink r:id="rId2425" ref="A3566"/>
    <hyperlink r:id="rId2426" ref="A3567"/>
    <hyperlink r:id="rId2427" ref="A3575"/>
    <hyperlink r:id="rId2428" ref="A3578"/>
    <hyperlink r:id="rId2429" ref="A3580"/>
    <hyperlink r:id="rId2430" ref="A3582"/>
    <hyperlink r:id="rId2431" ref="A3583"/>
    <hyperlink r:id="rId2432" ref="A3584"/>
    <hyperlink r:id="rId2433" ref="A3586"/>
    <hyperlink r:id="rId2434" ref="A3588"/>
    <hyperlink r:id="rId2435" ref="A3589"/>
    <hyperlink r:id="rId2436" ref="A3590"/>
    <hyperlink r:id="rId2437" ref="A3592"/>
    <hyperlink r:id="rId2438" ref="A3596"/>
    <hyperlink r:id="rId2439" ref="A3597"/>
    <hyperlink r:id="rId2440" ref="A3598"/>
    <hyperlink r:id="rId2441" ref="A3599"/>
    <hyperlink r:id="rId2442" ref="A3600"/>
    <hyperlink r:id="rId2443" ref="A3601"/>
    <hyperlink r:id="rId2444" ref="A3602"/>
    <hyperlink r:id="rId2445" ref="A3603"/>
    <hyperlink r:id="rId2446" ref="A3604"/>
    <hyperlink r:id="rId2447" ref="A3605"/>
    <hyperlink r:id="rId2448" ref="A3606"/>
    <hyperlink r:id="rId2449" ref="A3607"/>
    <hyperlink r:id="rId2450" ref="A3608"/>
    <hyperlink r:id="rId2451" ref="A3609"/>
    <hyperlink r:id="rId2452" ref="A3610"/>
    <hyperlink r:id="rId2453" ref="A3611"/>
    <hyperlink r:id="rId2454" ref="A3612"/>
    <hyperlink r:id="rId2455" ref="A3613"/>
    <hyperlink r:id="rId2456" location="v=onepage&amp;q&amp;f=false" ref="D3613"/>
    <hyperlink r:id="rId2457" ref="A3614"/>
    <hyperlink r:id="rId2458" ref="A3615"/>
    <hyperlink r:id="rId2459" ref="A3616"/>
    <hyperlink r:id="rId2460" ref="A3617"/>
    <hyperlink r:id="rId2461" ref="A3618"/>
    <hyperlink r:id="rId2462" ref="A3619"/>
    <hyperlink r:id="rId2463" ref="A3620"/>
    <hyperlink r:id="rId2464" ref="A3621"/>
    <hyperlink r:id="rId2465" ref="A3622"/>
    <hyperlink r:id="rId2466" ref="A3623"/>
    <hyperlink r:id="rId2467" ref="A3624"/>
    <hyperlink r:id="rId2468" ref="A3625"/>
    <hyperlink r:id="rId2469" ref="A3626"/>
    <hyperlink r:id="rId2470" ref="A3627"/>
    <hyperlink r:id="rId2471" ref="A3628"/>
    <hyperlink r:id="rId2472" ref="A3629"/>
    <hyperlink r:id="rId2473" ref="A3630"/>
    <hyperlink r:id="rId2474" ref="A3631"/>
    <hyperlink r:id="rId2475" ref="A3632"/>
    <hyperlink r:id="rId2476" ref="A3633"/>
    <hyperlink r:id="rId2477" ref="A3634"/>
    <hyperlink r:id="rId2478" ref="A3635"/>
    <hyperlink r:id="rId2479" ref="A3636"/>
    <hyperlink r:id="rId2480" ref="A3637"/>
    <hyperlink r:id="rId2481" ref="A3638"/>
    <hyperlink r:id="rId2482" ref="A3639"/>
    <hyperlink r:id="rId2483" ref="A3640"/>
    <hyperlink r:id="rId2484" ref="A3641"/>
    <hyperlink r:id="rId2485" ref="A3642"/>
    <hyperlink r:id="rId2486" ref="A3643"/>
    <hyperlink r:id="rId2487" ref="A3644"/>
    <hyperlink r:id="rId2488" ref="A3645"/>
    <hyperlink r:id="rId2489" ref="A3646"/>
    <hyperlink r:id="rId2490" ref="A3647"/>
    <hyperlink r:id="rId2491" ref="A3648"/>
    <hyperlink r:id="rId2492" ref="A3649"/>
    <hyperlink r:id="rId2493" ref="A3650"/>
    <hyperlink r:id="rId2494" ref="A3651"/>
    <hyperlink r:id="rId2495" ref="A3652"/>
    <hyperlink r:id="rId2496" ref="A3653"/>
    <hyperlink r:id="rId2497" ref="A3654"/>
    <hyperlink r:id="rId2498" ref="A3655"/>
    <hyperlink r:id="rId2499" ref="A3656"/>
    <hyperlink r:id="rId2500" ref="A3657"/>
    <hyperlink r:id="rId2501" ref="A3658"/>
    <hyperlink r:id="rId2502" ref="A3659"/>
    <hyperlink r:id="rId2503" ref="A3660"/>
    <hyperlink r:id="rId2504" ref="A3661"/>
    <hyperlink r:id="rId2505" ref="A3662"/>
    <hyperlink r:id="rId2506" ref="A3663"/>
    <hyperlink r:id="rId2507" ref="A3664"/>
    <hyperlink r:id="rId2508" ref="A3665"/>
    <hyperlink r:id="rId2509" ref="A3666"/>
    <hyperlink r:id="rId2510" ref="A3667"/>
    <hyperlink r:id="rId2511" ref="A3668"/>
    <hyperlink r:id="rId2512" ref="A3669"/>
    <hyperlink r:id="rId2513" ref="A3670"/>
    <hyperlink r:id="rId2514" ref="A3671"/>
    <hyperlink r:id="rId2515" ref="A3672"/>
    <hyperlink r:id="rId2516" ref="A3673"/>
    <hyperlink r:id="rId2517" ref="A3674"/>
    <hyperlink r:id="rId2518" ref="A3675"/>
    <hyperlink r:id="rId2519" ref="A3676"/>
    <hyperlink r:id="rId2520" ref="A3677"/>
    <hyperlink r:id="rId2521" ref="A3678"/>
    <hyperlink r:id="rId2522" ref="A3679"/>
    <hyperlink r:id="rId2523" ref="A3680"/>
    <hyperlink r:id="rId2524" ref="A3681"/>
    <hyperlink r:id="rId2525" ref="A3682"/>
    <hyperlink r:id="rId2526" ref="A3683"/>
    <hyperlink r:id="rId2527" ref="A3684"/>
    <hyperlink r:id="rId2528" ref="A3685"/>
    <hyperlink r:id="rId2529" ref="A3686"/>
    <hyperlink r:id="rId2530" ref="A3687"/>
    <hyperlink r:id="rId2531" ref="A3688"/>
    <hyperlink r:id="rId2532" ref="A3689"/>
    <hyperlink r:id="rId2533" ref="A3690"/>
    <hyperlink r:id="rId2534" ref="A3691"/>
    <hyperlink r:id="rId2535" ref="A3692"/>
    <hyperlink r:id="rId2536" ref="A3693"/>
    <hyperlink r:id="rId2537" ref="A3694"/>
    <hyperlink r:id="rId2538" ref="A3695"/>
    <hyperlink r:id="rId2539" ref="A3696"/>
    <hyperlink r:id="rId2540" ref="A3697"/>
    <hyperlink r:id="rId2541" ref="A3698"/>
    <hyperlink r:id="rId2542" ref="A3699"/>
    <hyperlink r:id="rId2543" ref="A3700"/>
    <hyperlink r:id="rId2544" ref="A3701"/>
    <hyperlink r:id="rId2545" ref="A3702"/>
    <hyperlink r:id="rId2546" ref="A3703"/>
    <hyperlink r:id="rId2547" ref="A3704"/>
    <hyperlink r:id="rId2548" ref="A3705"/>
    <hyperlink r:id="rId2549" ref="A3706"/>
    <hyperlink r:id="rId2550" ref="A3707"/>
    <hyperlink r:id="rId2551" ref="A3708"/>
    <hyperlink r:id="rId2552" ref="A3709"/>
    <hyperlink r:id="rId2553" ref="A3710"/>
    <hyperlink r:id="rId2554" ref="A3711"/>
    <hyperlink r:id="rId2555" ref="A3712"/>
    <hyperlink r:id="rId2556" ref="A3713"/>
    <hyperlink r:id="rId2557" ref="A3714"/>
    <hyperlink r:id="rId2558" ref="A3715"/>
    <hyperlink r:id="rId2559" ref="A3716"/>
    <hyperlink r:id="rId2560" ref="A3717"/>
    <hyperlink r:id="rId2561" ref="A3718"/>
    <hyperlink r:id="rId2562" ref="A3719"/>
    <hyperlink r:id="rId2563" ref="A3720"/>
    <hyperlink r:id="rId2564" ref="A3721"/>
    <hyperlink r:id="rId2565" ref="A3722"/>
    <hyperlink r:id="rId2566" ref="A3723"/>
    <hyperlink r:id="rId2567" ref="A3724"/>
    <hyperlink r:id="rId2568" ref="A3725"/>
    <hyperlink r:id="rId2569" ref="A3726"/>
    <hyperlink r:id="rId2570" ref="A3727"/>
    <hyperlink r:id="rId2571" ref="A3728"/>
    <hyperlink r:id="rId2572" ref="A3729"/>
    <hyperlink r:id="rId2573" ref="A3730"/>
    <hyperlink r:id="rId2574" ref="A3731"/>
    <hyperlink r:id="rId2575" ref="A3732"/>
    <hyperlink r:id="rId2576" ref="A3733"/>
    <hyperlink r:id="rId2577" ref="A3734"/>
    <hyperlink r:id="rId2578" ref="A3735"/>
    <hyperlink r:id="rId2579" ref="A3736"/>
    <hyperlink r:id="rId2580" ref="A3737"/>
    <hyperlink r:id="rId2581" ref="A3738"/>
    <hyperlink r:id="rId2582" ref="A3739"/>
    <hyperlink r:id="rId2583" ref="A3740"/>
    <hyperlink r:id="rId2584" ref="A3741"/>
    <hyperlink r:id="rId2585" ref="A3742"/>
    <hyperlink r:id="rId2586" ref="A3743"/>
    <hyperlink r:id="rId2587" ref="A3744"/>
    <hyperlink r:id="rId2588" ref="A3745"/>
    <hyperlink r:id="rId2589" ref="A3746"/>
    <hyperlink r:id="rId2590" ref="A3747"/>
    <hyperlink r:id="rId2591" ref="A3748"/>
    <hyperlink r:id="rId2592" ref="A3749"/>
    <hyperlink r:id="rId2593" ref="A3750"/>
    <hyperlink r:id="rId2594" ref="A3751"/>
    <hyperlink r:id="rId2595" ref="A3752"/>
    <hyperlink r:id="rId2596" ref="A3753"/>
    <hyperlink r:id="rId2597" ref="A3754"/>
    <hyperlink r:id="rId2598" ref="A3755"/>
    <hyperlink r:id="rId2599" ref="A3756"/>
    <hyperlink r:id="rId2600" ref="A3757"/>
    <hyperlink r:id="rId2601" ref="A3758"/>
    <hyperlink r:id="rId2602" ref="A3759"/>
    <hyperlink r:id="rId2603" ref="A3760"/>
    <hyperlink r:id="rId2604" ref="A3761"/>
    <hyperlink r:id="rId2605" ref="A3762"/>
    <hyperlink r:id="rId2606" ref="A3763"/>
    <hyperlink r:id="rId2607" ref="A3764"/>
    <hyperlink r:id="rId2608" ref="A3765"/>
    <hyperlink r:id="rId2609" ref="A3766"/>
    <hyperlink r:id="rId2610" ref="A3767"/>
    <hyperlink r:id="rId2611" ref="A3768"/>
    <hyperlink r:id="rId2612" ref="A3769"/>
    <hyperlink r:id="rId2613" ref="A3770"/>
    <hyperlink r:id="rId2614" ref="A3771"/>
    <hyperlink r:id="rId2615" ref="A3772"/>
    <hyperlink r:id="rId2616" ref="A3773"/>
    <hyperlink r:id="rId2617" ref="A3774"/>
    <hyperlink r:id="rId2618" ref="A3775"/>
    <hyperlink r:id="rId2619" ref="A3776"/>
    <hyperlink r:id="rId2620" ref="A3777"/>
    <hyperlink r:id="rId2621" ref="A3778"/>
    <hyperlink r:id="rId2622" ref="A3779"/>
    <hyperlink r:id="rId2623" ref="A3780"/>
    <hyperlink r:id="rId2624" ref="A3781"/>
    <hyperlink r:id="rId2625" ref="A3782"/>
    <hyperlink r:id="rId2626" ref="A3783"/>
    <hyperlink r:id="rId2627" ref="A3784"/>
    <hyperlink r:id="rId2628" ref="A3785"/>
    <hyperlink r:id="rId2629" ref="A3786"/>
    <hyperlink r:id="rId2630" ref="A3787"/>
    <hyperlink r:id="rId2631" ref="A3788"/>
    <hyperlink r:id="rId2632" ref="A3789"/>
    <hyperlink r:id="rId2633" ref="A3790"/>
    <hyperlink r:id="rId2634" ref="A3791"/>
    <hyperlink r:id="rId2635" ref="A3792"/>
    <hyperlink r:id="rId2636" ref="A3793"/>
    <hyperlink r:id="rId2637" ref="A3794"/>
    <hyperlink r:id="rId2638" ref="A3795"/>
    <hyperlink r:id="rId2639" ref="A3796"/>
    <hyperlink r:id="rId2640" ref="A3797"/>
    <hyperlink r:id="rId2641" ref="A3798"/>
    <hyperlink r:id="rId2642" ref="A3799"/>
    <hyperlink r:id="rId2643" ref="A3800"/>
    <hyperlink r:id="rId2644" ref="A3801"/>
    <hyperlink r:id="rId2645" ref="A3802"/>
    <hyperlink r:id="rId2646" ref="A3803"/>
    <hyperlink r:id="rId2647" ref="A3804"/>
    <hyperlink r:id="rId2648" ref="A3805"/>
    <hyperlink r:id="rId2649" ref="A3806"/>
    <hyperlink r:id="rId2650" ref="A3807"/>
    <hyperlink r:id="rId2651" ref="A3808"/>
    <hyperlink r:id="rId2652" ref="A3809"/>
    <hyperlink r:id="rId2653" ref="A3810"/>
    <hyperlink r:id="rId2654" ref="A3811"/>
    <hyperlink r:id="rId2655" ref="A3812"/>
    <hyperlink r:id="rId2656" ref="A3813"/>
    <hyperlink r:id="rId2657" ref="A3814"/>
    <hyperlink r:id="rId2658" ref="A3815"/>
    <hyperlink r:id="rId2659" ref="A3816"/>
    <hyperlink r:id="rId2660" ref="A3817"/>
    <hyperlink r:id="rId2661" ref="A3818"/>
    <hyperlink r:id="rId2662" ref="A3819"/>
    <hyperlink r:id="rId2663" ref="A3820"/>
    <hyperlink r:id="rId2664" ref="A3821"/>
    <hyperlink r:id="rId2665" ref="A3822"/>
    <hyperlink r:id="rId2666" ref="A3823"/>
    <hyperlink r:id="rId2667" ref="A3824"/>
    <hyperlink r:id="rId2668" ref="A3825"/>
    <hyperlink r:id="rId2669" ref="A3826"/>
    <hyperlink r:id="rId2670" ref="A3827"/>
    <hyperlink r:id="rId2671" ref="A3828"/>
    <hyperlink r:id="rId2672" ref="A3829"/>
    <hyperlink r:id="rId2673" ref="A3830"/>
    <hyperlink r:id="rId2674" ref="A3831"/>
    <hyperlink r:id="rId2675" ref="A3832"/>
    <hyperlink r:id="rId2676" ref="A3833"/>
    <hyperlink r:id="rId2677" ref="A3834"/>
    <hyperlink r:id="rId2678" ref="A3835"/>
    <hyperlink r:id="rId2679" ref="A3836"/>
    <hyperlink r:id="rId2680" ref="A3837"/>
    <hyperlink r:id="rId2681" ref="A3838"/>
    <hyperlink r:id="rId2682" ref="A3839"/>
    <hyperlink r:id="rId2683" ref="A3840"/>
    <hyperlink r:id="rId2684" ref="A3841"/>
    <hyperlink r:id="rId2685" ref="A3842"/>
    <hyperlink r:id="rId2686" ref="A3843"/>
    <hyperlink r:id="rId2687" ref="A3844"/>
    <hyperlink r:id="rId2688" ref="A3845"/>
    <hyperlink r:id="rId2689" ref="A3846"/>
    <hyperlink r:id="rId2690" ref="A3847"/>
    <hyperlink r:id="rId2691" ref="A3848"/>
    <hyperlink r:id="rId2692" ref="A3849"/>
    <hyperlink r:id="rId2693" ref="A3850"/>
    <hyperlink r:id="rId2694" ref="A3851"/>
    <hyperlink r:id="rId2695" ref="A3852"/>
    <hyperlink r:id="rId2696" ref="A3853"/>
    <hyperlink r:id="rId2697" ref="A3854"/>
    <hyperlink r:id="rId2698" ref="A3855"/>
    <hyperlink r:id="rId2699" ref="A3856"/>
    <hyperlink r:id="rId2700" ref="A3857"/>
    <hyperlink r:id="rId2701" ref="A3858"/>
    <hyperlink r:id="rId2702" ref="A3859"/>
    <hyperlink r:id="rId2703" ref="A3860"/>
    <hyperlink r:id="rId2704" ref="A3861"/>
    <hyperlink r:id="rId2705" ref="A3863"/>
    <hyperlink r:id="rId2706" ref="A3867"/>
    <hyperlink r:id="rId2707" ref="A3872"/>
    <hyperlink r:id="rId2708" ref="A3886"/>
    <hyperlink r:id="rId2709" ref="A3887"/>
    <hyperlink r:id="rId2710" ref="A3889"/>
    <hyperlink r:id="rId2711" ref="A3891"/>
    <hyperlink r:id="rId2712" ref="A3897"/>
    <hyperlink r:id="rId2713" ref="A3899"/>
    <hyperlink r:id="rId2714" ref="A3901"/>
    <hyperlink r:id="rId2715" ref="A3902"/>
    <hyperlink r:id="rId2716" ref="A3903"/>
    <hyperlink r:id="rId2717" ref="A3906"/>
    <hyperlink r:id="rId2718" ref="A3908"/>
    <hyperlink r:id="rId2719" ref="A3917"/>
    <hyperlink r:id="rId2720" ref="A3918"/>
    <hyperlink r:id="rId2721" ref="A3919"/>
    <hyperlink r:id="rId2722" ref="A3920"/>
    <hyperlink r:id="rId2723" ref="A3921"/>
    <hyperlink r:id="rId2724" ref="A3922"/>
    <hyperlink r:id="rId2725" ref="A3923"/>
    <hyperlink r:id="rId2726" ref="A3925"/>
    <hyperlink r:id="rId2727" ref="A3927"/>
    <hyperlink r:id="rId2728" ref="A3928"/>
    <hyperlink r:id="rId2729" ref="A3929"/>
    <hyperlink r:id="rId2730" ref="A3930"/>
    <hyperlink r:id="rId2731" ref="A3931"/>
    <hyperlink r:id="rId2732" ref="A3932"/>
    <hyperlink r:id="rId2733" ref="A3933"/>
    <hyperlink r:id="rId2734" ref="A3934"/>
    <hyperlink r:id="rId2735" ref="A3935"/>
    <hyperlink r:id="rId2736" ref="A3936"/>
    <hyperlink r:id="rId2737" ref="A3937"/>
    <hyperlink r:id="rId2738" ref="A3938"/>
    <hyperlink r:id="rId2739" ref="A3939"/>
    <hyperlink r:id="rId2740" ref="A3940"/>
    <hyperlink r:id="rId2741" ref="A3943"/>
    <hyperlink r:id="rId2742" ref="A3946"/>
    <hyperlink r:id="rId2743" ref="A3947"/>
    <hyperlink r:id="rId2744" ref="A3949"/>
    <hyperlink r:id="rId2745" ref="A3950"/>
    <hyperlink r:id="rId2746" ref="A3951"/>
    <hyperlink r:id="rId2747" ref="A3952"/>
    <hyperlink r:id="rId2748" ref="A3953"/>
    <hyperlink r:id="rId2749" ref="A3954"/>
    <hyperlink r:id="rId2750" ref="A3959"/>
    <hyperlink r:id="rId2751" ref="A3960"/>
    <hyperlink r:id="rId2752" ref="A3961"/>
    <hyperlink r:id="rId2753" ref="A3962"/>
    <hyperlink r:id="rId2754" ref="A3963"/>
    <hyperlink r:id="rId2755" ref="A3964"/>
    <hyperlink r:id="rId2756" ref="A3967"/>
    <hyperlink r:id="rId2757" ref="A3968"/>
    <hyperlink r:id="rId2758" ref="A3976"/>
    <hyperlink r:id="rId2759" ref="A3977"/>
    <hyperlink r:id="rId2760" ref="A3978"/>
    <hyperlink r:id="rId2761" ref="A3979"/>
    <hyperlink r:id="rId2762" ref="A3980"/>
    <hyperlink r:id="rId2763" ref="A3981"/>
    <hyperlink r:id="rId2764" ref="A3982"/>
    <hyperlink r:id="rId2765" ref="A3983"/>
    <hyperlink r:id="rId2766" ref="A3984"/>
    <hyperlink r:id="rId2767" ref="A3985"/>
    <hyperlink r:id="rId2768" ref="A3986"/>
    <hyperlink r:id="rId2769" ref="A3987"/>
    <hyperlink r:id="rId2770" ref="A3988"/>
    <hyperlink r:id="rId2771" ref="A3989"/>
    <hyperlink r:id="rId2772" ref="A3990"/>
    <hyperlink r:id="rId2773" ref="A3991"/>
    <hyperlink r:id="rId2774" ref="A3992"/>
    <hyperlink r:id="rId2775" ref="A3993"/>
    <hyperlink r:id="rId2776" ref="A3994"/>
    <hyperlink r:id="rId2777" ref="A3995"/>
    <hyperlink r:id="rId2778" ref="A3996"/>
    <hyperlink r:id="rId2779" ref="A3997"/>
    <hyperlink r:id="rId2780" ref="A3998"/>
    <hyperlink r:id="rId2781" ref="A3999"/>
    <hyperlink r:id="rId2782" ref="A4000"/>
    <hyperlink r:id="rId2783" ref="A4001"/>
    <hyperlink r:id="rId2784" ref="A4002"/>
    <hyperlink r:id="rId2785" ref="A4003"/>
    <hyperlink r:id="rId2786" ref="A4004"/>
    <hyperlink r:id="rId2787" ref="A4005"/>
    <hyperlink r:id="rId2788" ref="A4006"/>
    <hyperlink r:id="rId2789" ref="A4007"/>
    <hyperlink r:id="rId2790" ref="A4008"/>
    <hyperlink r:id="rId2791" ref="A4009"/>
    <hyperlink r:id="rId2792" ref="A4010"/>
    <hyperlink r:id="rId2793" ref="A4011"/>
    <hyperlink r:id="rId2794" ref="A4012"/>
    <hyperlink r:id="rId2795" ref="A4013"/>
    <hyperlink r:id="rId2796" ref="A4014"/>
    <hyperlink r:id="rId2797" ref="A4015"/>
    <hyperlink r:id="rId2798" ref="A4016"/>
    <hyperlink r:id="rId2799" ref="A4017"/>
    <hyperlink r:id="rId2800" ref="A4018"/>
    <hyperlink r:id="rId2801" ref="A4019"/>
    <hyperlink r:id="rId2802" ref="A4020"/>
    <hyperlink r:id="rId2803" ref="A4021"/>
    <hyperlink r:id="rId2804" ref="A4022"/>
    <hyperlink r:id="rId2805" ref="A4023"/>
    <hyperlink r:id="rId2806" ref="A4024"/>
    <hyperlink r:id="rId2807" ref="A4025"/>
    <hyperlink r:id="rId2808" ref="A4026"/>
    <hyperlink r:id="rId2809" ref="A4027"/>
    <hyperlink r:id="rId2810" ref="A4028"/>
    <hyperlink r:id="rId2811" ref="A4029"/>
    <hyperlink r:id="rId2812" ref="A4031"/>
    <hyperlink r:id="rId2813" ref="A4032"/>
    <hyperlink r:id="rId2814" ref="A4033"/>
    <hyperlink r:id="rId2815" ref="A4034"/>
    <hyperlink r:id="rId2816" ref="A4035"/>
    <hyperlink r:id="rId2817" ref="A4039"/>
    <hyperlink r:id="rId2818" ref="A4040"/>
    <hyperlink r:id="rId2819" ref="A4041"/>
    <hyperlink r:id="rId2820" ref="A4042"/>
    <hyperlink r:id="rId2821" ref="A4046"/>
    <hyperlink r:id="rId2822" ref="A4047"/>
    <hyperlink r:id="rId2823" ref="A4048"/>
    <hyperlink r:id="rId2824" ref="A4049"/>
    <hyperlink r:id="rId2825" ref="A4050"/>
    <hyperlink r:id="rId2826" ref="A4051"/>
    <hyperlink r:id="rId2827" ref="A4054"/>
    <hyperlink r:id="rId2828" ref="A4055"/>
    <hyperlink r:id="rId2829" ref="A4056"/>
    <hyperlink r:id="rId2830" ref="A4057"/>
    <hyperlink r:id="rId2831" ref="A4058"/>
    <hyperlink r:id="rId2832" ref="A4059"/>
    <hyperlink r:id="rId2833" ref="A4060"/>
    <hyperlink r:id="rId2834" ref="A4061"/>
    <hyperlink r:id="rId2835" ref="A4065"/>
    <hyperlink r:id="rId2836" ref="A4067"/>
    <hyperlink r:id="rId2837" ref="A4069"/>
    <hyperlink r:id="rId2838" ref="A4091"/>
    <hyperlink r:id="rId2839" ref="A4092"/>
    <hyperlink r:id="rId2840" ref="A4093"/>
    <hyperlink r:id="rId2841" ref="A4094"/>
    <hyperlink r:id="rId2842" ref="A4096"/>
    <hyperlink r:id="rId2843" ref="A4097"/>
    <hyperlink r:id="rId2844" ref="A4098"/>
    <hyperlink r:id="rId2845" ref="A4100"/>
    <hyperlink r:id="rId2846" ref="A4101"/>
    <hyperlink r:id="rId2847" ref="A4102"/>
    <hyperlink r:id="rId2848" ref="A4103"/>
    <hyperlink r:id="rId2849" ref="A4104"/>
    <hyperlink r:id="rId2850" ref="A4105"/>
    <hyperlink r:id="rId2851" ref="A4106"/>
    <hyperlink r:id="rId2852" ref="A4107"/>
    <hyperlink r:id="rId2853" ref="A4108"/>
    <hyperlink r:id="rId2854" ref="A4109"/>
    <hyperlink r:id="rId2855" ref="A4111"/>
    <hyperlink r:id="rId2856" ref="A4135"/>
    <hyperlink r:id="rId2857" ref="A4136"/>
    <hyperlink r:id="rId2858" ref="A4137"/>
    <hyperlink r:id="rId2859" ref="A4138"/>
    <hyperlink r:id="rId2860" ref="A4139"/>
    <hyperlink r:id="rId2861" ref="A4140"/>
    <hyperlink r:id="rId2862" ref="A4141"/>
    <hyperlink r:id="rId2863" ref="A4142"/>
    <hyperlink r:id="rId2864" ref="A4143"/>
    <hyperlink r:id="rId2865" ref="A4144"/>
    <hyperlink r:id="rId2866" ref="A4145"/>
    <hyperlink r:id="rId2867" ref="A4146"/>
    <hyperlink r:id="rId2868" ref="A4147"/>
    <hyperlink r:id="rId2869" ref="A4148"/>
    <hyperlink r:id="rId2870" ref="A4149"/>
    <hyperlink r:id="rId2871" ref="A4150"/>
    <hyperlink r:id="rId2872" ref="A4151"/>
    <hyperlink r:id="rId2873" ref="A4152"/>
    <hyperlink r:id="rId2874" ref="A4153"/>
    <hyperlink r:id="rId2875" ref="A4154"/>
    <hyperlink r:id="rId2876" ref="A4155"/>
    <hyperlink r:id="rId2877" ref="A4156"/>
    <hyperlink r:id="rId2878" ref="A4157"/>
    <hyperlink r:id="rId2879" ref="A4158"/>
    <hyperlink r:id="rId2880" ref="A4159"/>
    <hyperlink r:id="rId2881" ref="A4160"/>
    <hyperlink r:id="rId2882" ref="A4161"/>
    <hyperlink r:id="rId2883" ref="A4162"/>
    <hyperlink r:id="rId2884" ref="A4163"/>
    <hyperlink r:id="rId2885" ref="A4164"/>
    <hyperlink r:id="rId2886" ref="A4165"/>
    <hyperlink r:id="rId2887" ref="A4166"/>
    <hyperlink r:id="rId2888" ref="A4167"/>
    <hyperlink r:id="rId2889" ref="A4168"/>
    <hyperlink r:id="rId2890" ref="A4169"/>
    <hyperlink r:id="rId2891" ref="A4170"/>
    <hyperlink r:id="rId2892" ref="A4171"/>
    <hyperlink r:id="rId2893" ref="A4172"/>
    <hyperlink r:id="rId2894" ref="A4173"/>
    <hyperlink r:id="rId2895" ref="A4174"/>
    <hyperlink r:id="rId2896" ref="A4175"/>
    <hyperlink r:id="rId2897" ref="A4176"/>
    <hyperlink r:id="rId2898" ref="A4177"/>
    <hyperlink r:id="rId2899" ref="A4181"/>
    <hyperlink r:id="rId2900" ref="A4182"/>
    <hyperlink r:id="rId2901" ref="A4183"/>
    <hyperlink r:id="rId2902" ref="A4184"/>
    <hyperlink r:id="rId2903" ref="A4186"/>
    <hyperlink r:id="rId2904" ref="A4187"/>
    <hyperlink r:id="rId2905" ref="A4188"/>
    <hyperlink r:id="rId2906" ref="A4189"/>
    <hyperlink r:id="rId2907" ref="A4191"/>
    <hyperlink r:id="rId2908" ref="A4192"/>
    <hyperlink r:id="rId2909" ref="A4193"/>
    <hyperlink r:id="rId2910" ref="A4194"/>
    <hyperlink r:id="rId2911" ref="A4195"/>
    <hyperlink r:id="rId2912" ref="A4196"/>
    <hyperlink r:id="rId2913" ref="A4198"/>
    <hyperlink r:id="rId2914" location="2-boot-with-jetpack-513-sd-card-to-schedule-firmware-update" ref="A4209"/>
    <hyperlink r:id="rId2915" ref="A4211"/>
    <hyperlink r:id="rId2916" ref="A4212"/>
    <hyperlink r:id="rId2917" ref="A4213"/>
    <hyperlink r:id="rId2918" ref="A4214"/>
    <hyperlink r:id="rId2919" ref="A4215"/>
    <hyperlink r:id="rId2920" ref="A4216"/>
    <hyperlink r:id="rId2921" ref="A4217"/>
    <hyperlink r:id="rId2922" ref="A4218"/>
    <hyperlink r:id="rId2923" ref="A4219"/>
    <hyperlink r:id="rId2924" ref="A4220"/>
    <hyperlink r:id="rId2925" ref="A4221"/>
    <hyperlink r:id="rId2926" ref="A4225"/>
    <hyperlink r:id="rId2927" ref="A4226"/>
    <hyperlink r:id="rId2928" ref="A4227"/>
    <hyperlink r:id="rId2929" ref="A4228"/>
    <hyperlink r:id="rId2930" ref="A4229"/>
    <hyperlink r:id="rId2931" ref="A4230"/>
    <hyperlink r:id="rId2932" ref="A4231"/>
    <hyperlink r:id="rId2933" ref="A4232"/>
    <hyperlink r:id="rId2934" ref="A4233"/>
    <hyperlink r:id="rId2935" ref="A4235"/>
    <hyperlink r:id="rId2936" ref="A4236"/>
    <hyperlink r:id="rId2937" ref="A4237"/>
    <hyperlink r:id="rId2938" ref="A4238"/>
    <hyperlink r:id="rId2939" ref="A4239"/>
    <hyperlink r:id="rId2940" ref="A4240"/>
    <hyperlink r:id="rId2941" ref="A4241"/>
    <hyperlink r:id="rId2942" ref="A4242"/>
    <hyperlink r:id="rId2943" ref="A4243"/>
    <hyperlink r:id="rId2944" ref="A4245"/>
    <hyperlink r:id="rId2945" ref="A4246"/>
    <hyperlink r:id="rId2946" ref="A4247"/>
    <hyperlink r:id="rId2947" ref="A4248"/>
    <hyperlink r:id="rId2948" ref="A4249"/>
    <hyperlink r:id="rId2949" ref="A4250"/>
    <hyperlink r:id="rId2950" ref="A4251"/>
    <hyperlink r:id="rId2951" ref="A4252"/>
    <hyperlink r:id="rId2952" ref="A4253"/>
    <hyperlink r:id="rId2953" ref="A4254"/>
    <hyperlink r:id="rId2954" ref="A4256"/>
    <hyperlink r:id="rId2955" ref="A4257"/>
    <hyperlink r:id="rId2956" ref="A4258"/>
    <hyperlink r:id="rId2957" ref="A4259"/>
    <hyperlink r:id="rId2958" ref="A4260"/>
    <hyperlink r:id="rId2959" ref="A4261"/>
    <hyperlink r:id="rId2960" ref="A4262"/>
    <hyperlink r:id="rId2961" ref="A4263"/>
    <hyperlink r:id="rId2962" ref="A4264"/>
    <hyperlink r:id="rId2963" ref="A4265"/>
    <hyperlink r:id="rId2964" ref="A4266"/>
    <hyperlink r:id="rId2965" ref="A4267"/>
    <hyperlink r:id="rId2966" ref="A4268"/>
    <hyperlink r:id="rId2967" ref="A4269"/>
    <hyperlink r:id="rId2968" ref="A4270"/>
    <hyperlink r:id="rId2969" ref="A4271"/>
    <hyperlink r:id="rId2970" ref="A4272"/>
    <hyperlink r:id="rId2971" ref="A4273"/>
    <hyperlink r:id="rId2972" ref="A4274"/>
    <hyperlink r:id="rId2973" ref="A4275"/>
    <hyperlink r:id="rId2974" ref="A4277"/>
    <hyperlink r:id="rId2975" ref="A4278"/>
    <hyperlink r:id="rId2976" ref="A4281"/>
    <hyperlink r:id="rId2977" ref="A4282"/>
    <hyperlink r:id="rId2978" ref="A4284"/>
    <hyperlink r:id="rId2979" ref="A4285"/>
    <hyperlink r:id="rId2980" ref="A4286"/>
    <hyperlink r:id="rId2981" ref="A4287"/>
    <hyperlink r:id="rId2982" ref="A4288"/>
    <hyperlink r:id="rId2983" ref="A4289"/>
    <hyperlink r:id="rId2984" ref="A4291"/>
    <hyperlink r:id="rId2985" ref="A4292"/>
    <hyperlink r:id="rId2986" ref="A4294"/>
    <hyperlink r:id="rId2987" ref="A4295"/>
    <hyperlink r:id="rId2988" ref="A4296"/>
    <hyperlink r:id="rId2989" ref="A4297"/>
    <hyperlink r:id="rId2990" ref="A4298"/>
    <hyperlink r:id="rId2991" ref="A4299"/>
    <hyperlink r:id="rId2992" ref="A4300"/>
    <hyperlink r:id="rId2993" ref="A4302"/>
    <hyperlink r:id="rId2994" ref="A4303"/>
    <hyperlink r:id="rId2995" ref="A4304"/>
    <hyperlink r:id="rId2996" ref="A4313"/>
    <hyperlink r:id="rId2997" ref="A4316"/>
    <hyperlink r:id="rId2998" ref="A4319"/>
    <hyperlink r:id="rId2999" ref="A4323"/>
    <hyperlink r:id="rId3000" ref="A4324"/>
    <hyperlink r:id="rId3001" ref="A4325"/>
    <hyperlink r:id="rId3002" ref="A4326"/>
    <hyperlink r:id="rId3003" ref="A4327"/>
    <hyperlink r:id="rId3004" ref="A4330"/>
    <hyperlink r:id="rId3005" ref="A4331"/>
    <hyperlink r:id="rId3006" ref="A4332"/>
    <hyperlink r:id="rId3007" ref="A4333"/>
    <hyperlink r:id="rId3008" ref="A4334"/>
    <hyperlink r:id="rId3009" ref="A4335"/>
    <hyperlink r:id="rId3010" ref="A4336"/>
    <hyperlink r:id="rId3011" ref="A4337"/>
    <hyperlink r:id="rId3012" ref="A4338"/>
    <hyperlink r:id="rId3013" ref="A4339"/>
    <hyperlink r:id="rId3014" ref="A4340"/>
    <hyperlink r:id="rId3015" ref="A4341"/>
    <hyperlink r:id="rId3016" ref="A4342"/>
    <hyperlink r:id="rId3017" ref="A4343"/>
    <hyperlink r:id="rId3018" ref="A4344"/>
    <hyperlink r:id="rId3019" ref="A4345"/>
    <hyperlink r:id="rId3020" ref="A4346"/>
    <hyperlink r:id="rId3021" ref="A4347"/>
    <hyperlink r:id="rId3022" ref="A4348"/>
    <hyperlink r:id="rId3023" ref="A4349"/>
    <hyperlink r:id="rId3024" ref="A4350"/>
    <hyperlink r:id="rId3025" ref="A4351"/>
    <hyperlink r:id="rId3026" ref="A4352"/>
    <hyperlink r:id="rId3027" ref="A4353"/>
    <hyperlink r:id="rId3028" ref="A4354"/>
    <hyperlink r:id="rId3029" ref="A4355"/>
    <hyperlink r:id="rId3030" ref="A4356"/>
    <hyperlink r:id="rId3031" ref="A4357"/>
    <hyperlink r:id="rId3032" ref="A4358"/>
    <hyperlink r:id="rId3033" ref="A4359"/>
    <hyperlink r:id="rId3034" ref="A4360"/>
    <hyperlink r:id="rId3035" ref="A4362"/>
    <hyperlink r:id="rId3036" ref="A4364"/>
    <hyperlink r:id="rId3037" ref="A4365"/>
    <hyperlink r:id="rId3038" ref="A4367"/>
    <hyperlink r:id="rId3039" ref="A4368"/>
    <hyperlink r:id="rId3040" ref="A4369"/>
    <hyperlink r:id="rId3041" ref="A4370"/>
    <hyperlink r:id="rId3042" ref="A4371"/>
    <hyperlink r:id="rId3043" ref="A4372"/>
    <hyperlink r:id="rId3044" ref="A4373"/>
    <hyperlink r:id="rId3045" ref="A4374"/>
    <hyperlink r:id="rId3046" ref="A4375"/>
    <hyperlink r:id="rId3047" ref="A4376"/>
    <hyperlink r:id="rId3048" ref="A4377"/>
    <hyperlink r:id="rId3049" ref="A4378"/>
    <hyperlink r:id="rId3050" ref="A4379"/>
    <hyperlink r:id="rId3051" ref="A4380"/>
    <hyperlink r:id="rId3052" ref="A4381"/>
    <hyperlink r:id="rId3053" ref="A4382"/>
    <hyperlink r:id="rId3054" ref="A4383"/>
    <hyperlink r:id="rId3055" ref="A4384"/>
    <hyperlink r:id="rId3056" ref="A4385"/>
    <hyperlink r:id="rId3057" ref="A4386"/>
    <hyperlink r:id="rId3058" ref="A4387"/>
    <hyperlink r:id="rId3059" ref="A4388"/>
    <hyperlink r:id="rId3060" ref="A4389"/>
    <hyperlink r:id="rId3061" ref="A4390"/>
    <hyperlink r:id="rId3062" ref="A4391"/>
    <hyperlink r:id="rId3063" ref="A4392"/>
    <hyperlink r:id="rId3064" ref="A4393"/>
    <hyperlink r:id="rId3065" ref="A4394"/>
    <hyperlink r:id="rId3066" ref="A4395"/>
    <hyperlink r:id="rId3067" ref="A4396"/>
    <hyperlink r:id="rId3068" ref="A4397"/>
    <hyperlink r:id="rId3069" ref="A4398"/>
    <hyperlink r:id="rId3070" ref="A4399"/>
    <hyperlink r:id="rId3071" ref="A4400"/>
    <hyperlink r:id="rId3072" ref="A4401"/>
    <hyperlink r:id="rId3073" ref="A4402"/>
    <hyperlink r:id="rId3074" ref="A4403"/>
    <hyperlink r:id="rId3075" ref="A4404"/>
    <hyperlink r:id="rId3076" ref="A4405"/>
    <hyperlink r:id="rId3077" ref="A4406"/>
    <hyperlink r:id="rId3078" ref="A4407"/>
    <hyperlink r:id="rId3079" ref="A4408"/>
    <hyperlink r:id="rId3080" ref="A4409"/>
    <hyperlink r:id="rId3081" ref="A4410"/>
    <hyperlink r:id="rId3082" ref="A4411"/>
    <hyperlink r:id="rId3083" ref="A4412"/>
    <hyperlink r:id="rId3084" ref="A4413"/>
    <hyperlink r:id="rId3085" ref="A4414"/>
    <hyperlink r:id="rId3086" ref="A4415"/>
    <hyperlink r:id="rId3087" ref="A4416"/>
    <hyperlink r:id="rId3088" ref="A4417"/>
    <hyperlink r:id="rId3089" ref="A4418"/>
    <hyperlink r:id="rId3090" ref="A4419"/>
    <hyperlink r:id="rId3091" ref="A4420"/>
    <hyperlink r:id="rId3092" ref="A4421"/>
    <hyperlink r:id="rId3093" ref="A4422"/>
    <hyperlink r:id="rId3094" ref="A4423"/>
    <hyperlink r:id="rId3095" ref="A4424"/>
    <hyperlink r:id="rId3096" ref="A4425"/>
    <hyperlink r:id="rId3097" ref="A4426"/>
    <hyperlink r:id="rId3098" ref="A4427"/>
    <hyperlink r:id="rId3099" ref="A4428"/>
    <hyperlink r:id="rId3100" ref="A4429"/>
    <hyperlink r:id="rId3101" ref="A4430"/>
    <hyperlink r:id="rId3102" ref="A4431"/>
    <hyperlink r:id="rId3103" ref="A4432"/>
    <hyperlink r:id="rId3104" ref="A4433"/>
    <hyperlink r:id="rId3105" ref="A4434"/>
    <hyperlink r:id="rId3106" ref="A4435"/>
    <hyperlink r:id="rId3107" ref="A4436"/>
    <hyperlink r:id="rId3108" ref="A4437"/>
    <hyperlink r:id="rId3109" ref="A4438"/>
    <hyperlink r:id="rId3110" ref="A4439"/>
    <hyperlink r:id="rId3111" ref="A4441"/>
    <hyperlink r:id="rId3112" ref="A4442"/>
    <hyperlink r:id="rId3113" ref="A4446"/>
    <hyperlink r:id="rId3114" ref="A4447"/>
    <hyperlink r:id="rId3115" ref="A4448"/>
    <hyperlink r:id="rId3116" ref="A4449"/>
    <hyperlink r:id="rId3117" ref="A4455"/>
    <hyperlink r:id="rId3118" ref="A4456"/>
    <hyperlink r:id="rId3119" ref="A4457"/>
    <hyperlink r:id="rId3120" ref="A4458"/>
    <hyperlink r:id="rId3121" ref="A4460"/>
    <hyperlink r:id="rId3122" ref="A4464"/>
    <hyperlink r:id="rId3123" ref="A4468"/>
    <hyperlink r:id="rId3124" ref="A4470"/>
    <hyperlink r:id="rId3125" ref="A4471"/>
    <hyperlink r:id="rId3126" ref="A4473"/>
    <hyperlink r:id="rId3127" ref="A4474"/>
    <hyperlink r:id="rId3128" ref="A4475"/>
    <hyperlink r:id="rId3129" ref="A4478"/>
    <hyperlink r:id="rId3130" ref="A4479"/>
    <hyperlink r:id="rId3131" ref="A4491"/>
    <hyperlink r:id="rId3132" ref="A4492"/>
    <hyperlink r:id="rId3133" ref="A4497"/>
    <hyperlink r:id="rId3134" ref="A4532"/>
    <hyperlink r:id="rId3135" ref="A4536"/>
    <hyperlink r:id="rId3136" ref="A4539"/>
    <hyperlink r:id="rId3137" ref="A4540"/>
  </hyperlinks>
  <drawing r:id="rId31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4.88"/>
    <col customWidth="1" min="2" max="2" width="5.38"/>
    <col customWidth="1" min="3" max="15" width="4.75"/>
    <col customWidth="1" min="16" max="16" width="52.63"/>
  </cols>
  <sheetData>
    <row r="1">
      <c r="A1" s="14" t="s">
        <v>8518</v>
      </c>
      <c r="B1" s="15" t="s">
        <v>8519</v>
      </c>
      <c r="C1" s="16">
        <v>2014.0</v>
      </c>
      <c r="D1" s="16">
        <v>2015.0</v>
      </c>
      <c r="E1" s="16">
        <v>2016.0</v>
      </c>
      <c r="F1" s="16">
        <v>2017.0</v>
      </c>
      <c r="G1" s="16">
        <v>2018.0</v>
      </c>
      <c r="H1" s="16">
        <v>2019.0</v>
      </c>
      <c r="I1" s="16">
        <v>2020.0</v>
      </c>
      <c r="J1" s="16">
        <v>2021.0</v>
      </c>
      <c r="K1" s="16">
        <v>2022.0</v>
      </c>
      <c r="L1" s="16">
        <v>2023.0</v>
      </c>
      <c r="M1" s="16">
        <v>2024.0</v>
      </c>
      <c r="N1" s="16">
        <v>2025.0</v>
      </c>
      <c r="O1" s="17"/>
      <c r="P1" s="18"/>
    </row>
    <row r="2">
      <c r="A2" s="19"/>
      <c r="B2" s="20">
        <f t="shared" ref="B2:O2" si="1">SUM(B3:B40)</f>
        <v>977</v>
      </c>
      <c r="C2" s="20">
        <f t="shared" si="1"/>
        <v>19</v>
      </c>
      <c r="D2" s="20">
        <f t="shared" si="1"/>
        <v>22</v>
      </c>
      <c r="E2" s="20">
        <f t="shared" si="1"/>
        <v>22</v>
      </c>
      <c r="F2" s="20">
        <f t="shared" si="1"/>
        <v>27</v>
      </c>
      <c r="G2" s="20">
        <f t="shared" si="1"/>
        <v>37</v>
      </c>
      <c r="H2" s="20">
        <f t="shared" si="1"/>
        <v>61</v>
      </c>
      <c r="I2" s="20">
        <f t="shared" si="1"/>
        <v>79</v>
      </c>
      <c r="J2" s="20">
        <f t="shared" si="1"/>
        <v>118</v>
      </c>
      <c r="K2" s="20">
        <f t="shared" si="1"/>
        <v>140</v>
      </c>
      <c r="L2" s="20">
        <f t="shared" si="1"/>
        <v>159</v>
      </c>
      <c r="M2" s="20">
        <f t="shared" si="1"/>
        <v>293</v>
      </c>
      <c r="N2" s="20">
        <f t="shared" si="1"/>
        <v>352</v>
      </c>
      <c r="O2" s="20">
        <f t="shared" si="1"/>
        <v>1257</v>
      </c>
      <c r="P2" s="19"/>
    </row>
    <row r="3">
      <c r="A3" s="21" t="s">
        <v>8520</v>
      </c>
      <c r="B3" s="22">
        <f t="shared" ref="B3:B40" si="2">SUM(C3:M3)</f>
        <v>116</v>
      </c>
      <c r="C3" s="23">
        <f>COUNTIF(Index!$D$2:$D$4903,"CVPR 2014")</f>
        <v>0</v>
      </c>
      <c r="D3" s="23">
        <f>COUNTIF(Index!$D$2:$D$4903,"CVPR 2015")</f>
        <v>1</v>
      </c>
      <c r="E3" s="23">
        <f>COUNTIF(Index!$D$2:$D$4903,"CVPR 2016")</f>
        <v>1</v>
      </c>
      <c r="F3" s="23">
        <f>COUNTIF(Index!$D$2:$D$4903,"CVPR 2017")</f>
        <v>2</v>
      </c>
      <c r="G3" s="23">
        <f>COUNTIF(Index!$D$2:$D$4903,"CVPR 2018")</f>
        <v>4</v>
      </c>
      <c r="H3" s="23">
        <f>COUNTIF(Index!$D$2:$D$4903,"CVPR 2019")</f>
        <v>9</v>
      </c>
      <c r="I3" s="23">
        <f>COUNTIF(Index!$D$2:$D$4903,"CVPR 2020")</f>
        <v>11</v>
      </c>
      <c r="J3" s="23">
        <f>COUNTIF(Index!$D$2:$D$4903,"CVPR 2021")</f>
        <v>10</v>
      </c>
      <c r="K3" s="23">
        <f>COUNTIF(Index!$D$2:$D$4903,"CVPR 2022")</f>
        <v>17</v>
      </c>
      <c r="L3" s="23">
        <f>COUNTIF(Index!$D$2:$D$4903,"CVPR 2023")</f>
        <v>21</v>
      </c>
      <c r="M3" s="23">
        <f>COUNTIF(Index!$D$2:$D$4903,"CVPR 2024")</f>
        <v>40</v>
      </c>
      <c r="N3" s="23">
        <f>COUNTIF(Index!$D$2:$D$4903,"CVPR 2025")</f>
        <v>32</v>
      </c>
      <c r="O3" s="22">
        <f>COUNTIF(Index!$D$2:$D$4903,"CVPR *")</f>
        <v>148</v>
      </c>
      <c r="P3" s="24"/>
    </row>
    <row r="4">
      <c r="A4" s="21" t="s">
        <v>8521</v>
      </c>
      <c r="B4" s="22">
        <f t="shared" si="2"/>
        <v>51</v>
      </c>
      <c r="C4" s="23">
        <f>COUNTIF(Index!$D$2:$D$4903,"CVPRW 2014")</f>
        <v>2</v>
      </c>
      <c r="D4" s="23">
        <f>COUNTIF(Index!$D$2:$D$4903,"CVPRW 2015")</f>
        <v>0</v>
      </c>
      <c r="E4" s="23">
        <f>COUNTIF(Index!$D$2:$D$4903,"CVPRW 2016")</f>
        <v>0</v>
      </c>
      <c r="F4" s="23">
        <f>COUNTIF(Index!$D$2:$D$4903,"CVPRW 2017")</f>
        <v>1</v>
      </c>
      <c r="G4" s="23">
        <f>COUNTIF(Index!$D$2:$D$4903,"CVPRW 2018")</f>
        <v>0</v>
      </c>
      <c r="H4" s="23">
        <f>COUNTIF(Index!$D$2:$D$4903,"CVPRW 2019")</f>
        <v>9</v>
      </c>
      <c r="I4" s="23">
        <f>COUNTIF(Index!$D$2:$D$4903,"CVPRW 2020")</f>
        <v>1</v>
      </c>
      <c r="J4" s="23">
        <f>COUNTIF(Index!$D$2:$D$4903,"CVPRW 2021")</f>
        <v>15</v>
      </c>
      <c r="K4" s="23">
        <f>COUNTIF(Index!$D$2:$D$4903,"CVPRW 2022")</f>
        <v>2</v>
      </c>
      <c r="L4" s="23">
        <f>COUNTIF(Index!$D$2:$D$4903,"CVPRW 2023")</f>
        <v>7</v>
      </c>
      <c r="M4" s="23">
        <f>COUNTIF(Index!$D$2:$D$4903,"CVPRW 2024")</f>
        <v>14</v>
      </c>
      <c r="N4" s="23">
        <f>COUNTIF(Index!$D$2:$D$4903,"CVPRW 2025")</f>
        <v>35</v>
      </c>
      <c r="O4" s="22">
        <f>COUNTIF(Index!$D$2:$D$4903,"CVPRW*")</f>
        <v>86</v>
      </c>
      <c r="P4" s="24"/>
    </row>
    <row r="5">
      <c r="A5" s="21" t="s">
        <v>8522</v>
      </c>
      <c r="B5" s="22">
        <f t="shared" si="2"/>
        <v>117</v>
      </c>
      <c r="C5" s="23">
        <f>COUNTIF(Index!$D$2:$D$4903,"ECCV 2014")</f>
        <v>0</v>
      </c>
      <c r="D5" s="23">
        <f>COUNTIF(Index!$D$2:$D$4903,"ICCV 2015")</f>
        <v>1</v>
      </c>
      <c r="E5" s="23">
        <f>COUNTIF(Index!$D$2:$D$4903,"ECCV 2016")</f>
        <v>1</v>
      </c>
      <c r="F5" s="23">
        <f>COUNTIF(Index!$D$2:$D$4903,"ICCV 2017")</f>
        <v>0</v>
      </c>
      <c r="G5" s="23">
        <f>COUNTIF(Index!$D$2:$D$4903,"ECCV 2018")</f>
        <v>3</v>
      </c>
      <c r="H5" s="23">
        <f>COUNTIF(Index!$D$2:$D$4903,"ICCV 2019")</f>
        <v>4</v>
      </c>
      <c r="I5" s="23">
        <f>COUNTIF(Index!$D$2:$D$4903,"ECCV 2020")</f>
        <v>11</v>
      </c>
      <c r="J5" s="23">
        <f>COUNTIF(Index!$D$2:$D$4903,"ICCV 2021")</f>
        <v>17</v>
      </c>
      <c r="K5" s="23">
        <f>COUNTIF(Index!$D$2:$D$4903,"ECCV 2022")</f>
        <v>14</v>
      </c>
      <c r="L5" s="23">
        <f>COUNTIF(Index!$D$2:$D$4903,"ICCV 2023")</f>
        <v>23</v>
      </c>
      <c r="M5" s="23">
        <f>COUNTIF(Index!$D$2:$D$4903,"ECCV 2024")</f>
        <v>43</v>
      </c>
      <c r="N5" s="23">
        <f>COUNTIF(Index!$D$2:$D$4903,"ICCV 2025")</f>
        <v>37</v>
      </c>
      <c r="O5" s="22">
        <f>COUNTIF(Index!$D$2:$D$4903,"ECCV *")+COUNTIF(Index!$D$2:$D$4903,"ICCV *")</f>
        <v>154</v>
      </c>
      <c r="P5" s="24"/>
    </row>
    <row r="6">
      <c r="A6" s="21" t="s">
        <v>8523</v>
      </c>
      <c r="B6" s="22">
        <f t="shared" si="2"/>
        <v>30</v>
      </c>
      <c r="C6" s="23">
        <f>COUNTIF(Index!$D$2:$D$4903,"ECCVW 2014")</f>
        <v>0</v>
      </c>
      <c r="D6" s="23">
        <f>COUNTIF(Index!$D$2:$D$4903,"ICCVW 2015")</f>
        <v>0</v>
      </c>
      <c r="E6" s="23">
        <f>COUNTIF(Index!$D$2:$D$4903,"ECCVW 2016")</f>
        <v>0</v>
      </c>
      <c r="F6" s="23">
        <f>COUNTIF(Index!$D$2:$D$4903,"ICCVW 2017")</f>
        <v>0</v>
      </c>
      <c r="G6" s="23">
        <f>COUNTIF(Index!$D$2:$D$4903,"ECCVW 2018")</f>
        <v>1</v>
      </c>
      <c r="H6" s="23">
        <f>COUNTIF(Index!$D$2:$D$4903,"ICCVW 2019")</f>
        <v>2</v>
      </c>
      <c r="I6" s="23">
        <f>COUNTIF(Index!$D$2:$D$4903,"ECCVW 2020")</f>
        <v>0</v>
      </c>
      <c r="J6" s="23">
        <f>COUNTIF(Index!$D$2:$D$4903,"ICCVW 2021")</f>
        <v>1</v>
      </c>
      <c r="K6" s="23">
        <f>COUNTIF(Index!$D$2:$D$4903,"ECCVW 2022")</f>
        <v>3</v>
      </c>
      <c r="L6" s="23">
        <f>COUNTIF(Index!$D$2:$D$4903,"ICCVW 2023")</f>
        <v>0</v>
      </c>
      <c r="M6" s="23">
        <f>COUNTIF(Index!$D$2:$D$4903,"ECCVW 2024")</f>
        <v>23</v>
      </c>
      <c r="N6" s="23">
        <f>COUNTIF(Index!$D$2:$D$4903,"ICCVW 2025")</f>
        <v>17</v>
      </c>
      <c r="O6" s="22">
        <f>COUNTIF(Index!$D$2:$D$4903,"ECCVW *")+COUNTIF(Index!$D$2:$D$4903,"ICCVW *")</f>
        <v>47</v>
      </c>
      <c r="P6" s="24"/>
    </row>
    <row r="7">
      <c r="A7" s="21" t="s">
        <v>8524</v>
      </c>
      <c r="B7" s="22">
        <f t="shared" si="2"/>
        <v>21</v>
      </c>
      <c r="C7" s="23">
        <f>COUNTIF(Index!$D$2:$D$4903,"BMVC 2014")</f>
        <v>1</v>
      </c>
      <c r="D7" s="23">
        <f>COUNTIF(Index!$D$2:$D$4903,"BMVC 2015")</f>
        <v>0</v>
      </c>
      <c r="E7" s="23">
        <f>COUNTIF(Index!$D$2:$D$4903,"BMVC 2016")</f>
        <v>2</v>
      </c>
      <c r="F7" s="23">
        <f>COUNTIF(Index!$D$2:$D$4903,"BMVC 2017")</f>
        <v>4</v>
      </c>
      <c r="G7" s="23">
        <f>COUNTIF(Index!$D$2:$D$4903,"BMVC 2018")</f>
        <v>3</v>
      </c>
      <c r="H7" s="23">
        <f>COUNTIF(Index!$D$2:$D$4903,"BMVC 2019")</f>
        <v>1</v>
      </c>
      <c r="I7" s="23">
        <f>COUNTIF(Index!$D$2:$D$4903,"BMVC 2020")</f>
        <v>2</v>
      </c>
      <c r="J7" s="23">
        <f>COUNTIF(Index!$D$2:$D$4903,"BMVC 2021")</f>
        <v>2</v>
      </c>
      <c r="K7" s="23">
        <f>COUNTIF(Index!$D$2:$D$4903,"BMVC 2022")</f>
        <v>5</v>
      </c>
      <c r="L7" s="23">
        <f>COUNTIF(Index!$D$2:$D$4903,"BMVC 2023")</f>
        <v>1</v>
      </c>
      <c r="M7" s="23">
        <f>COUNTIF(Index!$D$2:$D$4903,"BMVC 2024")</f>
        <v>0</v>
      </c>
      <c r="N7" s="23">
        <f>COUNTIF(Index!$D$2:$D$4903,"BMVC 2025")</f>
        <v>3</v>
      </c>
      <c r="O7" s="22">
        <f>COUNTIF(Index!$D$2:$D$4903,"BMVC *")</f>
        <v>24</v>
      </c>
      <c r="P7" s="24"/>
    </row>
    <row r="8">
      <c r="A8" s="21" t="s">
        <v>8525</v>
      </c>
      <c r="B8" s="22">
        <f t="shared" si="2"/>
        <v>22</v>
      </c>
      <c r="C8" s="23"/>
      <c r="D8" s="23"/>
      <c r="E8" s="23">
        <f>COUNTIF(Index!$D$2:$D$4903,"WACV 2016")+COUNTIF(Index!$D$2:$D$4903,"WACVW 2016")</f>
        <v>1</v>
      </c>
      <c r="F8" s="23">
        <f>COUNTIF(Index!$D$2:$D$4903,"WACV 2017")+COUNTIF(Index!$D$2:$D$4903,"WACVW 2017")</f>
        <v>0</v>
      </c>
      <c r="G8" s="23">
        <f>COUNTIF(Index!$D$2:$D$4903,"WACV 2018")+COUNTIF(Index!$D$2:$D$4903,"WACVW 2018")</f>
        <v>0</v>
      </c>
      <c r="H8" s="23">
        <f>COUNTIF(Index!$D$2:$D$4903,"WACV 2019")+COUNTIF(Index!$D$2:$D$4903,"WACVW 2019")</f>
        <v>2</v>
      </c>
      <c r="I8" s="23">
        <f>COUNTIF(Index!$D$2:$D$4903,"WACV 2020")+COUNTIF(Index!$D$2:$D$4903,"WACVW 2020")</f>
        <v>5</v>
      </c>
      <c r="J8" s="23">
        <f>COUNTIF(Index!$D$2:$D$4903,"WACV 2021")+COUNTIF(Index!$D$2:$D$4903,"WACVW 2021")</f>
        <v>0</v>
      </c>
      <c r="K8" s="23">
        <f>COUNTIF(Index!$D$2:$D$4903,"WACV 2022")+COUNTIF(Index!$D$2:$D$4903,"WACVW 2022")</f>
        <v>2</v>
      </c>
      <c r="L8" s="23">
        <f>COUNTIF(Index!$D$2:$D$4903,"WACV 2023")+COUNTIF(Index!$D$2:$D$4903,"WACVW 2023")</f>
        <v>3</v>
      </c>
      <c r="M8" s="23">
        <f>COUNTIF(Index!$D$2:$D$4903,"WACV 2024")+COUNTIF(Index!$D$2:$D$4903,"WACVW 2024")</f>
        <v>9</v>
      </c>
      <c r="N8" s="23">
        <f>COUNTIF(Index!$D$2:$D$4903,"WACV 2025")+COUNTIF(Index!$D$2:$D$4903,"WACVW 2025")</f>
        <v>12</v>
      </c>
      <c r="O8" s="22">
        <f>COUNTIF(Index!$D$2:$D$4903,"WACV *")+COUNTIF(Index!$D$2:$D$4903,"WACVW *")</f>
        <v>36</v>
      </c>
      <c r="P8" s="24"/>
    </row>
    <row r="9">
      <c r="A9" s="21" t="s">
        <v>8526</v>
      </c>
      <c r="B9" s="22">
        <f t="shared" si="2"/>
        <v>12</v>
      </c>
      <c r="C9" s="23"/>
      <c r="D9" s="23"/>
      <c r="E9" s="23"/>
      <c r="F9" s="23"/>
      <c r="G9" s="23">
        <f>COUNTIF(Index!$D$2:$D$4903,"3DV 2018")</f>
        <v>2</v>
      </c>
      <c r="H9" s="23">
        <f>COUNTIF(Index!$D$2:$D$4903,"3DV 2019")</f>
        <v>1</v>
      </c>
      <c r="I9" s="23">
        <f>COUNTIF(Index!$D$2:$D$4903,"3DV 2020")</f>
        <v>1</v>
      </c>
      <c r="J9" s="23">
        <f>COUNTIF(Index!$D$2:$D$4903,"3DV 2021")</f>
        <v>3</v>
      </c>
      <c r="K9" s="23">
        <f>COUNTIF(Index!$D$2:$D$4903,"3DV 2022")</f>
        <v>1</v>
      </c>
      <c r="L9" s="23">
        <f>COUNTIF(Index!$D$2:$D$4903,"3DV 2023")</f>
        <v>0</v>
      </c>
      <c r="M9" s="23">
        <f>COUNTIF(Index!$D$2:$D$4903,"3DV 2024")</f>
        <v>4</v>
      </c>
      <c r="N9" s="23">
        <f>COUNTIF(Index!$D$2:$D$4903,"3DV 2025")</f>
        <v>1</v>
      </c>
      <c r="O9" s="22">
        <f>COUNTIF(Index!$D$2:$D$4903,"3DV *")</f>
        <v>13</v>
      </c>
      <c r="P9" s="24"/>
    </row>
    <row r="10">
      <c r="A10" s="21" t="s">
        <v>8527</v>
      </c>
      <c r="B10" s="22">
        <f t="shared" si="2"/>
        <v>5</v>
      </c>
      <c r="C10" s="23"/>
      <c r="D10" s="23">
        <f>COUNTIF(Index!$D$2:$D$4903,"ICCP 2015")</f>
        <v>1</v>
      </c>
      <c r="E10" s="23">
        <f>COUNTIF(Index!$D$2:$D$4903,"ICCP 2016")</f>
        <v>0</v>
      </c>
      <c r="F10" s="23">
        <f>COUNTIF(Index!$D$2:$D$4903,"ICCP 2017")</f>
        <v>1</v>
      </c>
      <c r="G10" s="23">
        <f>COUNTIF(Index!$D$2:$D$4903,"ICCP 2018")</f>
        <v>0</v>
      </c>
      <c r="H10" s="23">
        <f>COUNTIF(Index!$D$2:$D$4903,"ICCP 2019")</f>
        <v>0</v>
      </c>
      <c r="I10" s="23">
        <f>COUNTIF(Index!$D$2:$D$4903,"ICCP 2020")</f>
        <v>1</v>
      </c>
      <c r="J10" s="23">
        <f>COUNTIF(Index!$D$2:$D$4903,"ICCP 2021")</f>
        <v>1</v>
      </c>
      <c r="K10" s="23">
        <f>COUNTIF(Index!$D$2:$D$4903,"ICCP 2022")</f>
        <v>0</v>
      </c>
      <c r="L10" s="23">
        <f>COUNTIF(Index!$D$2:$D$4903,"ICCP 2023")</f>
        <v>0</v>
      </c>
      <c r="M10" s="23">
        <f>COUNTIF(Index!$D$2:$D$4903,"ICCP 2024")</f>
        <v>1</v>
      </c>
      <c r="N10" s="23">
        <f>COUNTIF(Index!$D$2:$D$4903,"ICCP 2025")</f>
        <v>0</v>
      </c>
      <c r="O10" s="22">
        <f>COUNTIF(Index!$D$2:$D$4903,"ICCP *")</f>
        <v>5</v>
      </c>
      <c r="P10" s="24"/>
    </row>
    <row r="11">
      <c r="A11" s="21" t="s">
        <v>8528</v>
      </c>
      <c r="B11" s="22">
        <f t="shared" si="2"/>
        <v>26</v>
      </c>
      <c r="C11" s="23">
        <f>COUNTIF(Index!$D$2:$D$4903,"ICIP 2014")</f>
        <v>2</v>
      </c>
      <c r="D11" s="23">
        <f>COUNTIF(Index!$D$2:$D$4903,"ICIP 2015")</f>
        <v>1</v>
      </c>
      <c r="E11" s="23">
        <f>COUNTIF(Index!$D$2:$D$4903,"ICIP 2016")</f>
        <v>2</v>
      </c>
      <c r="F11" s="23">
        <f>COUNTIF(Index!$D$2:$D$4903,"ICIP 2017")</f>
        <v>0</v>
      </c>
      <c r="G11" s="23">
        <f>COUNTIF(Index!$D$2:$D$4903,"ICIP 2018")</f>
        <v>0</v>
      </c>
      <c r="H11" s="23">
        <f>COUNTIF(Index!$D$2:$D$4903,"ICIP 2019")</f>
        <v>0</v>
      </c>
      <c r="I11" s="23">
        <f>COUNTIF(Index!$D$2:$D$4903,"ICIP 2020")</f>
        <v>3</v>
      </c>
      <c r="J11" s="23">
        <f>COUNTIF(Index!$D$2:$D$4903,"ICIP 2021")</f>
        <v>3</v>
      </c>
      <c r="K11" s="23">
        <f>COUNTIF(Index!$D$2:$D$4903,"ICIP 2022")</f>
        <v>6</v>
      </c>
      <c r="L11" s="23">
        <f>COUNTIF(Index!$D$2:$D$4903,"ICIP 2023")</f>
        <v>4</v>
      </c>
      <c r="M11" s="23">
        <f>COUNTIF(Index!$D$2:$D$4903,"ICIP 2024")</f>
        <v>5</v>
      </c>
      <c r="N11" s="23">
        <f>COUNTIF(Index!$D$2:$D$4903,"ICIP 2025")</f>
        <v>6</v>
      </c>
      <c r="O11" s="22">
        <f>COUNTIF(Index!$D$2:$D$4903,"ICIP *")</f>
        <v>32</v>
      </c>
      <c r="P11" s="24"/>
    </row>
    <row r="12">
      <c r="A12" s="21" t="s">
        <v>8529</v>
      </c>
      <c r="B12" s="22">
        <f t="shared" si="2"/>
        <v>7</v>
      </c>
      <c r="C12" s="23"/>
      <c r="D12" s="23"/>
      <c r="E12" s="23"/>
      <c r="F12" s="23"/>
      <c r="G12" s="23"/>
      <c r="H12" s="23">
        <f>COUNTIF(Index!$D$2:$D$4903,"ICASSP 2019")</f>
        <v>1</v>
      </c>
      <c r="I12" s="23">
        <f>COUNTIF(Index!$D$2:$D$4903,"ICASSP 2020")</f>
        <v>1</v>
      </c>
      <c r="J12" s="23">
        <f>COUNTIF(Index!$D$2:$D$4903,"ICASSP 2021")</f>
        <v>0</v>
      </c>
      <c r="K12" s="23">
        <f>COUNTIF(Index!$D$2:$D$4903,"ICASSP 2022")</f>
        <v>1</v>
      </c>
      <c r="L12" s="23">
        <f>COUNTIF(Index!$D$2:$D$4903,"ICASSP 2023")</f>
        <v>2</v>
      </c>
      <c r="M12" s="23">
        <f>COUNTIF(Index!$D$2:$D$4903,"ICASSP 2024")</f>
        <v>2</v>
      </c>
      <c r="N12" s="23">
        <f>COUNTIF(Index!$D$2:$D$4903,"ICASSP 2025")</f>
        <v>8</v>
      </c>
      <c r="O12" s="22">
        <f>COUNTIF(Index!$D$2:$D$4903,"ICASSP *")</f>
        <v>15</v>
      </c>
      <c r="P12" s="24"/>
    </row>
    <row r="13">
      <c r="A13" s="21" t="s">
        <v>8530</v>
      </c>
      <c r="B13" s="22">
        <f t="shared" si="2"/>
        <v>4</v>
      </c>
      <c r="C13" s="23"/>
      <c r="D13" s="23"/>
      <c r="E13" s="23"/>
      <c r="F13" s="23"/>
      <c r="G13" s="23"/>
      <c r="H13" s="23"/>
      <c r="I13" s="23"/>
      <c r="J13" s="23">
        <f>COUNTIF(Index!$D$2:$D$4903,"IJCAI 2021")</f>
        <v>2</v>
      </c>
      <c r="K13" s="23">
        <f>COUNTIF(Index!$D$2:$D$4903,"IJCAI 2022")</f>
        <v>0</v>
      </c>
      <c r="L13" s="23">
        <f>COUNTIF(Index!$D$2:$D$4903,"IJCAI 2023")</f>
        <v>0</v>
      </c>
      <c r="M13" s="23">
        <f>COUNTIF(Index!$D$2:$D$4903,"IJCAI 2024")</f>
        <v>2</v>
      </c>
      <c r="N13" s="23">
        <f>COUNTIF(Index!$D$2:$D$4903,"IJCAI 2025")</f>
        <v>1</v>
      </c>
      <c r="O13" s="22">
        <f>COUNTIF(Index!$D$2:$D$4903,"IJCAI *")</f>
        <v>5</v>
      </c>
      <c r="P13" s="24"/>
    </row>
    <row r="14">
      <c r="A14" s="21" t="s">
        <v>8531</v>
      </c>
      <c r="B14" s="22">
        <f t="shared" si="2"/>
        <v>22</v>
      </c>
      <c r="C14" s="23"/>
      <c r="D14" s="23"/>
      <c r="E14" s="23"/>
      <c r="F14" s="23"/>
      <c r="G14" s="23"/>
      <c r="H14" s="23"/>
      <c r="I14" s="23"/>
      <c r="J14" s="23">
        <f>COUNTIF(Index!$D$2:$D$4903,"IJCNN 2021")</f>
        <v>3</v>
      </c>
      <c r="K14" s="23">
        <f>COUNTIF(Index!$D$2:$D$4903,"IJCNN 2022")</f>
        <v>6</v>
      </c>
      <c r="L14" s="23">
        <f>COUNTIF(Index!$D$2:$D$4903,"IJCNN 2023")</f>
        <v>2</v>
      </c>
      <c r="M14" s="23">
        <f>COUNTIF(Index!$D$2:$D$4903,"IJCNN 2024")</f>
        <v>11</v>
      </c>
      <c r="N14" s="23">
        <f>COUNTIF(Index!$D$2:$D$4903,"IJCNN 2025")</f>
        <v>9</v>
      </c>
      <c r="O14" s="22">
        <f>COUNTIF(Index!$D$2:$D$4903,"IJCNN *")</f>
        <v>31</v>
      </c>
      <c r="P14" s="24"/>
    </row>
    <row r="15">
      <c r="A15" s="21" t="s">
        <v>8532</v>
      </c>
      <c r="B15" s="22">
        <f t="shared" si="2"/>
        <v>19</v>
      </c>
      <c r="C15" s="23"/>
      <c r="D15" s="23"/>
      <c r="E15" s="23"/>
      <c r="F15" s="23"/>
      <c r="G15" s="23">
        <f>COUNTIF(Index!$D$2:$D$4903,"Neurips 2018")</f>
        <v>1</v>
      </c>
      <c r="H15" s="23">
        <f>COUNTIF(Index!$D$2:$D$4903,"Neurips 2019")</f>
        <v>0</v>
      </c>
      <c r="I15" s="23">
        <f>COUNTIF(Index!$D$2:$D$4903,"Neurips 2020")</f>
        <v>1</v>
      </c>
      <c r="J15" s="23">
        <f>COUNTIF(Index!$D$2:$D$4903,"Neurips 2021")</f>
        <v>2</v>
      </c>
      <c r="K15" s="23">
        <f>COUNTIF(Index!$D$2:$D$4903,"Neurips 2022")</f>
        <v>2</v>
      </c>
      <c r="L15" s="23">
        <f>COUNTIF(Index!$D$2:$D$4903,"Neurips 2023")</f>
        <v>4</v>
      </c>
      <c r="M15" s="23">
        <f>COUNTIF(Index!$D$2:$D$4903,"Neurips 2024")</f>
        <v>9</v>
      </c>
      <c r="N15" s="23">
        <f>COUNTIF(Index!$D$2:$D$4903,"Neurips 2025")</f>
        <v>23</v>
      </c>
      <c r="O15" s="22">
        <f>COUNTIF(Index!$D$2:$D$4903,"Neurips 20*")</f>
        <v>42</v>
      </c>
      <c r="P15" s="24"/>
    </row>
    <row r="16">
      <c r="A16" s="21" t="s">
        <v>8533</v>
      </c>
      <c r="B16" s="22">
        <f t="shared" si="2"/>
        <v>2</v>
      </c>
      <c r="C16" s="23"/>
      <c r="D16" s="23"/>
      <c r="E16" s="23"/>
      <c r="F16" s="23"/>
      <c r="G16" s="23"/>
      <c r="H16" s="23"/>
      <c r="I16" s="23">
        <f>COUNTIF(Index!$D$2:$D$4903,"Neurips Workshop 2020")</f>
        <v>0</v>
      </c>
      <c r="J16" s="23">
        <f>COUNTIF(Index!$D$2:$D$4903,"Neurips Workshop 2021")</f>
        <v>0</v>
      </c>
      <c r="K16" s="23">
        <f>COUNTIF(Index!$D$2:$D$4903,"Neurips Workshop 2022")</f>
        <v>1</v>
      </c>
      <c r="L16" s="23">
        <f>COUNTIF(Index!$D$2:$D$4903,"Neurips Workshop 2023")</f>
        <v>1</v>
      </c>
      <c r="M16" s="23">
        <f>COUNTIF(Index!$D$2:$D$4903,"Neurips Workshop 2024")</f>
        <v>0</v>
      </c>
      <c r="N16" s="23">
        <f>COUNTIF(Index!$D$2:$D$4903,"Neurips Workshop 2025")</f>
        <v>0</v>
      </c>
      <c r="O16" s="22">
        <f>COUNTIF(Index!$D$2:$D$4903,"Neurips Workshop 20*")</f>
        <v>2</v>
      </c>
      <c r="P16" s="24"/>
    </row>
    <row r="17">
      <c r="A17" s="21" t="s">
        <v>8534</v>
      </c>
      <c r="B17" s="22">
        <f t="shared" si="2"/>
        <v>14</v>
      </c>
      <c r="C17" s="23"/>
      <c r="D17" s="23"/>
      <c r="E17" s="23"/>
      <c r="F17" s="23"/>
      <c r="G17" s="23"/>
      <c r="H17" s="23"/>
      <c r="I17" s="23">
        <f>COUNTIF(Index!$D$2:$D$4903,"AAAI 2020")</f>
        <v>2</v>
      </c>
      <c r="J17" s="23">
        <f>COUNTIF(Index!$D$2:$D$4903,"AAAI 2021")</f>
        <v>1</v>
      </c>
      <c r="K17" s="23">
        <f>COUNTIF(Index!$D$2:$D$4903,"AAAI 2022")</f>
        <v>4</v>
      </c>
      <c r="L17" s="23">
        <f>COUNTIF(Index!$D$2:$D$4903,"AAAI 2023")</f>
        <v>2</v>
      </c>
      <c r="M17" s="23">
        <f>COUNTIF(Index!$D$2:$D$4903,"AAAI 2024")</f>
        <v>5</v>
      </c>
      <c r="N17" s="23">
        <f>COUNTIF(Index!$D$2:$D$4903,"AAAI 2025")</f>
        <v>20</v>
      </c>
      <c r="O17" s="22">
        <f>COUNTIF(Index!$D$2:$D$4903,"AAAI *")</f>
        <v>35</v>
      </c>
      <c r="P17" s="24"/>
    </row>
    <row r="18">
      <c r="A18" s="21" t="s">
        <v>8535</v>
      </c>
      <c r="B18" s="22">
        <f t="shared" si="2"/>
        <v>9</v>
      </c>
      <c r="C18" s="23"/>
      <c r="D18" s="23">
        <f>COUNTIF(Index!$D$2:$D$4903,"RSS 2015")</f>
        <v>1</v>
      </c>
      <c r="E18" s="23">
        <f>COUNTIF(Index!$D$2:$D$4903,"RSS 2016")</f>
        <v>0</v>
      </c>
      <c r="F18" s="23">
        <f>COUNTIF(Index!$D$2:$D$4903,"RSS 2017")</f>
        <v>1</v>
      </c>
      <c r="G18" s="23">
        <f>COUNTIF(Index!$D$2:$D$4903,"RSS 2018")</f>
        <v>1</v>
      </c>
      <c r="H18" s="23">
        <f>COUNTIF(Index!$D$2:$D$4903,"RSS 2019")</f>
        <v>1</v>
      </c>
      <c r="I18" s="23">
        <f>COUNTIF(Index!$D$2:$D$4903,"RSS 2020")</f>
        <v>2</v>
      </c>
      <c r="J18" s="23">
        <f>COUNTIF(Index!$D$2:$D$4903,"RSS 2021")</f>
        <v>1</v>
      </c>
      <c r="K18" s="23">
        <f>COUNTIF(Index!$D$2:$D$4903,"RSS 2022")</f>
        <v>0</v>
      </c>
      <c r="L18" s="23">
        <f>COUNTIF(Index!$D$2:$D$4903,"RSS 2023")</f>
        <v>0</v>
      </c>
      <c r="M18" s="23">
        <f>COUNTIF(Index!$D$2:$D$4903,"RSS 2024")</f>
        <v>2</v>
      </c>
      <c r="N18" s="23">
        <f>COUNTIF(Index!$D$2:$D$4903,"RSS 2025")</f>
        <v>0</v>
      </c>
      <c r="O18" s="22">
        <f>COUNTIF(Index!$D$2:$D$4903,"RSS *")</f>
        <v>9</v>
      </c>
      <c r="P18" s="24"/>
    </row>
    <row r="19">
      <c r="A19" s="21" t="s">
        <v>8536</v>
      </c>
      <c r="B19" s="22">
        <f t="shared" si="2"/>
        <v>64</v>
      </c>
      <c r="C19" s="23">
        <f>COUNTIF(Index!$D$2:$D$4903,"ICRA 2014")+COUNTIF(Index!$D$2:$D$4903,"ICRAW 2014")</f>
        <v>3</v>
      </c>
      <c r="D19" s="23">
        <f>COUNTIF(Index!$D$2:$D$4903,"ICRA 2015")+COUNTIF(Index!$D$2:$D$4903,"ICRAW 2015")</f>
        <v>1</v>
      </c>
      <c r="E19" s="23">
        <f>COUNTIF(Index!$D$2:$D$4903,"ICRA 2016")+COUNTIF(Index!$D$2:$D$4903,"ICRAW 2016")</f>
        <v>1</v>
      </c>
      <c r="F19" s="23">
        <f>COUNTIF(Index!$D$2:$D$4903,"ICRA 2017")+COUNTIF(Index!$D$2:$D$4903,"ICRAW 2017")</f>
        <v>1</v>
      </c>
      <c r="G19" s="23">
        <f>COUNTIF(Index!$D$2:$D$4903,"ICRA 2018")+COUNTIF(Index!$D$2:$D$4903,"ICRAW 2018")</f>
        <v>1</v>
      </c>
      <c r="H19" s="23">
        <f>COUNTIF(Index!$D$2:$D$4903,"ICRA 2019")+COUNTIF(Index!$D$2:$D$4903,"ICRAW 2019")</f>
        <v>4</v>
      </c>
      <c r="I19" s="23">
        <f>COUNTIF(Index!$D$2:$D$4903,"ICRA 2020")+COUNTIF(Index!$D$2:$D$4903,"ICRAW 2020")</f>
        <v>7</v>
      </c>
      <c r="J19" s="23">
        <f>COUNTIF(Index!$D$2:$D$4903,"ICRA 2021")+COUNTIF(Index!$D$2:$D$4903,"ICRAW 2021")</f>
        <v>5</v>
      </c>
      <c r="K19" s="23">
        <f>COUNTIF(Index!$D$2:$D$4903,"ICRA 2022")+COUNTIF(Index!$D$2:$D$4903,"ICRAW 2022")</f>
        <v>9</v>
      </c>
      <c r="L19" s="23">
        <f>COUNTIF(Index!$D$2:$D$4903,"ICRA 2023")+COUNTIF(Index!$D$2:$D$4903,"ICRAW 2023")</f>
        <v>15</v>
      </c>
      <c r="M19" s="23">
        <f>COUNTIF(Index!$D$2:$D$4903,"ICRA 2024")+COUNTIF(Index!$D$2:$D$4903,"ICRAW 2024")</f>
        <v>17</v>
      </c>
      <c r="N19" s="23">
        <f>COUNTIF(Index!$D$2:$D$4903,"ICRA 2025")+COUNTIF(Index!$D$2:$D$4903,"ICRAW 2025")</f>
        <v>19</v>
      </c>
      <c r="O19" s="22">
        <f>COUNTIF(Index!$D$2:$D$4903,"ICRA *")+COUNTIF(Index!$D$2:$D$4903,"ICRAW *")</f>
        <v>83</v>
      </c>
      <c r="P19" s="24"/>
    </row>
    <row r="20">
      <c r="A20" s="21" t="s">
        <v>8537</v>
      </c>
      <c r="B20" s="22">
        <f t="shared" si="2"/>
        <v>60</v>
      </c>
      <c r="C20" s="23">
        <f>COUNTIF(Index!$D$2:$D$4903,"IROS 2014")+COUNTIF(Index!$D$2:$D$4903,"IROSW 2014")</f>
        <v>1</v>
      </c>
      <c r="D20" s="23">
        <f>COUNTIF(Index!$D$2:$D$4903,"IROS 2015")+COUNTIF(Index!$D$2:$D$4903,"IROSW 2015")</f>
        <v>1</v>
      </c>
      <c r="E20" s="23">
        <f>COUNTIF(Index!$D$2:$D$4903,"IROS 2016")+COUNTIF(Index!$D$2:$D$4903,"IROSW 2016")</f>
        <v>3</v>
      </c>
      <c r="F20" s="23">
        <f>COUNTIF(Index!$D$2:$D$4903,"IROS 2017")+COUNTIF(Index!$D$2:$D$4903,"IROSW 2017")</f>
        <v>1</v>
      </c>
      <c r="G20" s="23">
        <f>COUNTIF(Index!$D$2:$D$4903,"IROS 2018")+COUNTIF(Index!$D$2:$D$4903,"IROSW 2018")</f>
        <v>3</v>
      </c>
      <c r="H20" s="23">
        <f>COUNTIF(Index!$D$2:$D$4903,"IROS 2019")+COUNTIF(Index!$D$2:$D$4903,"IROSW 2019")</f>
        <v>4</v>
      </c>
      <c r="I20" s="23">
        <f>COUNTIF(Index!$D$2:$D$4903,"IROS 2020")+COUNTIF(Index!$D$2:$D$4903,"IROSW 2020")</f>
        <v>5</v>
      </c>
      <c r="J20" s="23">
        <f>COUNTIF(Index!$D$2:$D$4903,"IROS 2021")+COUNTIF(Index!$D$2:$D$4903,"IROSW 2021")</f>
        <v>15</v>
      </c>
      <c r="K20" s="23">
        <f>COUNTIF(Index!$D$2:$D$4903,"IROS 2022")+COUNTIF(Index!$D$2:$D$4903,"IROSW 2022")</f>
        <v>6</v>
      </c>
      <c r="L20" s="23">
        <f>COUNTIF(Index!$D$2:$D$4903,"IROS 2023")+COUNTIF(Index!$D$2:$D$4903,"IROSW 2023")</f>
        <v>7</v>
      </c>
      <c r="M20" s="23">
        <f>COUNTIF(Index!$D$2:$D$4903,"IROS 2024")+COUNTIF(Index!$D$2:$D$4903,"IROSW 2024")</f>
        <v>14</v>
      </c>
      <c r="N20" s="23">
        <f>COUNTIF(Index!$D$2:$D$4903,"IROS 2025")+COUNTIF(Index!$D$2:$D$4903,"IROSW 2025")</f>
        <v>20</v>
      </c>
      <c r="O20" s="22">
        <f>COUNTIF(Index!$D$2:$D$4903,"IROS *")+COUNTIF(Index!$D$2:$D$4903,"IROSW *")</f>
        <v>80</v>
      </c>
      <c r="P20" s="24"/>
    </row>
    <row r="21">
      <c r="A21" s="21" t="s">
        <v>8538</v>
      </c>
      <c r="B21" s="22">
        <f t="shared" si="2"/>
        <v>3</v>
      </c>
      <c r="C21" s="23" t="s">
        <v>8539</v>
      </c>
      <c r="D21" s="23" t="s">
        <v>8539</v>
      </c>
      <c r="E21" s="23" t="s">
        <v>8539</v>
      </c>
      <c r="F21" s="23">
        <v>0.0</v>
      </c>
      <c r="G21" s="23">
        <v>1.0</v>
      </c>
      <c r="H21" s="23">
        <v>0.0</v>
      </c>
      <c r="I21" s="23">
        <v>0.0</v>
      </c>
      <c r="J21" s="23">
        <v>0.0</v>
      </c>
      <c r="K21" s="23">
        <v>0.0</v>
      </c>
      <c r="L21" s="23">
        <v>1.0</v>
      </c>
      <c r="M21" s="23">
        <v>1.0</v>
      </c>
      <c r="N21" s="23"/>
      <c r="O21" s="22">
        <f>COUNTIF(Index!$D$2:$D$4903,"CoRL *")</f>
        <v>2</v>
      </c>
      <c r="P21" s="24"/>
    </row>
    <row r="22">
      <c r="A22" s="21" t="s">
        <v>8540</v>
      </c>
      <c r="B22" s="22">
        <f t="shared" si="2"/>
        <v>43</v>
      </c>
      <c r="C22" s="23"/>
      <c r="D22" s="23">
        <f>COUNTIF(Index!$D$2:$D$4903,"TPAMI 2015")</f>
        <v>1</v>
      </c>
      <c r="E22" s="23">
        <f>COUNTIF(Index!$D$2:$D$4903,"TPAMI 2016")</f>
        <v>0</v>
      </c>
      <c r="F22" s="23">
        <f>COUNTIF(Index!$D$2:$D$4903,"TPAMI 2017")</f>
        <v>1</v>
      </c>
      <c r="G22" s="23">
        <f>COUNTIF(Index!$D$2:$D$4903,"TPAMI 2018")</f>
        <v>1</v>
      </c>
      <c r="H22" s="23">
        <f>COUNTIF(Index!$D$2:$D$4903,"TPAMI 2019")</f>
        <v>2</v>
      </c>
      <c r="I22" s="23">
        <f>COUNTIF(Index!$D$2:$D$4903,"TPAMI 2020")</f>
        <v>4</v>
      </c>
      <c r="J22" s="23">
        <f>COUNTIF(Index!$D$2:$D$4903,"TPAMI 2021")</f>
        <v>8</v>
      </c>
      <c r="K22" s="23">
        <f>COUNTIF(Index!$D$2:$D$4903,"TPAMI 2022")</f>
        <v>6</v>
      </c>
      <c r="L22" s="23">
        <f>COUNTIF(Index!$D$2:$D$4903,"TPAMI 2023")</f>
        <v>9</v>
      </c>
      <c r="M22" s="23">
        <f>COUNTIF(Index!$D$2:$D$4903,"TPAMI 2024")</f>
        <v>11</v>
      </c>
      <c r="N22" s="23">
        <f>COUNTIF(Index!$D$2:$D$4903,"TPAMI 2025")</f>
        <v>13</v>
      </c>
      <c r="O22" s="22">
        <f>COUNTIF(Index!$D$2:$D$4903,"TPAMI *")</f>
        <v>56</v>
      </c>
      <c r="P22" s="24"/>
    </row>
    <row r="23">
      <c r="A23" s="21" t="s">
        <v>8541</v>
      </c>
      <c r="B23" s="22">
        <f t="shared" si="2"/>
        <v>8</v>
      </c>
      <c r="C23" s="23"/>
      <c r="D23" s="23"/>
      <c r="E23" s="23"/>
      <c r="F23" s="23">
        <f>COUNTIF(Index!$D$2:$D$4903,"IJCV 2017")</f>
        <v>0</v>
      </c>
      <c r="G23" s="23">
        <f>COUNTIF(Index!$D$2:$D$4903,"IJCV 2018")</f>
        <v>2</v>
      </c>
      <c r="H23" s="23">
        <f>COUNTIF(Index!$D$2:$D$4903,"IJCV 2019")</f>
        <v>1</v>
      </c>
      <c r="I23" s="23">
        <f>COUNTIF(Index!$D$2:$D$4903,"IJCV 2020")</f>
        <v>0</v>
      </c>
      <c r="J23" s="23">
        <f>COUNTIF(Index!$D$2:$D$4903,"IJCV 2021")</f>
        <v>0</v>
      </c>
      <c r="K23" s="23">
        <f>COUNTIF(Index!$D$2:$D$4903,"IJCV 2022")</f>
        <v>0</v>
      </c>
      <c r="L23" s="23">
        <f>COUNTIF(Index!$D$2:$D$4903,"IJCV 2023")</f>
        <v>2</v>
      </c>
      <c r="M23" s="23">
        <f>COUNTIF(Index!$D$2:$D$4903,"IJCV 2024")</f>
        <v>3</v>
      </c>
      <c r="N23" s="23">
        <f>COUNTIF(Index!$D$2:$D$4903,"IJCV 2025")</f>
        <v>6</v>
      </c>
      <c r="O23" s="22">
        <f>COUNTIF(Index!$D$2:$D$4903,"IJCV *")</f>
        <v>16</v>
      </c>
      <c r="P23" s="24"/>
    </row>
    <row r="24">
      <c r="A24" s="21" t="s">
        <v>8542</v>
      </c>
      <c r="B24" s="22">
        <f t="shared" si="2"/>
        <v>17</v>
      </c>
      <c r="C24" s="23"/>
      <c r="D24" s="23"/>
      <c r="E24" s="23"/>
      <c r="F24" s="23">
        <f>COUNTIF(Index!$D$2:$D$4903,"TIP 2017")</f>
        <v>1</v>
      </c>
      <c r="G24" s="23">
        <f>COUNTIF(Index!$D$2:$D$4903,"TIP 2018")</f>
        <v>0</v>
      </c>
      <c r="H24" s="23">
        <f>COUNTIF(Index!$D$2:$D$4903,"TIP 2019")</f>
        <v>0</v>
      </c>
      <c r="I24" s="23">
        <f>COUNTIF(Index!$D$2:$D$4903,"TIP 2020")</f>
        <v>1</v>
      </c>
      <c r="J24" s="23">
        <f>COUNTIF(Index!$D$2:$D$4903,"TIP 2021")</f>
        <v>2</v>
      </c>
      <c r="K24" s="23">
        <f>COUNTIF(Index!$D$2:$D$4903,"TIP 2022")</f>
        <v>3</v>
      </c>
      <c r="L24" s="23">
        <f>COUNTIF(Index!$D$2:$D$4903,"TIP 2023")</f>
        <v>3</v>
      </c>
      <c r="M24" s="23">
        <f>COUNTIF(Index!$D$2:$D$4903,"TIP 2024")</f>
        <v>7</v>
      </c>
      <c r="N24" s="23">
        <f>COUNTIF(Index!$D$2:$D$4903,"TIP 2025")</f>
        <v>2</v>
      </c>
      <c r="O24" s="22">
        <f>COUNTIF(Index!$D$2:$D$4903,"TIP *")</f>
        <v>19</v>
      </c>
      <c r="P24" s="24"/>
    </row>
    <row r="25">
      <c r="A25" s="21" t="s">
        <v>8543</v>
      </c>
      <c r="B25" s="22">
        <f t="shared" si="2"/>
        <v>14</v>
      </c>
      <c r="C25" s="23"/>
      <c r="D25" s="23"/>
      <c r="E25" s="23"/>
      <c r="F25" s="23">
        <f>COUNTIF(Index!$D$2:$D$4903,"TCSVT 2017")</f>
        <v>0</v>
      </c>
      <c r="G25" s="23">
        <f>COUNTIF(Index!$D$2:$D$4903,"TCSVT 2018")</f>
        <v>1</v>
      </c>
      <c r="H25" s="23">
        <f>COUNTIF(Index!$D$2:$D$4903,"TCSVT 2019")</f>
        <v>0</v>
      </c>
      <c r="I25" s="23">
        <f>COUNTIF(Index!$D$2:$D$4903,"TCSVT 2020")</f>
        <v>0</v>
      </c>
      <c r="J25" s="23">
        <f>COUNTIF(Index!$D$2:$D$4903,"TCSVT 2021")</f>
        <v>2</v>
      </c>
      <c r="K25" s="23">
        <f>COUNTIF(Index!$D$2:$D$4903,"TCSVT 2022")</f>
        <v>3</v>
      </c>
      <c r="L25" s="23">
        <f>COUNTIF(Index!$D$2:$D$4903,"TCSVT 2023")</f>
        <v>2</v>
      </c>
      <c r="M25" s="23">
        <f>COUNTIF(Index!$D$2:$D$4903,"TCSVT 2024")</f>
        <v>6</v>
      </c>
      <c r="N25" s="23">
        <f>COUNTIF(Index!$D$2:$D$4903,"TCSVT 2025")</f>
        <v>10</v>
      </c>
      <c r="O25" s="22">
        <f>COUNTIF(Index!$D$2:$D$4903,"TCSVT *")</f>
        <v>24</v>
      </c>
      <c r="P25" s="24"/>
    </row>
    <row r="26">
      <c r="A26" s="21" t="s">
        <v>8544</v>
      </c>
      <c r="B26" s="22">
        <f t="shared" si="2"/>
        <v>5</v>
      </c>
      <c r="C26" s="23"/>
      <c r="D26" s="23"/>
      <c r="E26" s="23"/>
      <c r="F26" s="23">
        <f>COUNTIF(Index!$D$2:$D$4903,"TCI 2017")</f>
        <v>0</v>
      </c>
      <c r="G26" s="23">
        <f>COUNTIF(Index!$D$2:$D$4903,"TCI 2018")</f>
        <v>0</v>
      </c>
      <c r="H26" s="23">
        <f>COUNTIF(Index!$D$2:$D$4903,"TCI 2019")</f>
        <v>2</v>
      </c>
      <c r="I26" s="23">
        <f>COUNTIF(Index!$D$2:$D$4903,"TCI 2020")</f>
        <v>1</v>
      </c>
      <c r="J26" s="23">
        <f>COUNTIF(Index!$D$2:$D$4903,"TCI 2021")</f>
        <v>0</v>
      </c>
      <c r="K26" s="23">
        <f>COUNTIF(Index!$D$2:$D$4903,"TCI 2022")</f>
        <v>1</v>
      </c>
      <c r="L26" s="23">
        <f>COUNTIF(Index!$D$2:$D$4903,"TCI 2023")</f>
        <v>1</v>
      </c>
      <c r="M26" s="23">
        <f>COUNTIF(Index!$D$2:$D$4903,"TCI 2024")</f>
        <v>0</v>
      </c>
      <c r="N26" s="23">
        <f>COUNTIF(Index!$D$2:$D$4903,"TCI 2025")</f>
        <v>0</v>
      </c>
      <c r="O26" s="22">
        <f>COUNTIF(Index!$D$2:$D$4903,"TCI *")</f>
        <v>5</v>
      </c>
      <c r="P26" s="24"/>
    </row>
    <row r="27">
      <c r="A27" s="21" t="s">
        <v>8545</v>
      </c>
      <c r="B27" s="22">
        <f t="shared" si="2"/>
        <v>7</v>
      </c>
      <c r="C27" s="23"/>
      <c r="D27" s="23"/>
      <c r="E27" s="23"/>
      <c r="F27" s="23">
        <f>COUNTIF(Index!$D$2:$D$4903,"TIM 2017")</f>
        <v>0</v>
      </c>
      <c r="G27" s="23">
        <f>COUNTIF(Index!$D$2:$D$4903,"TIM 2018")</f>
        <v>0</v>
      </c>
      <c r="H27" s="23">
        <f>COUNTIF(Index!$D$2:$D$4903,"TIM 2019")</f>
        <v>0</v>
      </c>
      <c r="I27" s="23">
        <f>COUNTIF(Index!$D$2:$D$4903,"TIM 2020")</f>
        <v>0</v>
      </c>
      <c r="J27" s="23">
        <f>COUNTIF(Index!$D$2:$D$4903,"TIM 2021")</f>
        <v>1</v>
      </c>
      <c r="K27" s="23">
        <f>COUNTIF(Index!$D$2:$D$4903,"TIM 2022")</f>
        <v>1</v>
      </c>
      <c r="L27" s="23">
        <f>COUNTIF(Index!$D$2:$D$4903,"TIM 2023")</f>
        <v>2</v>
      </c>
      <c r="M27" s="23">
        <f>COUNTIF(Index!$D$2:$D$4903,"TIM 2024")</f>
        <v>3</v>
      </c>
      <c r="N27" s="23">
        <f>COUNTIF(Index!$D$2:$D$4903,"TIM 2025")</f>
        <v>4</v>
      </c>
      <c r="O27" s="22">
        <f>COUNTIF(Index!$D$2:$D$4903,"TIM *")</f>
        <v>12</v>
      </c>
      <c r="P27" s="24"/>
    </row>
    <row r="28">
      <c r="A28" s="21" t="s">
        <v>8546</v>
      </c>
      <c r="B28" s="22">
        <f t="shared" si="2"/>
        <v>1</v>
      </c>
      <c r="C28" s="23"/>
      <c r="D28" s="23"/>
      <c r="E28" s="23"/>
      <c r="F28" s="23">
        <f>COUNTIF(Index!$D$2:$D$4903,"TCYB 2017")</f>
        <v>0</v>
      </c>
      <c r="G28" s="23">
        <f>COUNTIF(Index!$D$2:$D$4903,"TCYB 2018")</f>
        <v>0</v>
      </c>
      <c r="H28" s="23">
        <f>COUNTIF(Index!$D$2:$D$4903,"TCYB 2019")</f>
        <v>0</v>
      </c>
      <c r="I28" s="23">
        <f>COUNTIF(Index!$D$2:$D$4903,"TCYB 2020")</f>
        <v>0</v>
      </c>
      <c r="J28" s="23">
        <f>COUNTIF(Index!$D$2:$D$4903,"TCYB 2021")</f>
        <v>0</v>
      </c>
      <c r="K28" s="23">
        <f>COUNTIF(Index!$D$2:$D$4903,"TCYB 2022")</f>
        <v>1</v>
      </c>
      <c r="L28" s="23">
        <f>COUNTIF(Index!$D$2:$D$4903,"TCYB 2023")</f>
        <v>0</v>
      </c>
      <c r="M28" s="23">
        <f>COUNTIF(Index!$D$2:$D$4903,"TCYB 2024")</f>
        <v>0</v>
      </c>
      <c r="N28" s="23">
        <f>COUNTIF(Index!$D$2:$D$4903,"TCYB 2025")</f>
        <v>0</v>
      </c>
      <c r="O28" s="22">
        <f>COUNTIF(Index!$D$2:$D$4903,"TCYB *")</f>
        <v>1</v>
      </c>
      <c r="P28" s="24"/>
    </row>
    <row r="29">
      <c r="A29" s="21" t="s">
        <v>8547</v>
      </c>
      <c r="B29" s="22">
        <f t="shared" si="2"/>
        <v>8</v>
      </c>
      <c r="C29" s="23"/>
      <c r="D29" s="23"/>
      <c r="E29" s="23"/>
      <c r="F29" s="23"/>
      <c r="G29" s="23"/>
      <c r="H29" s="23">
        <v>8.0</v>
      </c>
      <c r="I29" s="23"/>
      <c r="J29" s="23"/>
      <c r="K29" s="23"/>
      <c r="L29" s="23"/>
      <c r="M29" s="23"/>
      <c r="N29" s="23"/>
      <c r="O29" s="22"/>
      <c r="P29" s="21"/>
    </row>
    <row r="30">
      <c r="A30" s="21" t="s">
        <v>8548</v>
      </c>
      <c r="B30" s="22">
        <f t="shared" si="2"/>
        <v>59</v>
      </c>
      <c r="C30" s="23"/>
      <c r="D30" s="23"/>
      <c r="E30" s="23"/>
      <c r="F30" s="23">
        <f>COUNTIF(Index!$D$2:$D$4903,"RAL 2017")</f>
        <v>2</v>
      </c>
      <c r="G30" s="23">
        <f>COUNTIF(Index!$D$2:$D$4903,"RAL 2018")</f>
        <v>3</v>
      </c>
      <c r="H30" s="23">
        <f>COUNTIF(Index!$D$2:$D$4903,"RAL 2019")</f>
        <v>2</v>
      </c>
      <c r="I30" s="23">
        <f>COUNTIF(Index!$D$2:$D$4903,"RAL 2020")</f>
        <v>5</v>
      </c>
      <c r="J30" s="23">
        <f>COUNTIF(Index!$D$2:$D$4903,"RAL 2021")</f>
        <v>11</v>
      </c>
      <c r="K30" s="23">
        <f>COUNTIF(Index!$D$2:$D$4903,"RAL 2022")</f>
        <v>11</v>
      </c>
      <c r="L30" s="23">
        <f>COUNTIF(Index!$D$2:$D$4903,"RAL 2023")</f>
        <v>10</v>
      </c>
      <c r="M30" s="23">
        <f>COUNTIF(Index!$D$2:$D$4903,"RAL 2024")</f>
        <v>15</v>
      </c>
      <c r="N30" s="23">
        <f>COUNTIF(Index!$D$2:$D$4903,"RAL 2025")</f>
        <v>21</v>
      </c>
      <c r="O30" s="22">
        <f>COUNTIF(Index!$D$2:$D$4903,"RAL *")</f>
        <v>80</v>
      </c>
      <c r="P30" s="24"/>
    </row>
    <row r="31">
      <c r="A31" s="21" t="s">
        <v>8549</v>
      </c>
      <c r="B31" s="22">
        <f t="shared" si="2"/>
        <v>8</v>
      </c>
      <c r="C31" s="23"/>
      <c r="D31" s="23"/>
      <c r="E31" s="23">
        <f>COUNTIF(Index!$D$2:$D$4903,"TRO 2016")</f>
        <v>0</v>
      </c>
      <c r="F31" s="23">
        <f>COUNTIF(Index!$D$2:$D$4903,"TRO 2017")</f>
        <v>0</v>
      </c>
      <c r="G31" s="23">
        <f>COUNTIF(Index!$D$2:$D$4903,"TRO 2018")</f>
        <v>1</v>
      </c>
      <c r="H31" s="23">
        <f>COUNTIF(Index!$D$2:$D$4903,"TRO 2019")</f>
        <v>0</v>
      </c>
      <c r="I31" s="23">
        <f>COUNTIF(Index!$D$2:$D$4903,"TRO 2020")</f>
        <v>0</v>
      </c>
      <c r="J31" s="23">
        <f>COUNTIF(Index!$D$2:$D$4903,"TRO 2021")</f>
        <v>1</v>
      </c>
      <c r="K31" s="23">
        <f>COUNTIF(Index!$D$2:$D$4903,"TRO 2022")</f>
        <v>0</v>
      </c>
      <c r="L31" s="23">
        <f>COUNTIF(Index!$D$2:$D$4903,"TRO 2023")</f>
        <v>1</v>
      </c>
      <c r="M31" s="23">
        <f>COUNTIF(Index!$D$2:$D$4903,"TRO 2024")</f>
        <v>5</v>
      </c>
      <c r="N31" s="23">
        <f>COUNTIF(Index!$D$2:$D$4903,"TRO 2025")</f>
        <v>2</v>
      </c>
      <c r="O31" s="22">
        <f>COUNTIF(Index!$D$2:$D$4903,"TRO *")</f>
        <v>11</v>
      </c>
      <c r="P31" s="24"/>
    </row>
    <row r="32">
      <c r="A32" s="21" t="s">
        <v>8550</v>
      </c>
      <c r="B32" s="22">
        <f t="shared" si="2"/>
        <v>3</v>
      </c>
      <c r="C32" s="23"/>
      <c r="D32" s="23"/>
      <c r="E32" s="23"/>
      <c r="F32" s="23">
        <f>COUNTIF(Index!$D$2:$D$4903,"IJRR 2017")</f>
        <v>1</v>
      </c>
      <c r="G32" s="23">
        <f>COUNTIF(Index!$D$2:$D$4903,"IJRR 2018")</f>
        <v>0</v>
      </c>
      <c r="H32" s="23">
        <f>COUNTIF(Index!$D$2:$D$4903,"IJRR 2019")</f>
        <v>0</v>
      </c>
      <c r="I32" s="23">
        <f>COUNTIF(Index!$D$2:$D$4903,"IJRR 2020")</f>
        <v>0</v>
      </c>
      <c r="J32" s="23">
        <f>COUNTIF(Index!$D$2:$D$4903,"IJRR 2021")</f>
        <v>0</v>
      </c>
      <c r="K32" s="23">
        <f>COUNTIF(Index!$D$2:$D$4903,"IJRR 2022")</f>
        <v>0</v>
      </c>
      <c r="L32" s="23">
        <f>COUNTIF(Index!$D$2:$D$4903,"IJRR 2023")</f>
        <v>0</v>
      </c>
      <c r="M32" s="23">
        <f>COUNTIF(Index!$D$2:$D$4903,"IJRR 2024")</f>
        <v>2</v>
      </c>
      <c r="N32" s="23">
        <f>COUNTIF(Index!$D$2:$D$4903,"IJRR 2025")</f>
        <v>0</v>
      </c>
      <c r="O32" s="22">
        <f>COUNTIF(Index!$D$2:$D$4903,"IJRR *")</f>
        <v>3</v>
      </c>
      <c r="P32" s="24"/>
    </row>
    <row r="33">
      <c r="A33" s="21" t="s">
        <v>8551</v>
      </c>
      <c r="B33" s="22">
        <f t="shared" si="2"/>
        <v>38</v>
      </c>
      <c r="C33" s="23">
        <v>3.0</v>
      </c>
      <c r="D33" s="23">
        <v>7.0</v>
      </c>
      <c r="E33" s="23">
        <v>1.0</v>
      </c>
      <c r="F33" s="23">
        <v>5.0</v>
      </c>
      <c r="G33" s="23">
        <v>3.0</v>
      </c>
      <c r="H33" s="23">
        <v>2.0</v>
      </c>
      <c r="I33" s="23">
        <v>5.0</v>
      </c>
      <c r="J33" s="23">
        <f>COUNTIF(Index!$D$2:$D$4903,"ISCAS 2021")</f>
        <v>2</v>
      </c>
      <c r="K33" s="23">
        <f>COUNTIF(Index!$D$2:$D$4903,"ISCAS 2022")</f>
        <v>3</v>
      </c>
      <c r="L33" s="23">
        <f>COUNTIF(Index!$D$2:$D$4903,"ISCAS 2023")</f>
        <v>0</v>
      </c>
      <c r="M33" s="23">
        <f>COUNTIF(Index!$D$2:$D$4903,"ISCAS 2024")</f>
        <v>7</v>
      </c>
      <c r="N33" s="23">
        <f>COUNTIF(Index!$D$2:$D$4903,"ISCAS 2025")</f>
        <v>8</v>
      </c>
      <c r="O33" s="22">
        <f>COUNTIF(Index!$D$2:$D$4903,"ISCAS *")</f>
        <v>20</v>
      </c>
      <c r="P33" s="24"/>
    </row>
    <row r="34">
      <c r="A34" s="21" t="s">
        <v>8552</v>
      </c>
      <c r="B34" s="22">
        <f t="shared" si="2"/>
        <v>15</v>
      </c>
      <c r="C34" s="23">
        <f>COUNTIF(Index!$D$2:$D$4903,"TNNLS 2014")</f>
        <v>2</v>
      </c>
      <c r="D34" s="23">
        <f>COUNTIF(Index!$D$2:$D$4903,"TNNLS 2015")</f>
        <v>3</v>
      </c>
      <c r="E34" s="23">
        <f>COUNTIF(Index!$D$2:$D$4903,"TNNLS 2016")</f>
        <v>0</v>
      </c>
      <c r="F34" s="23">
        <f>COUNTIF(Index!$D$2:$D$4903,"TNNLS 2017")</f>
        <v>2</v>
      </c>
      <c r="G34" s="23">
        <f>COUNTIF(Index!$D$2:$D$4903,"TNNLS 2018")</f>
        <v>1</v>
      </c>
      <c r="H34" s="23">
        <f>COUNTIF(Index!$D$2:$D$4903,"TNNLS 2019")</f>
        <v>2</v>
      </c>
      <c r="I34" s="23">
        <f>COUNTIF(Index!$D$2:$D$4903,"TNNLS 2020")</f>
        <v>0</v>
      </c>
      <c r="J34" s="23">
        <f>COUNTIF(Index!$D$2:$D$4903,"TNNLS 2021")</f>
        <v>2</v>
      </c>
      <c r="K34" s="23">
        <f>COUNTIF(Index!$D$2:$D$4903,"TNNLS 2022")</f>
        <v>1</v>
      </c>
      <c r="L34" s="23">
        <f>COUNTIF(Index!$D$2:$D$4903,"TNNLS 2023")</f>
        <v>1</v>
      </c>
      <c r="M34" s="23">
        <f>COUNTIF(Index!$D$2:$D$4903,"TNNLS 2024")</f>
        <v>1</v>
      </c>
      <c r="N34" s="23">
        <f>COUNTIF(Index!$D$2:$D$4903,"TNNLS 2025")</f>
        <v>3</v>
      </c>
      <c r="O34" s="22">
        <f>COUNTIF(Index!$D$2:$D$4903,"TNNLS *")</f>
        <v>18</v>
      </c>
      <c r="P34" s="24"/>
    </row>
    <row r="35">
      <c r="A35" s="21" t="s">
        <v>8553</v>
      </c>
      <c r="B35" s="22">
        <f t="shared" si="2"/>
        <v>42</v>
      </c>
      <c r="C35" s="23">
        <f>COUNTIF(Index!$D$2:$D$4903,"FNINS 2014")</f>
        <v>3</v>
      </c>
      <c r="D35" s="23">
        <f>COUNTIF(Index!$D$2:$D$4903,"FNINS 2015")</f>
        <v>2</v>
      </c>
      <c r="E35" s="23">
        <f>COUNTIF(Index!$D$2:$D$4903,"FNINS 2016")</f>
        <v>7</v>
      </c>
      <c r="F35" s="23">
        <f>COUNTIF(Index!$D$2:$D$4903,"FNINS 2017")</f>
        <v>4</v>
      </c>
      <c r="G35" s="23">
        <f>COUNTIF(Index!$D$2:$D$4903,"FNINS 2018")</f>
        <v>4</v>
      </c>
      <c r="H35" s="23">
        <f>COUNTIF(Index!$D$2:$D$4903,"FNINS 2019")</f>
        <v>1</v>
      </c>
      <c r="I35" s="23">
        <f>COUNTIF(Index!$D$2:$D$4903,"FNINS 2020")</f>
        <v>6</v>
      </c>
      <c r="J35" s="23">
        <f>COUNTIF(Index!$D$2:$D$4903,"FNINS 2021")</f>
        <v>2</v>
      </c>
      <c r="K35" s="23">
        <f>COUNTIF(Index!$D$2:$D$4903,"FNINS 2022")</f>
        <v>5</v>
      </c>
      <c r="L35" s="23">
        <f>COUNTIF(Index!$D$2:$D$4903,"FNINS 2023")</f>
        <v>3</v>
      </c>
      <c r="M35" s="23">
        <f>COUNTIF(Index!$D$2:$D$4903,"FNINS 2024")</f>
        <v>5</v>
      </c>
      <c r="N35" s="23">
        <f>COUNTIF(Index!$D$2:$D$4903,"FNINS 2025")</f>
        <v>1</v>
      </c>
      <c r="O35" s="22">
        <f>COUNTIF(Index!$D$2:$D$4903,"FNINS *")</f>
        <v>44</v>
      </c>
      <c r="P35" s="24"/>
    </row>
    <row r="36">
      <c r="A36" s="21" t="s">
        <v>8554</v>
      </c>
      <c r="B36" s="22">
        <f t="shared" si="2"/>
        <v>14</v>
      </c>
      <c r="C36" s="23"/>
      <c r="D36" s="23">
        <v>2.0</v>
      </c>
      <c r="E36" s="23">
        <v>3.0</v>
      </c>
      <c r="F36" s="23"/>
      <c r="G36" s="23"/>
      <c r="H36" s="23"/>
      <c r="I36" s="23">
        <v>2.0</v>
      </c>
      <c r="J36" s="23"/>
      <c r="K36" s="23">
        <v>7.0</v>
      </c>
      <c r="L36" s="23"/>
      <c r="M36" s="23"/>
      <c r="N36" s="23"/>
      <c r="O36" s="22">
        <f>COUNTIF(Index!$D$2:$D$4903,"EBCCSP *")</f>
        <v>6</v>
      </c>
      <c r="P36" s="24"/>
    </row>
    <row r="37">
      <c r="A37" s="21" t="s">
        <v>5701</v>
      </c>
      <c r="B37" s="22">
        <f t="shared" si="2"/>
        <v>33</v>
      </c>
      <c r="C37" s="23"/>
      <c r="D37" s="23"/>
      <c r="E37" s="23"/>
      <c r="F37" s="23"/>
      <c r="G37" s="23">
        <v>1.0</v>
      </c>
      <c r="H37" s="23">
        <v>3.0</v>
      </c>
      <c r="I37" s="23">
        <v>2.0</v>
      </c>
      <c r="J37" s="23">
        <f>COUNTIF(Index!$D$2:$D$4903,"*Access 2021")</f>
        <v>5</v>
      </c>
      <c r="K37" s="23">
        <f>COUNTIF(Index!$D$2:$D$4903,"*Access 2022")</f>
        <v>7</v>
      </c>
      <c r="L37" s="23">
        <f>COUNTIF(Index!$D$2:$D$4903,"*Access 2023")</f>
        <v>9</v>
      </c>
      <c r="M37" s="23">
        <f>COUNTIF(Index!$D$2:$D$4903,"*Access 2024")</f>
        <v>6</v>
      </c>
      <c r="N37" s="23">
        <f>COUNTIF(Index!$D$2:$D$4903,"*Access 2025")</f>
        <v>6</v>
      </c>
      <c r="O37" s="22">
        <f>COUNTIF(Index!$D$2:$D$4903,"*Access*")</f>
        <v>34</v>
      </c>
      <c r="P37" s="24"/>
    </row>
    <row r="38">
      <c r="A38" s="21" t="s">
        <v>8555</v>
      </c>
      <c r="B38" s="22">
        <f t="shared" si="2"/>
        <v>23</v>
      </c>
      <c r="C38" s="23"/>
      <c r="D38" s="23"/>
      <c r="E38" s="23"/>
      <c r="F38" s="23"/>
      <c r="G38" s="23"/>
      <c r="H38" s="23"/>
      <c r="I38" s="23"/>
      <c r="J38" s="23">
        <f>COUNTIF(Index!$D$2:$D$4903,"Sensors 2021")</f>
        <v>1</v>
      </c>
      <c r="K38" s="23">
        <f>COUNTIF(Index!$D$2:$D$4903,"Sensors 2022")</f>
        <v>7</v>
      </c>
      <c r="L38" s="23">
        <f>COUNTIF(Index!$D$2:$D$4903,"Sensors 2023")</f>
        <v>9</v>
      </c>
      <c r="M38" s="23">
        <f>COUNTIF(Index!$D$2:$D$4903,"Sensors 2024")</f>
        <v>6</v>
      </c>
      <c r="N38" s="23">
        <f>COUNTIF(Index!$D$2:$D$4903,"Sensors 2025")</f>
        <v>14</v>
      </c>
      <c r="O38" s="22"/>
      <c r="P38" s="21"/>
    </row>
    <row r="39">
      <c r="A39" s="21" t="s">
        <v>8556</v>
      </c>
      <c r="B39" s="22">
        <f t="shared" si="2"/>
        <v>33</v>
      </c>
      <c r="C39" s="23"/>
      <c r="D39" s="23"/>
      <c r="E39" s="23"/>
      <c r="F39" s="23"/>
      <c r="G39" s="23"/>
      <c r="H39" s="23"/>
      <c r="I39" s="23"/>
      <c r="J39" s="23">
        <f>COUNTIF(Index!$D$2:$D$4903,"SPIE 2021")</f>
        <v>0</v>
      </c>
      <c r="K39" s="23">
        <f>COUNTIF(Index!$D$2:$D$4903,"SPIE 2022")</f>
        <v>5</v>
      </c>
      <c r="L39" s="23">
        <f>COUNTIF(Index!$D$2:$D$4903,"SPIE 2023")</f>
        <v>14</v>
      </c>
      <c r="M39" s="23">
        <f>COUNTIF(Index!$D$2:$D$4903,"SPIE 2024")</f>
        <v>14</v>
      </c>
      <c r="N39" s="23">
        <f>COUNTIF(Index!$D$2:$D$4903,"SPIE 2025")</f>
        <v>19</v>
      </c>
      <c r="O39" s="22">
        <f>COUNTIF(Index!$D$2:$D$4903,"SPIE *")</f>
        <v>55</v>
      </c>
      <c r="P39" s="24"/>
    </row>
    <row r="40">
      <c r="A40" s="21" t="s">
        <v>8557</v>
      </c>
      <c r="B40" s="22">
        <f t="shared" si="2"/>
        <v>2</v>
      </c>
      <c r="C40" s="23">
        <v>2.0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2">
        <f>COUNTIF(Index!$D$2:$D$4903,"BioCAS *")</f>
        <v>4</v>
      </c>
      <c r="P40" s="24"/>
    </row>
    <row r="41">
      <c r="A41" s="25" t="s">
        <v>8558</v>
      </c>
      <c r="B41" s="22">
        <f t="shared" ref="B41:N41" si="3">SUM(B3:B32)</f>
        <v>777</v>
      </c>
      <c r="C41" s="22">
        <f t="shared" si="3"/>
        <v>9</v>
      </c>
      <c r="D41" s="22">
        <f t="shared" si="3"/>
        <v>8</v>
      </c>
      <c r="E41" s="22">
        <f t="shared" si="3"/>
        <v>11</v>
      </c>
      <c r="F41" s="22">
        <f t="shared" si="3"/>
        <v>16</v>
      </c>
      <c r="G41" s="22">
        <f t="shared" si="3"/>
        <v>28</v>
      </c>
      <c r="H41" s="22">
        <f t="shared" si="3"/>
        <v>53</v>
      </c>
      <c r="I41" s="22">
        <f t="shared" si="3"/>
        <v>64</v>
      </c>
      <c r="J41" s="22">
        <f t="shared" si="3"/>
        <v>106</v>
      </c>
      <c r="K41" s="22">
        <f t="shared" si="3"/>
        <v>105</v>
      </c>
      <c r="L41" s="22">
        <f t="shared" si="3"/>
        <v>123</v>
      </c>
      <c r="M41" s="22">
        <f t="shared" si="3"/>
        <v>254</v>
      </c>
      <c r="N41" s="22">
        <f t="shared" si="3"/>
        <v>301</v>
      </c>
      <c r="O41" s="22"/>
      <c r="P41" s="21"/>
    </row>
    <row r="42">
      <c r="A42" s="25" t="s">
        <v>8559</v>
      </c>
      <c r="B42" s="22">
        <f>SUM(C42:N42)</f>
        <v>1010</v>
      </c>
      <c r="C42" s="22">
        <v>48.0</v>
      </c>
      <c r="D42" s="22">
        <v>49.0</v>
      </c>
      <c r="E42" s="22">
        <v>57.0</v>
      </c>
      <c r="F42" s="22">
        <v>57.0</v>
      </c>
      <c r="G42" s="22">
        <v>85.0</v>
      </c>
      <c r="H42" s="22">
        <v>144.0</v>
      </c>
      <c r="I42" s="22">
        <v>156.0</v>
      </c>
      <c r="J42" s="22">
        <v>102.0</v>
      </c>
      <c r="K42" s="22">
        <v>87.0</v>
      </c>
      <c r="L42" s="22">
        <v>82.0</v>
      </c>
      <c r="M42" s="22">
        <v>108.0</v>
      </c>
      <c r="N42" s="22">
        <v>35.0</v>
      </c>
      <c r="O42" s="22"/>
      <c r="P42" s="21"/>
    </row>
    <row r="43">
      <c r="A43" s="25" t="s">
        <v>8560</v>
      </c>
      <c r="B43" s="22">
        <f>SUM(C43:M43)</f>
        <v>1937</v>
      </c>
      <c r="C43" s="22">
        <f>COUNTIF(Index!$D$2:$D$4903,"*2014*")</f>
        <v>14</v>
      </c>
      <c r="D43" s="22">
        <f>COUNTIF(Index!$D$2:$D$4903,"*2015*")</f>
        <v>14</v>
      </c>
      <c r="E43" s="22">
        <f>COUNTIF(Index!$D$2:$D$4903,"*2016*")</f>
        <v>18</v>
      </c>
      <c r="F43" s="22">
        <f>COUNTIF(Index!$D$2:$D$4903,"*2017*")</f>
        <v>22</v>
      </c>
      <c r="G43" s="22">
        <f>COUNTIF(Index!$D$2:$D$4903,"*2018*")</f>
        <v>34</v>
      </c>
      <c r="H43" s="22">
        <f>COUNTIF(Index!$D$2:$D$4903,"*2019*")</f>
        <v>49</v>
      </c>
      <c r="I43" s="22">
        <f>COUNTIF(Index!$D$2:$D$4903,"*2020*")</f>
        <v>89</v>
      </c>
      <c r="J43" s="22">
        <f>COUNTIF(Index!$D$2:$D$4903,"*2021*")</f>
        <v>141</v>
      </c>
      <c r="K43" s="22">
        <f>COUNTIF(Index!$D$2:$D$4903,"*2022*")</f>
        <v>290</v>
      </c>
      <c r="L43" s="22">
        <f>COUNTIF(Index!$D$2:$D$4903,"*2023*")</f>
        <v>474</v>
      </c>
      <c r="M43" s="22">
        <f>COUNTIF(Index!$D$2:$D$4903,"*2024*")</f>
        <v>792</v>
      </c>
      <c r="N43" s="22">
        <f>COUNTIF(Index!$D$2:$D$4903,"*2025*")</f>
        <v>949</v>
      </c>
      <c r="O43" s="22"/>
      <c r="P43" s="21"/>
    </row>
  </sheetData>
  <drawing r:id="rId1"/>
</worksheet>
</file>